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njoudsaud/Downloads/"/>
    </mc:Choice>
  </mc:AlternateContent>
  <xr:revisionPtr revIDLastSave="0" documentId="8_{704650E7-E1AA-3443-9237-31504A6AFC1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2" sheetId="3" r:id="rId1"/>
    <sheet name="Sheet4" sheetId="5" r:id="rId2"/>
    <sheet name="Sheet1" sheetId="2" r:id="rId3"/>
  </sheets>
  <definedNames>
    <definedName name="_xlchart.v1.4" hidden="1">Sheet2!$F$63:$F$68</definedName>
    <definedName name="_xlchart.v1.5" hidden="1">Sheet2!$G$63:$G$68</definedName>
    <definedName name="_xlchart.v2.0" hidden="1">Sheet2!$F$63:$F$68</definedName>
    <definedName name="_xlchart.v2.1" hidden="1">Sheet2!$G$63:$G$68</definedName>
    <definedName name="_xlchart.v2.10" hidden="1">Sheet2!$F$63:$F$68</definedName>
    <definedName name="_xlchart.v2.11" hidden="1">Sheet2!$G$63:$G$68</definedName>
    <definedName name="_xlchart.v2.2" hidden="1">Sheet2!$F$63:$F$68</definedName>
    <definedName name="_xlchart.v2.3" hidden="1">Sheet2!$G$63:$G$68</definedName>
    <definedName name="_xlchart.v2.6" hidden="1">Sheet2!$F$63:$F$68</definedName>
    <definedName name="_xlchart.v2.7" hidden="1">Sheet2!$G$63:$G$68</definedName>
    <definedName name="_xlchart.v2.8" hidden="1">Sheet2!$F$63:$F$68</definedName>
    <definedName name="_xlchart.v2.9" hidden="1">Sheet2!$G$63:$G$68</definedName>
    <definedName name="ExternalData_1" localSheetId="2" hidden="1">Sheet1!$A$1:$Z$1001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3" l="1"/>
  <c r="C65" i="3"/>
  <c r="C66" i="3"/>
  <c r="C67" i="3"/>
  <c r="C68" i="3"/>
  <c r="C63" i="3"/>
  <c r="E54" i="3"/>
  <c r="E53" i="3"/>
  <c r="E52" i="3"/>
  <c r="C57" i="3"/>
  <c r="C56" i="3"/>
  <c r="C55" i="3"/>
  <c r="M36" i="3"/>
  <c r="M35" i="3"/>
  <c r="M34" i="3"/>
  <c r="C26" i="3"/>
  <c r="C19" i="3"/>
  <c r="C13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5020FE-68AA-41FC-A12E-37203158B4E0}" keepAlive="1" name="Query - بيانات الشحنات" description="Connection to the 'بيانات الشحنات' query in the workbook." type="5" refreshedVersion="6" background="1" saveData="1">
    <dbPr connection="Provider=Microsoft.Mashup.OleDb.1;Data Source=$Workbook$;Location=بيانات الشحنات;Extended Properties=&quot;&quot;" command="SELECT * FROM [بيانات الشحنات]"/>
  </connection>
</connections>
</file>

<file path=xl/sharedStrings.xml><?xml version="1.0" encoding="utf-8"?>
<sst xmlns="http://schemas.openxmlformats.org/spreadsheetml/2006/main" count="13091" uniqueCount="2143">
  <si>
    <t>رقم الطلب</t>
  </si>
  <si>
    <t>معرف العميل</t>
  </si>
  <si>
    <t>تاريخ الطلب</t>
  </si>
  <si>
    <t>معرف السائق</t>
  </si>
  <si>
    <t>عدد الشحنات المسندة</t>
  </si>
  <si>
    <t>عدد ساعات العمل</t>
  </si>
  <si>
    <t>نوع السيارة</t>
  </si>
  <si>
    <t>الوقت المختار للتسليم</t>
  </si>
  <si>
    <t>وقت استلام الطلب</t>
  </si>
  <si>
    <t>وقت بدء التجهيز</t>
  </si>
  <si>
    <t>وقت انتهاء التجهيز (الجهوزية)</t>
  </si>
  <si>
    <t>وقت الإرسال (مغادرة المستودع)</t>
  </si>
  <si>
    <t>وقت أول تواصل مع العميل</t>
  </si>
  <si>
    <t>وقت آخر تواصل مع العميل</t>
  </si>
  <si>
    <t>عدد مرات التواصل مع العميل</t>
  </si>
  <si>
    <t>تصنيف التأخر</t>
  </si>
  <si>
    <t>المنطقة</t>
  </si>
  <si>
    <t>اسم الحي</t>
  </si>
  <si>
    <t>موقع المستودع</t>
  </si>
  <si>
    <t>سعة المستودع القصوى</t>
  </si>
  <si>
    <t>حالة الطلب</t>
  </si>
  <si>
    <t>حالة الاستلام</t>
  </si>
  <si>
    <t>عدد مرات خروج الطلب</t>
  </si>
  <si>
    <t>سبب الاسترداد</t>
  </si>
  <si>
    <t>تقييم العميل (1-5)</t>
  </si>
  <si>
    <t>ملاحظات العميل</t>
  </si>
  <si>
    <t>ORD-2026-100001</t>
  </si>
  <si>
    <t>CUS81426</t>
  </si>
  <si>
    <t>D004</t>
  </si>
  <si>
    <t>شاحنة صغيرة</t>
  </si>
  <si>
    <t>18:00-20:00</t>
  </si>
  <si>
    <t>تأخر بسبب ظروف جوية</t>
  </si>
  <si>
    <t>الرياض</t>
  </si>
  <si>
    <t>الروضة</t>
  </si>
  <si>
    <t>مستودع الرياض الرئيسي</t>
  </si>
  <si>
    <t>سليم</t>
  </si>
  <si>
    <t>مستلم</t>
  </si>
  <si>
    <t>لا يوجد</t>
  </si>
  <si>
    <t>وصل في الوقت المحدد</t>
  </si>
  <si>
    <t>ORD-2026-100002</t>
  </si>
  <si>
    <t>CUS55082</t>
  </si>
  <si>
    <t>D008</t>
  </si>
  <si>
    <t>20:00-22:00</t>
  </si>
  <si>
    <t>مكة المكرمة</t>
  </si>
  <si>
    <t>المسفلة</t>
  </si>
  <si>
    <t>مستودع مكة المكرمة</t>
  </si>
  <si>
    <t>لا توجد ملاحظات</t>
  </si>
  <si>
    <t>ORD-2026-100003</t>
  </si>
  <si>
    <t>CUS23238</t>
  </si>
  <si>
    <t>D009</t>
  </si>
  <si>
    <t>فان</t>
  </si>
  <si>
    <t>08:00-10:00</t>
  </si>
  <si>
    <t>تأخر بسبب ضغط الطلبات</t>
  </si>
  <si>
    <t>الربوة</t>
  </si>
  <si>
    <t>تأخر التسليم قليلاً</t>
  </si>
  <si>
    <t>ORD-2026-100004</t>
  </si>
  <si>
    <t>CUS17331</t>
  </si>
  <si>
    <t>دراجة نارية</t>
  </si>
  <si>
    <t>الزاهر</t>
  </si>
  <si>
    <t>مسترد</t>
  </si>
  <si>
    <t>تأخر التسليم</t>
  </si>
  <si>
    <t>التغليف كان ضعيفاً</t>
  </si>
  <si>
    <t>ORD-2026-100005</t>
  </si>
  <si>
    <t>CUS83579</t>
  </si>
  <si>
    <t>D027</t>
  </si>
  <si>
    <t>16:00-18:00</t>
  </si>
  <si>
    <t>الورود</t>
  </si>
  <si>
    <t>ORD-2026-100006</t>
  </si>
  <si>
    <t>CUS79352</t>
  </si>
  <si>
    <t>المدينة المنورة</t>
  </si>
  <si>
    <t>العنابس</t>
  </si>
  <si>
    <t>مستودع المدينة المنورة</t>
  </si>
  <si>
    <t>شكراً على الخدمة</t>
  </si>
  <si>
    <t>ORD-2026-100007</t>
  </si>
  <si>
    <t>CUS93748</t>
  </si>
  <si>
    <t>D018</t>
  </si>
  <si>
    <t>سيارة سيدان</t>
  </si>
  <si>
    <t>النزهة</t>
  </si>
  <si>
    <t>ORD-2026-100008</t>
  </si>
  <si>
    <t>CUS84364</t>
  </si>
  <si>
    <t>D020</t>
  </si>
  <si>
    <t>شاحنة متوسطة</t>
  </si>
  <si>
    <t>جدة</t>
  </si>
  <si>
    <t>الزهراء</t>
  </si>
  <si>
    <t>مستودع جدة الرئيسي</t>
  </si>
  <si>
    <t>رفض الاستلام</t>
  </si>
  <si>
    <t>سيتم إعادة الطلب لاحقاً</t>
  </si>
  <si>
    <t>ORD-2026-100009</t>
  </si>
  <si>
    <t>CUS50857</t>
  </si>
  <si>
    <t>D003</t>
  </si>
  <si>
    <t>العزيزية</t>
  </si>
  <si>
    <t>تالف</t>
  </si>
  <si>
    <t>ORD-2026-100010</t>
  </si>
  <si>
    <t>CUS19287</t>
  </si>
  <si>
    <t>D022</t>
  </si>
  <si>
    <t>10:00-12:00</t>
  </si>
  <si>
    <t>الدمام</t>
  </si>
  <si>
    <t>الجلوية</t>
  </si>
  <si>
    <t>مستودع الدمام</t>
  </si>
  <si>
    <t>المنتج وصل بحالة جيدة</t>
  </si>
  <si>
    <t>ORD-2026-100011</t>
  </si>
  <si>
    <t>CUS98259</t>
  </si>
  <si>
    <t>خدمة ممتازة وسريعة</t>
  </si>
  <si>
    <t>ORD-2026-100012</t>
  </si>
  <si>
    <t>CUS82132</t>
  </si>
  <si>
    <t>D021</t>
  </si>
  <si>
    <t>تأخر بسبب خطأ في العنوان</t>
  </si>
  <si>
    <t>العليا</t>
  </si>
  <si>
    <t>ORD-2026-100013</t>
  </si>
  <si>
    <t>CUS47388</t>
  </si>
  <si>
    <t>D002</t>
  </si>
  <si>
    <t>العوالي</t>
  </si>
  <si>
    <t>ORD-2026-100014</t>
  </si>
  <si>
    <t>CUS34356</t>
  </si>
  <si>
    <t>D023</t>
  </si>
  <si>
    <t>تأخر بسبب مشكلة في المركبة</t>
  </si>
  <si>
    <t>العميل غير موجود</t>
  </si>
  <si>
    <t>السائق كان محترماً</t>
  </si>
  <si>
    <t>ORD-2026-100015</t>
  </si>
  <si>
    <t>CUS44814</t>
  </si>
  <si>
    <t>حطين</t>
  </si>
  <si>
    <t>ORD-2026-100016</t>
  </si>
  <si>
    <t>CUS58434</t>
  </si>
  <si>
    <t>D005</t>
  </si>
  <si>
    <t>ORD-2026-100017</t>
  </si>
  <si>
    <t>CUS54942</t>
  </si>
  <si>
    <t>D006</t>
  </si>
  <si>
    <t>ORD-2026-100018</t>
  </si>
  <si>
    <t>CUS11267</t>
  </si>
  <si>
    <t>تأخر بسبب غياب المستلم</t>
  </si>
  <si>
    <t>المزروعية</t>
  </si>
  <si>
    <t>يحتاج تحسين في التواصل</t>
  </si>
  <si>
    <t>ORD-2026-100019</t>
  </si>
  <si>
    <t>CUS23473</t>
  </si>
  <si>
    <t>السائق لم يتصل مسبقاً</t>
  </si>
  <si>
    <t>ORD-2026-100020</t>
  </si>
  <si>
    <t>CUS42527</t>
  </si>
  <si>
    <t>D025</t>
  </si>
  <si>
    <t>ORD-2026-100021</t>
  </si>
  <si>
    <t>CUS46585</t>
  </si>
  <si>
    <t>السليمانية</t>
  </si>
  <si>
    <t>ORD-2026-100022</t>
  </si>
  <si>
    <t>CUS25157</t>
  </si>
  <si>
    <t>ORD-2026-100023</t>
  </si>
  <si>
    <t>CUS49363</t>
  </si>
  <si>
    <t>D029</t>
  </si>
  <si>
    <t>قباء</t>
  </si>
  <si>
    <t>ORD-2026-100024</t>
  </si>
  <si>
    <t>CUS86019</t>
  </si>
  <si>
    <t>D010</t>
  </si>
  <si>
    <t>ORD-2026-100025</t>
  </si>
  <si>
    <t>CUS50687</t>
  </si>
  <si>
    <t>ORD-2026-100026</t>
  </si>
  <si>
    <t>CUS10726</t>
  </si>
  <si>
    <t>D026</t>
  </si>
  <si>
    <t>ORD-2026-100027</t>
  </si>
  <si>
    <t>CUS68008</t>
  </si>
  <si>
    <t>14:00-16:00</t>
  </si>
  <si>
    <t>الشوقية</t>
  </si>
  <si>
    <t>ORD-2026-100028</t>
  </si>
  <si>
    <t>CUS67654</t>
  </si>
  <si>
    <t>لم يتم التواصل قبل التسليم</t>
  </si>
  <si>
    <t>ORD-2026-100029</t>
  </si>
  <si>
    <t>CUS65069</t>
  </si>
  <si>
    <t>الفيصلية</t>
  </si>
  <si>
    <t>ORD-2026-100030</t>
  </si>
  <si>
    <t>CUS31632</t>
  </si>
  <si>
    <t>12:00-14:00</t>
  </si>
  <si>
    <t>أرجو الالتزام بالموعد المحدد</t>
  </si>
  <si>
    <t>ORD-2026-100031</t>
  </si>
  <si>
    <t>CUS52840</t>
  </si>
  <si>
    <t>D030</t>
  </si>
  <si>
    <t>ORD-2026-100032</t>
  </si>
  <si>
    <t>CUS12671</t>
  </si>
  <si>
    <t>ORD-2026-100033</t>
  </si>
  <si>
    <t>CUS24168</t>
  </si>
  <si>
    <t>ORD-2026-100034</t>
  </si>
  <si>
    <t>CUS55508</t>
  </si>
  <si>
    <t>D001</t>
  </si>
  <si>
    <t>ORD-2026-100035</t>
  </si>
  <si>
    <t>CUS45400</t>
  </si>
  <si>
    <t>D014</t>
  </si>
  <si>
    <t>ORD-2026-100036</t>
  </si>
  <si>
    <t>CUS52600</t>
  </si>
  <si>
    <t>ORD-2026-100037</t>
  </si>
  <si>
    <t>CUS74332</t>
  </si>
  <si>
    <t>D016</t>
  </si>
  <si>
    <t>ORD-2026-100038</t>
  </si>
  <si>
    <t>CUS50189</t>
  </si>
  <si>
    <t>ORD-2026-100039</t>
  </si>
  <si>
    <t>CUS35443</t>
  </si>
  <si>
    <t>ORD-2026-100040</t>
  </si>
  <si>
    <t>CUS34164</t>
  </si>
  <si>
    <t>طلب العميل الإلغاء</t>
  </si>
  <si>
    <t>ORD-2026-100041</t>
  </si>
  <si>
    <t>CUS91057</t>
  </si>
  <si>
    <t>ORD-2026-100042</t>
  </si>
  <si>
    <t>CUS19838</t>
  </si>
  <si>
    <t>ORD-2026-100043</t>
  </si>
  <si>
    <t>CUS25043</t>
  </si>
  <si>
    <t>أجياد</t>
  </si>
  <si>
    <t>ORD-2026-100044</t>
  </si>
  <si>
    <t>CUS66626</t>
  </si>
  <si>
    <t>ORD-2026-100045</t>
  </si>
  <si>
    <t>CUS93202</t>
  </si>
  <si>
    <t>ORD-2026-100046</t>
  </si>
  <si>
    <t>CUS62976</t>
  </si>
  <si>
    <t>ORD-2026-100047</t>
  </si>
  <si>
    <t>CUS13783</t>
  </si>
  <si>
    <t>ORD-2026-100048</t>
  </si>
  <si>
    <t>CUS64459</t>
  </si>
  <si>
    <t>الصفا</t>
  </si>
  <si>
    <t>ORD-2026-100049</t>
  </si>
  <si>
    <t>CUS86011</t>
  </si>
  <si>
    <t>الشاطئ</t>
  </si>
  <si>
    <t>تجربة جيدة بشكل عام</t>
  </si>
  <si>
    <t>ORD-2026-100050</t>
  </si>
  <si>
    <t>CUS71993</t>
  </si>
  <si>
    <t>ORD-2026-100051</t>
  </si>
  <si>
    <t>CUS44737</t>
  </si>
  <si>
    <t>D013</t>
  </si>
  <si>
    <t>ORD-2026-100052</t>
  </si>
  <si>
    <t>CUS93066</t>
  </si>
  <si>
    <t>ORD-2026-100053</t>
  </si>
  <si>
    <t>CUS89887</t>
  </si>
  <si>
    <t>D015</t>
  </si>
  <si>
    <t>ORD-2026-100054</t>
  </si>
  <si>
    <t>CUS42780</t>
  </si>
  <si>
    <t>ORD-2026-100055</t>
  </si>
  <si>
    <t>CUS16428</t>
  </si>
  <si>
    <t>D028</t>
  </si>
  <si>
    <t>ORD-2026-100056</t>
  </si>
  <si>
    <t>CUS57823</t>
  </si>
  <si>
    <t>D024</t>
  </si>
  <si>
    <t>ORD-2026-100057</t>
  </si>
  <si>
    <t>CUS25095</t>
  </si>
  <si>
    <t>ORD-2026-100058</t>
  </si>
  <si>
    <t>CUS59941</t>
  </si>
  <si>
    <t>تأخر بسبب الازدحام</t>
  </si>
  <si>
    <t>الأندلس</t>
  </si>
  <si>
    <t>ORD-2026-100059</t>
  </si>
  <si>
    <t>CUS74569</t>
  </si>
  <si>
    <t>D012</t>
  </si>
  <si>
    <t>ORD-2026-100060</t>
  </si>
  <si>
    <t>CUS14288</t>
  </si>
  <si>
    <t>ORD-2026-100061</t>
  </si>
  <si>
    <t>CUS88269</t>
  </si>
  <si>
    <t>ORD-2026-100062</t>
  </si>
  <si>
    <t>CUS46342</t>
  </si>
  <si>
    <t>ORD-2026-100063</t>
  </si>
  <si>
    <t>CUS57453</t>
  </si>
  <si>
    <t>الحرة الغربية</t>
  </si>
  <si>
    <t>ORD-2026-100064</t>
  </si>
  <si>
    <t>CUS68138</t>
  </si>
  <si>
    <t>D019</t>
  </si>
  <si>
    <t>ORD-2026-100065</t>
  </si>
  <si>
    <t>CUS95814</t>
  </si>
  <si>
    <t>ORD-2026-100066</t>
  </si>
  <si>
    <t>CUS72163</t>
  </si>
  <si>
    <t>ORD-2026-100067</t>
  </si>
  <si>
    <t>CUS16743</t>
  </si>
  <si>
    <t>ORD-2026-100068</t>
  </si>
  <si>
    <t>CUS91490</t>
  </si>
  <si>
    <t>ORD-2026-100069</t>
  </si>
  <si>
    <t>CUS22026</t>
  </si>
  <si>
    <t>ORD-2026-100070</t>
  </si>
  <si>
    <t>CUS73656</t>
  </si>
  <si>
    <t>D007</t>
  </si>
  <si>
    <t>ORD-2026-100071</t>
  </si>
  <si>
    <t>CUS27987</t>
  </si>
  <si>
    <t>ORD-2026-100072</t>
  </si>
  <si>
    <t>CUS12456</t>
  </si>
  <si>
    <t>ORD-2026-100073</t>
  </si>
  <si>
    <t>CUS67104</t>
  </si>
  <si>
    <t>ORD-2026-100074</t>
  </si>
  <si>
    <t>CUS94599</t>
  </si>
  <si>
    <t>ORD-2026-100075</t>
  </si>
  <si>
    <t>CUS83989</t>
  </si>
  <si>
    <t>الملقا</t>
  </si>
  <si>
    <t>ORD-2026-100076</t>
  </si>
  <si>
    <t>CUS47627</t>
  </si>
  <si>
    <t>ORD-2026-100077</t>
  </si>
  <si>
    <t>CUS55015</t>
  </si>
  <si>
    <t>ORD-2026-100078</t>
  </si>
  <si>
    <t>CUS53863</t>
  </si>
  <si>
    <t>D017</t>
  </si>
  <si>
    <t>الحمراء</t>
  </si>
  <si>
    <t>ORD-2026-100079</t>
  </si>
  <si>
    <t>CUS83259</t>
  </si>
  <si>
    <t>D011</t>
  </si>
  <si>
    <t>ORD-2026-100080</t>
  </si>
  <si>
    <t>CUS48770</t>
  </si>
  <si>
    <t>ORD-2026-100081</t>
  </si>
  <si>
    <t>CUS41133</t>
  </si>
  <si>
    <t>ORD-2026-100082</t>
  </si>
  <si>
    <t>CUS36174</t>
  </si>
  <si>
    <t>التغليف كان جيداً</t>
  </si>
  <si>
    <t>ORD-2026-100083</t>
  </si>
  <si>
    <t>CUS55820</t>
  </si>
  <si>
    <t>ORD-2026-100084</t>
  </si>
  <si>
    <t>CUS10688</t>
  </si>
  <si>
    <t>ORD-2026-100085</t>
  </si>
  <si>
    <t>CUS75513</t>
  </si>
  <si>
    <t>ORD-2026-100086</t>
  </si>
  <si>
    <t>CUS82633</t>
  </si>
  <si>
    <t>ORD-2026-100087</t>
  </si>
  <si>
    <t>CUS54374</t>
  </si>
  <si>
    <t>ORD-2026-100088</t>
  </si>
  <si>
    <t>CUS81176</t>
  </si>
  <si>
    <t>ORD-2026-100089</t>
  </si>
  <si>
    <t>CUS75211</t>
  </si>
  <si>
    <t>ORD-2026-100090</t>
  </si>
  <si>
    <t>CUS68183</t>
  </si>
  <si>
    <t>ORD-2026-100091</t>
  </si>
  <si>
    <t>CUS94562</t>
  </si>
  <si>
    <t>ORD-2026-100092</t>
  </si>
  <si>
    <t>CUS60723</t>
  </si>
  <si>
    <t>ORD-2026-100093</t>
  </si>
  <si>
    <t>CUS51889</t>
  </si>
  <si>
    <t>ORD-2026-100094</t>
  </si>
  <si>
    <t>CUS82305</t>
  </si>
  <si>
    <t>ORD-2026-100095</t>
  </si>
  <si>
    <t>CUS82260</t>
  </si>
  <si>
    <t>ORD-2026-100096</t>
  </si>
  <si>
    <t>CUS82199</t>
  </si>
  <si>
    <t>ORD-2026-100097</t>
  </si>
  <si>
    <t>CUS64602</t>
  </si>
  <si>
    <t>ORD-2026-100098</t>
  </si>
  <si>
    <t>CUS50970</t>
  </si>
  <si>
    <t>ORD-2026-100099</t>
  </si>
  <si>
    <t>CUS30932</t>
  </si>
  <si>
    <t>ORD-2026-100100</t>
  </si>
  <si>
    <t>CUS46877</t>
  </si>
  <si>
    <t>ORD-2026-100101</t>
  </si>
  <si>
    <t>CUS69028</t>
  </si>
  <si>
    <t>ORD-2026-100102</t>
  </si>
  <si>
    <t>CUS53652</t>
  </si>
  <si>
    <t>ORD-2026-100103</t>
  </si>
  <si>
    <t>CUS12180</t>
  </si>
  <si>
    <t>ORD-2026-100104</t>
  </si>
  <si>
    <t>CUS29369</t>
  </si>
  <si>
    <t>ORD-2026-100105</t>
  </si>
  <si>
    <t>CUS83516</t>
  </si>
  <si>
    <t>ORD-2026-100106</t>
  </si>
  <si>
    <t>CUS47880</t>
  </si>
  <si>
    <t>ORD-2026-100107</t>
  </si>
  <si>
    <t>CUS67983</t>
  </si>
  <si>
    <t>ORD-2026-100108</t>
  </si>
  <si>
    <t>CUS64172</t>
  </si>
  <si>
    <t>ORD-2026-100109</t>
  </si>
  <si>
    <t>CUS95498</t>
  </si>
  <si>
    <t>ORD-2026-100110</t>
  </si>
  <si>
    <t>CUS81211</t>
  </si>
  <si>
    <t>عنوان خاطئ</t>
  </si>
  <si>
    <t>ORD-2026-100111</t>
  </si>
  <si>
    <t>CUS33002</t>
  </si>
  <si>
    <t>ORD-2026-100112</t>
  </si>
  <si>
    <t>CUS85088</t>
  </si>
  <si>
    <t>ORD-2026-100113</t>
  </si>
  <si>
    <t>CUS72676</t>
  </si>
  <si>
    <t>ORD-2026-100114</t>
  </si>
  <si>
    <t>CUS83946</t>
  </si>
  <si>
    <t>ORD-2026-100115</t>
  </si>
  <si>
    <t>CUS69873</t>
  </si>
  <si>
    <t>ORD-2026-100116</t>
  </si>
  <si>
    <t>CUS71875</t>
  </si>
  <si>
    <t>ORD-2026-100117</t>
  </si>
  <si>
    <t>CUS33392</t>
  </si>
  <si>
    <t>ORD-2026-100118</t>
  </si>
  <si>
    <t>CUS24790</t>
  </si>
  <si>
    <t>ORD-2026-100119</t>
  </si>
  <si>
    <t>CUS76046</t>
  </si>
  <si>
    <t>ORD-2026-100120</t>
  </si>
  <si>
    <t>CUS94320</t>
  </si>
  <si>
    <t>منتج تالف</t>
  </si>
  <si>
    <t>ORD-2026-100121</t>
  </si>
  <si>
    <t>CUS64592</t>
  </si>
  <si>
    <t>ORD-2026-100122</t>
  </si>
  <si>
    <t>CUS87015</t>
  </si>
  <si>
    <t>ORD-2026-100123</t>
  </si>
  <si>
    <t>CUS61987</t>
  </si>
  <si>
    <t>ORD-2026-100124</t>
  </si>
  <si>
    <t>CUS83731</t>
  </si>
  <si>
    <t>ORD-2026-100125</t>
  </si>
  <si>
    <t>CUS54245</t>
  </si>
  <si>
    <t>ORD-2026-100126</t>
  </si>
  <si>
    <t>CUS64053</t>
  </si>
  <si>
    <t>ORD-2026-100127</t>
  </si>
  <si>
    <t>CUS47576</t>
  </si>
  <si>
    <t>ORD-2026-100128</t>
  </si>
  <si>
    <t>CUS39603</t>
  </si>
  <si>
    <t>ORD-2026-100129</t>
  </si>
  <si>
    <t>CUS79226</t>
  </si>
  <si>
    <t>ORD-2026-100130</t>
  </si>
  <si>
    <t>CUS20084</t>
  </si>
  <si>
    <t>ORD-2026-100131</t>
  </si>
  <si>
    <t>CUS61996</t>
  </si>
  <si>
    <t>ORD-2026-100132</t>
  </si>
  <si>
    <t>CUS93086</t>
  </si>
  <si>
    <t>ORD-2026-100133</t>
  </si>
  <si>
    <t>CUS56388</t>
  </si>
  <si>
    <t>ORD-2026-100134</t>
  </si>
  <si>
    <t>CUS18292</t>
  </si>
  <si>
    <t>ORD-2026-100135</t>
  </si>
  <si>
    <t>CUS91289</t>
  </si>
  <si>
    <t>ORD-2026-100136</t>
  </si>
  <si>
    <t>CUS85481</t>
  </si>
  <si>
    <t>ORD-2026-100137</t>
  </si>
  <si>
    <t>CUS63627</t>
  </si>
  <si>
    <t>ORD-2026-100138</t>
  </si>
  <si>
    <t>CUS80373</t>
  </si>
  <si>
    <t>ORD-2026-100139</t>
  </si>
  <si>
    <t>CUS83137</t>
  </si>
  <si>
    <t>ORD-2026-100140</t>
  </si>
  <si>
    <t>CUS28569</t>
  </si>
  <si>
    <t>ORD-2026-100141</t>
  </si>
  <si>
    <t>CUS41970</t>
  </si>
  <si>
    <t>ORD-2026-100142</t>
  </si>
  <si>
    <t>CUS66302</t>
  </si>
  <si>
    <t>ORD-2026-100143</t>
  </si>
  <si>
    <t>CUS86939</t>
  </si>
  <si>
    <t>ORD-2026-100144</t>
  </si>
  <si>
    <t>CUS85340</t>
  </si>
  <si>
    <t>ORD-2026-100145</t>
  </si>
  <si>
    <t>CUS35575</t>
  </si>
  <si>
    <t>ORD-2026-100146</t>
  </si>
  <si>
    <t>CUS32047</t>
  </si>
  <si>
    <t>ORD-2026-100147</t>
  </si>
  <si>
    <t>CUS68947</t>
  </si>
  <si>
    <t>ORD-2026-100148</t>
  </si>
  <si>
    <t>CUS17780</t>
  </si>
  <si>
    <t>ORD-2026-100149</t>
  </si>
  <si>
    <t>CUS29168</t>
  </si>
  <si>
    <t>ORD-2026-100150</t>
  </si>
  <si>
    <t>CUS58374</t>
  </si>
  <si>
    <t>ORD-2026-100151</t>
  </si>
  <si>
    <t>CUS54270</t>
  </si>
  <si>
    <t>ORD-2026-100152</t>
  </si>
  <si>
    <t>CUS27290</t>
  </si>
  <si>
    <t>ORD-2026-100153</t>
  </si>
  <si>
    <t>CUS10142</t>
  </si>
  <si>
    <t>ORD-2026-100154</t>
  </si>
  <si>
    <t>CUS49223</t>
  </si>
  <si>
    <t>ORD-2026-100155</t>
  </si>
  <si>
    <t>CUS21362</t>
  </si>
  <si>
    <t>ORD-2026-100156</t>
  </si>
  <si>
    <t>CUS96298</t>
  </si>
  <si>
    <t>ORD-2026-100157</t>
  </si>
  <si>
    <t>CUS51480</t>
  </si>
  <si>
    <t>ORD-2026-100158</t>
  </si>
  <si>
    <t>CUS75673</t>
  </si>
  <si>
    <t>ORD-2026-100159</t>
  </si>
  <si>
    <t>CUS41278</t>
  </si>
  <si>
    <t>ORD-2026-100160</t>
  </si>
  <si>
    <t>CUS43980</t>
  </si>
  <si>
    <t>ORD-2026-100161</t>
  </si>
  <si>
    <t>CUS75484</t>
  </si>
  <si>
    <t>ORD-2026-100162</t>
  </si>
  <si>
    <t>CUS14635</t>
  </si>
  <si>
    <t>ORD-2026-100163</t>
  </si>
  <si>
    <t>CUS19034</t>
  </si>
  <si>
    <t>ORD-2026-100164</t>
  </si>
  <si>
    <t>CUS81638</t>
  </si>
  <si>
    <t>ORD-2026-100165</t>
  </si>
  <si>
    <t>CUS74491</t>
  </si>
  <si>
    <t>ORD-2026-100166</t>
  </si>
  <si>
    <t>CUS41034</t>
  </si>
  <si>
    <t>ORD-2026-100167</t>
  </si>
  <si>
    <t>CUS37215</t>
  </si>
  <si>
    <t>ORD-2026-100168</t>
  </si>
  <si>
    <t>CUS44100</t>
  </si>
  <si>
    <t>ORD-2026-100169</t>
  </si>
  <si>
    <t>CUS92614</t>
  </si>
  <si>
    <t>ORD-2026-100170</t>
  </si>
  <si>
    <t>CUS60165</t>
  </si>
  <si>
    <t>ORD-2026-100171</t>
  </si>
  <si>
    <t>CUS64949</t>
  </si>
  <si>
    <t>ORD-2026-100172</t>
  </si>
  <si>
    <t>CUS46822</t>
  </si>
  <si>
    <t>ORD-2026-100173</t>
  </si>
  <si>
    <t>CUS32768</t>
  </si>
  <si>
    <t>ORD-2026-100174</t>
  </si>
  <si>
    <t>CUS14975</t>
  </si>
  <si>
    <t>ORD-2026-100175</t>
  </si>
  <si>
    <t>CUS28566</t>
  </si>
  <si>
    <t>ORD-2026-100176</t>
  </si>
  <si>
    <t>CUS90440</t>
  </si>
  <si>
    <t>ORD-2026-100177</t>
  </si>
  <si>
    <t>CUS75035</t>
  </si>
  <si>
    <t>ORD-2026-100178</t>
  </si>
  <si>
    <t>CUS60585</t>
  </si>
  <si>
    <t>ORD-2026-100179</t>
  </si>
  <si>
    <t>CUS48654</t>
  </si>
  <si>
    <t>ORD-2026-100180</t>
  </si>
  <si>
    <t>CUS66911</t>
  </si>
  <si>
    <t>ORD-2026-100181</t>
  </si>
  <si>
    <t>CUS57294</t>
  </si>
  <si>
    <t>ORD-2026-100182</t>
  </si>
  <si>
    <t>CUS34232</t>
  </si>
  <si>
    <t>ORD-2026-100183</t>
  </si>
  <si>
    <t>CUS64262</t>
  </si>
  <si>
    <t>ORD-2026-100184</t>
  </si>
  <si>
    <t>CUS84905</t>
  </si>
  <si>
    <t>ORD-2026-100185</t>
  </si>
  <si>
    <t>CUS51910</t>
  </si>
  <si>
    <t>ORD-2026-100186</t>
  </si>
  <si>
    <t>CUS47498</t>
  </si>
  <si>
    <t>ORD-2026-100187</t>
  </si>
  <si>
    <t>CUS53449</t>
  </si>
  <si>
    <t>ORD-2026-100188</t>
  </si>
  <si>
    <t>CUS52056</t>
  </si>
  <si>
    <t>ORD-2026-100189</t>
  </si>
  <si>
    <t>CUS84537</t>
  </si>
  <si>
    <t>ORD-2026-100190</t>
  </si>
  <si>
    <t>CUS68471</t>
  </si>
  <si>
    <t>ORD-2026-100191</t>
  </si>
  <si>
    <t>CUS98826</t>
  </si>
  <si>
    <t>ORD-2026-100192</t>
  </si>
  <si>
    <t>CUS55706</t>
  </si>
  <si>
    <t>ORD-2026-100193</t>
  </si>
  <si>
    <t>CUS93964</t>
  </si>
  <si>
    <t>ORD-2026-100194</t>
  </si>
  <si>
    <t>CUS14629</t>
  </si>
  <si>
    <t>ORD-2026-100195</t>
  </si>
  <si>
    <t>CUS43902</t>
  </si>
  <si>
    <t>ORD-2026-100196</t>
  </si>
  <si>
    <t>CUS86490</t>
  </si>
  <si>
    <t>ORD-2026-100197</t>
  </si>
  <si>
    <t>CUS33639</t>
  </si>
  <si>
    <t>ORD-2026-100198</t>
  </si>
  <si>
    <t>CUS10611</t>
  </si>
  <si>
    <t>ORD-2026-100199</t>
  </si>
  <si>
    <t>CUS87158</t>
  </si>
  <si>
    <t>ORD-2026-100200</t>
  </si>
  <si>
    <t>CUS62873</t>
  </si>
  <si>
    <t>ORD-2026-100201</t>
  </si>
  <si>
    <t>CUS96765</t>
  </si>
  <si>
    <t>ORD-2026-100202</t>
  </si>
  <si>
    <t>CUS27978</t>
  </si>
  <si>
    <t>ORD-2026-100203</t>
  </si>
  <si>
    <t>CUS73001</t>
  </si>
  <si>
    <t>ORD-2026-100204</t>
  </si>
  <si>
    <t>CUS32898</t>
  </si>
  <si>
    <t>ORD-2026-100205</t>
  </si>
  <si>
    <t>CUS58840</t>
  </si>
  <si>
    <t>ORD-2026-100206</t>
  </si>
  <si>
    <t>CUS73265</t>
  </si>
  <si>
    <t>ORD-2026-100207</t>
  </si>
  <si>
    <t>CUS98857</t>
  </si>
  <si>
    <t>ORD-2026-100208</t>
  </si>
  <si>
    <t>CUS76265</t>
  </si>
  <si>
    <t>ORD-2026-100209</t>
  </si>
  <si>
    <t>CUS75333</t>
  </si>
  <si>
    <t>ORD-2026-100210</t>
  </si>
  <si>
    <t>CUS54676</t>
  </si>
  <si>
    <t>ORD-2026-100211</t>
  </si>
  <si>
    <t>CUS48270</t>
  </si>
  <si>
    <t>ORD-2026-100212</t>
  </si>
  <si>
    <t>CUS64325</t>
  </si>
  <si>
    <t>ORD-2026-100213</t>
  </si>
  <si>
    <t>CUS85832</t>
  </si>
  <si>
    <t>ORD-2026-100214</t>
  </si>
  <si>
    <t>CUS77147</t>
  </si>
  <si>
    <t>ORD-2026-100215</t>
  </si>
  <si>
    <t>CUS25126</t>
  </si>
  <si>
    <t>ORD-2026-100216</t>
  </si>
  <si>
    <t>CUS99573</t>
  </si>
  <si>
    <t>ORD-2026-100217</t>
  </si>
  <si>
    <t>CUS64600</t>
  </si>
  <si>
    <t>ORD-2026-100218</t>
  </si>
  <si>
    <t>CUS48558</t>
  </si>
  <si>
    <t>ORD-2026-100219</t>
  </si>
  <si>
    <t>CUS30146</t>
  </si>
  <si>
    <t>ORD-2026-100220</t>
  </si>
  <si>
    <t>CUS38992</t>
  </si>
  <si>
    <t>ORD-2026-100221</t>
  </si>
  <si>
    <t>CUS52065</t>
  </si>
  <si>
    <t>ORD-2026-100222</t>
  </si>
  <si>
    <t>CUS80513</t>
  </si>
  <si>
    <t>ORD-2026-100223</t>
  </si>
  <si>
    <t>CUS17113</t>
  </si>
  <si>
    <t>ORD-2026-100224</t>
  </si>
  <si>
    <t>CUS86756</t>
  </si>
  <si>
    <t>ORD-2026-100225</t>
  </si>
  <si>
    <t>CUS48663</t>
  </si>
  <si>
    <t>ORD-2026-100226</t>
  </si>
  <si>
    <t>CUS77181</t>
  </si>
  <si>
    <t>ORD-2026-100227</t>
  </si>
  <si>
    <t>CUS53365</t>
  </si>
  <si>
    <t>ORD-2026-100228</t>
  </si>
  <si>
    <t>CUS51053</t>
  </si>
  <si>
    <t>ORD-2026-100229</t>
  </si>
  <si>
    <t>CUS46780</t>
  </si>
  <si>
    <t>ORD-2026-100230</t>
  </si>
  <si>
    <t>CUS80736</t>
  </si>
  <si>
    <t>ORD-2026-100231</t>
  </si>
  <si>
    <t>CUS90482</t>
  </si>
  <si>
    <t>ORD-2026-100232</t>
  </si>
  <si>
    <t>CUS77880</t>
  </si>
  <si>
    <t>ORD-2026-100233</t>
  </si>
  <si>
    <t>CUS77720</t>
  </si>
  <si>
    <t>ORD-2026-100234</t>
  </si>
  <si>
    <t>CUS57477</t>
  </si>
  <si>
    <t>ORD-2026-100235</t>
  </si>
  <si>
    <t>CUS27658</t>
  </si>
  <si>
    <t>ORD-2026-100236</t>
  </si>
  <si>
    <t>CUS28705</t>
  </si>
  <si>
    <t>ORD-2026-100237</t>
  </si>
  <si>
    <t>CUS72373</t>
  </si>
  <si>
    <t>ORD-2026-100238</t>
  </si>
  <si>
    <t>CUS55943</t>
  </si>
  <si>
    <t>ORD-2026-100239</t>
  </si>
  <si>
    <t>CUS59155</t>
  </si>
  <si>
    <t>ORD-2026-100240</t>
  </si>
  <si>
    <t>CUS73238</t>
  </si>
  <si>
    <t>ORD-2026-100241</t>
  </si>
  <si>
    <t>CUS54359</t>
  </si>
  <si>
    <t>ORD-2026-100242</t>
  </si>
  <si>
    <t>CUS90473</t>
  </si>
  <si>
    <t>ORD-2026-100243</t>
  </si>
  <si>
    <t>CUS14726</t>
  </si>
  <si>
    <t>ORD-2026-100244</t>
  </si>
  <si>
    <t>CUS86406</t>
  </si>
  <si>
    <t>ORD-2026-100245</t>
  </si>
  <si>
    <t>CUS80504</t>
  </si>
  <si>
    <t>ORD-2026-100246</t>
  </si>
  <si>
    <t>CUS51383</t>
  </si>
  <si>
    <t>ORD-2026-100247</t>
  </si>
  <si>
    <t>CUS99536</t>
  </si>
  <si>
    <t>ORD-2026-100248</t>
  </si>
  <si>
    <t>CUS80972</t>
  </si>
  <si>
    <t>ORD-2026-100249</t>
  </si>
  <si>
    <t>CUS14268</t>
  </si>
  <si>
    <t>ORD-2026-100250</t>
  </si>
  <si>
    <t>CUS44452</t>
  </si>
  <si>
    <t>ORD-2026-100251</t>
  </si>
  <si>
    <t>CUS45382</t>
  </si>
  <si>
    <t>ORD-2026-100252</t>
  </si>
  <si>
    <t>CUS83680</t>
  </si>
  <si>
    <t>ORD-2026-100253</t>
  </si>
  <si>
    <t>CUS56018</t>
  </si>
  <si>
    <t>ORD-2026-100254</t>
  </si>
  <si>
    <t>CUS93962</t>
  </si>
  <si>
    <t>ORD-2026-100255</t>
  </si>
  <si>
    <t>CUS13027</t>
  </si>
  <si>
    <t>ORD-2026-100256</t>
  </si>
  <si>
    <t>CUS95830</t>
  </si>
  <si>
    <t>ORD-2026-100257</t>
  </si>
  <si>
    <t>CUS45705</t>
  </si>
  <si>
    <t>ORD-2026-100258</t>
  </si>
  <si>
    <t>CUS67915</t>
  </si>
  <si>
    <t>ORD-2026-100259</t>
  </si>
  <si>
    <t>CUS48393</t>
  </si>
  <si>
    <t>ORD-2026-100260</t>
  </si>
  <si>
    <t>CUS99737</t>
  </si>
  <si>
    <t>ORD-2026-100261</t>
  </si>
  <si>
    <t>CUS12900</t>
  </si>
  <si>
    <t>ORD-2026-100262</t>
  </si>
  <si>
    <t>CUS20515</t>
  </si>
  <si>
    <t>ORD-2026-100263</t>
  </si>
  <si>
    <t>CUS22315</t>
  </si>
  <si>
    <t>ORD-2026-100264</t>
  </si>
  <si>
    <t>CUS40928</t>
  </si>
  <si>
    <t>ORD-2026-100265</t>
  </si>
  <si>
    <t>CUS30669</t>
  </si>
  <si>
    <t>ORD-2026-100266</t>
  </si>
  <si>
    <t>CUS35292</t>
  </si>
  <si>
    <t>ORD-2026-100267</t>
  </si>
  <si>
    <t>CUS88470</t>
  </si>
  <si>
    <t>ORD-2026-100268</t>
  </si>
  <si>
    <t>CUS96283</t>
  </si>
  <si>
    <t>ORD-2026-100269</t>
  </si>
  <si>
    <t>CUS24031</t>
  </si>
  <si>
    <t>ORD-2026-100270</t>
  </si>
  <si>
    <t>CUS17956</t>
  </si>
  <si>
    <t>ORD-2026-100271</t>
  </si>
  <si>
    <t>CUS42605</t>
  </si>
  <si>
    <t>ORD-2026-100272</t>
  </si>
  <si>
    <t>CUS88632</t>
  </si>
  <si>
    <t>ORD-2026-100273</t>
  </si>
  <si>
    <t>CUS69297</t>
  </si>
  <si>
    <t>ORD-2026-100274</t>
  </si>
  <si>
    <t>CUS84922</t>
  </si>
  <si>
    <t>ORD-2026-100275</t>
  </si>
  <si>
    <t>CUS73246</t>
  </si>
  <si>
    <t>ORD-2026-100276</t>
  </si>
  <si>
    <t>CUS88944</t>
  </si>
  <si>
    <t>ORD-2026-100277</t>
  </si>
  <si>
    <t>CUS21807</t>
  </si>
  <si>
    <t>ORD-2026-100278</t>
  </si>
  <si>
    <t>CUS35966</t>
  </si>
  <si>
    <t>ORD-2026-100279</t>
  </si>
  <si>
    <t>CUS95905</t>
  </si>
  <si>
    <t>ORD-2026-100280</t>
  </si>
  <si>
    <t>CUS29356</t>
  </si>
  <si>
    <t>ORD-2026-100281</t>
  </si>
  <si>
    <t>CUS97590</t>
  </si>
  <si>
    <t>ORD-2026-100282</t>
  </si>
  <si>
    <t>CUS96520</t>
  </si>
  <si>
    <t>ORD-2026-100283</t>
  </si>
  <si>
    <t>CUS15210</t>
  </si>
  <si>
    <t>ORD-2026-100284</t>
  </si>
  <si>
    <t>CUS60747</t>
  </si>
  <si>
    <t>ORD-2026-100285</t>
  </si>
  <si>
    <t>CUS95520</t>
  </si>
  <si>
    <t>ORD-2026-100286</t>
  </si>
  <si>
    <t>CUS13864</t>
  </si>
  <si>
    <t>ORD-2026-100287</t>
  </si>
  <si>
    <t>CUS40432</t>
  </si>
  <si>
    <t>ORD-2026-100288</t>
  </si>
  <si>
    <t>CUS45370</t>
  </si>
  <si>
    <t>ORD-2026-100289</t>
  </si>
  <si>
    <t>CUS84964</t>
  </si>
  <si>
    <t>ORD-2026-100290</t>
  </si>
  <si>
    <t>CUS49918</t>
  </si>
  <si>
    <t>ORD-2026-100291</t>
  </si>
  <si>
    <t>CUS52396</t>
  </si>
  <si>
    <t>ORD-2026-100292</t>
  </si>
  <si>
    <t>CUS77065</t>
  </si>
  <si>
    <t>ORD-2026-100293</t>
  </si>
  <si>
    <t>CUS47851</t>
  </si>
  <si>
    <t>ORD-2026-100294</t>
  </si>
  <si>
    <t>CUS10861</t>
  </si>
  <si>
    <t>ORD-2026-100295</t>
  </si>
  <si>
    <t>CUS24272</t>
  </si>
  <si>
    <t>ORD-2026-100296</t>
  </si>
  <si>
    <t>CUS18869</t>
  </si>
  <si>
    <t>ORD-2026-100297</t>
  </si>
  <si>
    <t>CUS73394</t>
  </si>
  <si>
    <t>ORD-2026-100298</t>
  </si>
  <si>
    <t>CUS10207</t>
  </si>
  <si>
    <t>ORD-2026-100299</t>
  </si>
  <si>
    <t>CUS52457</t>
  </si>
  <si>
    <t>ORD-2026-100300</t>
  </si>
  <si>
    <t>CUS80381</t>
  </si>
  <si>
    <t>ORD-2026-100301</t>
  </si>
  <si>
    <t>CUS80028</t>
  </si>
  <si>
    <t>ORD-2026-100302</t>
  </si>
  <si>
    <t>CUS24710</t>
  </si>
  <si>
    <t>ORD-2026-100303</t>
  </si>
  <si>
    <t>CUS77652</t>
  </si>
  <si>
    <t>ORD-2026-100304</t>
  </si>
  <si>
    <t>CUS37504</t>
  </si>
  <si>
    <t>ORD-2026-100305</t>
  </si>
  <si>
    <t>CUS51744</t>
  </si>
  <si>
    <t>ORD-2026-100306</t>
  </si>
  <si>
    <t>CUS61369</t>
  </si>
  <si>
    <t>ORD-2026-100307</t>
  </si>
  <si>
    <t>CUS71000</t>
  </si>
  <si>
    <t>ORD-2026-100308</t>
  </si>
  <si>
    <t>CUS55693</t>
  </si>
  <si>
    <t>ORD-2026-100309</t>
  </si>
  <si>
    <t>CUS60307</t>
  </si>
  <si>
    <t>ORD-2026-100310</t>
  </si>
  <si>
    <t>CUS52647</t>
  </si>
  <si>
    <t>ORD-2026-100311</t>
  </si>
  <si>
    <t>CUS93379</t>
  </si>
  <si>
    <t>ORD-2026-100312</t>
  </si>
  <si>
    <t>CUS55123</t>
  </si>
  <si>
    <t>ORD-2026-100313</t>
  </si>
  <si>
    <t>CUS87353</t>
  </si>
  <si>
    <t>ORD-2026-100314</t>
  </si>
  <si>
    <t>CUS97826</t>
  </si>
  <si>
    <t>ORD-2026-100315</t>
  </si>
  <si>
    <t>CUS69558</t>
  </si>
  <si>
    <t>ORD-2026-100316</t>
  </si>
  <si>
    <t>CUS84468</t>
  </si>
  <si>
    <t>ORD-2026-100317</t>
  </si>
  <si>
    <t>CUS97650</t>
  </si>
  <si>
    <t>ORD-2026-100318</t>
  </si>
  <si>
    <t>CUS88333</t>
  </si>
  <si>
    <t>ORD-2026-100319</t>
  </si>
  <si>
    <t>CUS46073</t>
  </si>
  <si>
    <t>ORD-2026-100320</t>
  </si>
  <si>
    <t>CUS75004</t>
  </si>
  <si>
    <t>ORD-2026-100321</t>
  </si>
  <si>
    <t>CUS79798</t>
  </si>
  <si>
    <t>ORD-2026-100322</t>
  </si>
  <si>
    <t>CUS45728</t>
  </si>
  <si>
    <t>ORD-2026-100323</t>
  </si>
  <si>
    <t>CUS18906</t>
  </si>
  <si>
    <t>ORD-2026-100324</t>
  </si>
  <si>
    <t>CUS21322</t>
  </si>
  <si>
    <t>ORD-2026-100325</t>
  </si>
  <si>
    <t>CUS46344</t>
  </si>
  <si>
    <t>ORD-2026-100326</t>
  </si>
  <si>
    <t>CUS94323</t>
  </si>
  <si>
    <t>ORD-2026-100327</t>
  </si>
  <si>
    <t>CUS53231</t>
  </si>
  <si>
    <t>ORD-2026-100328</t>
  </si>
  <si>
    <t>CUS94813</t>
  </si>
  <si>
    <t>ORD-2026-100329</t>
  </si>
  <si>
    <t>CUS92941</t>
  </si>
  <si>
    <t>ORD-2026-100330</t>
  </si>
  <si>
    <t>CUS15611</t>
  </si>
  <si>
    <t>ORD-2026-100331</t>
  </si>
  <si>
    <t>CUS11882</t>
  </si>
  <si>
    <t>ORD-2026-100332</t>
  </si>
  <si>
    <t>CUS98918</t>
  </si>
  <si>
    <t>ORD-2026-100333</t>
  </si>
  <si>
    <t>CUS86282</t>
  </si>
  <si>
    <t>ORD-2026-100334</t>
  </si>
  <si>
    <t>CUS28754</t>
  </si>
  <si>
    <t>ORD-2026-100335</t>
  </si>
  <si>
    <t>CUS83100</t>
  </si>
  <si>
    <t>ORD-2026-100336</t>
  </si>
  <si>
    <t>CUS15651</t>
  </si>
  <si>
    <t>ORD-2026-100337</t>
  </si>
  <si>
    <t>CUS68303</t>
  </si>
  <si>
    <t>ORD-2026-100338</t>
  </si>
  <si>
    <t>CUS67129</t>
  </si>
  <si>
    <t>ORD-2026-100339</t>
  </si>
  <si>
    <t>CUS70106</t>
  </si>
  <si>
    <t>ORD-2026-100340</t>
  </si>
  <si>
    <t>CUS66113</t>
  </si>
  <si>
    <t>ORD-2026-100341</t>
  </si>
  <si>
    <t>CUS22844</t>
  </si>
  <si>
    <t>ORD-2026-100342</t>
  </si>
  <si>
    <t>CUS86501</t>
  </si>
  <si>
    <t>ORD-2026-100343</t>
  </si>
  <si>
    <t>CUS37151</t>
  </si>
  <si>
    <t>ORD-2026-100344</t>
  </si>
  <si>
    <t>CUS36832</t>
  </si>
  <si>
    <t>ORD-2026-100345</t>
  </si>
  <si>
    <t>CUS75726</t>
  </si>
  <si>
    <t>ORD-2026-100346</t>
  </si>
  <si>
    <t>CUS29392</t>
  </si>
  <si>
    <t>ORD-2026-100347</t>
  </si>
  <si>
    <t>CUS54024</t>
  </si>
  <si>
    <t>ORD-2026-100348</t>
  </si>
  <si>
    <t>CUS16202</t>
  </si>
  <si>
    <t>ORD-2026-100349</t>
  </si>
  <si>
    <t>CUS34182</t>
  </si>
  <si>
    <t>ORD-2026-100350</t>
  </si>
  <si>
    <t>CUS76507</t>
  </si>
  <si>
    <t>ORD-2026-100351</t>
  </si>
  <si>
    <t>CUS62642</t>
  </si>
  <si>
    <t>ORD-2026-100352</t>
  </si>
  <si>
    <t>CUS61697</t>
  </si>
  <si>
    <t>ORD-2026-100353</t>
  </si>
  <si>
    <t>CUS64474</t>
  </si>
  <si>
    <t>ORD-2026-100354</t>
  </si>
  <si>
    <t>CUS10867</t>
  </si>
  <si>
    <t>ORD-2026-100355</t>
  </si>
  <si>
    <t>CUS83306</t>
  </si>
  <si>
    <t>ORD-2026-100356</t>
  </si>
  <si>
    <t>CUS88497</t>
  </si>
  <si>
    <t>ORD-2026-100357</t>
  </si>
  <si>
    <t>CUS45739</t>
  </si>
  <si>
    <t>ORD-2026-100358</t>
  </si>
  <si>
    <t>CUS57516</t>
  </si>
  <si>
    <t>ORD-2026-100359</t>
  </si>
  <si>
    <t>CUS78898</t>
  </si>
  <si>
    <t>ORD-2026-100360</t>
  </si>
  <si>
    <t>CUS25544</t>
  </si>
  <si>
    <t>ORD-2026-100361</t>
  </si>
  <si>
    <t>CUS17768</t>
  </si>
  <si>
    <t>ORD-2026-100362</t>
  </si>
  <si>
    <t>CUS85989</t>
  </si>
  <si>
    <t>ORD-2026-100363</t>
  </si>
  <si>
    <t>CUS22934</t>
  </si>
  <si>
    <t>ORD-2026-100364</t>
  </si>
  <si>
    <t>CUS24459</t>
  </si>
  <si>
    <t>ORD-2026-100365</t>
  </si>
  <si>
    <t>CUS66093</t>
  </si>
  <si>
    <t>ORD-2026-100366</t>
  </si>
  <si>
    <t>CUS18481</t>
  </si>
  <si>
    <t>ORD-2026-100367</t>
  </si>
  <si>
    <t>CUS29316</t>
  </si>
  <si>
    <t>ORD-2026-100368</t>
  </si>
  <si>
    <t>CUS20029</t>
  </si>
  <si>
    <t>ORD-2026-100369</t>
  </si>
  <si>
    <t>CUS68997</t>
  </si>
  <si>
    <t>ORD-2026-100370</t>
  </si>
  <si>
    <t>CUS96517</t>
  </si>
  <si>
    <t>ORD-2026-100371</t>
  </si>
  <si>
    <t>CUS15913</t>
  </si>
  <si>
    <t>ORD-2026-100372</t>
  </si>
  <si>
    <t>CUS18585</t>
  </si>
  <si>
    <t>ORD-2026-100373</t>
  </si>
  <si>
    <t>CUS85043</t>
  </si>
  <si>
    <t>ORD-2026-100374</t>
  </si>
  <si>
    <t>CUS80232</t>
  </si>
  <si>
    <t>ORD-2026-100375</t>
  </si>
  <si>
    <t>CUS49563</t>
  </si>
  <si>
    <t>ORD-2026-100376</t>
  </si>
  <si>
    <t>CUS37912</t>
  </si>
  <si>
    <t>ORD-2026-100377</t>
  </si>
  <si>
    <t>CUS18444</t>
  </si>
  <si>
    <t>ORD-2026-100378</t>
  </si>
  <si>
    <t>CUS14850</t>
  </si>
  <si>
    <t>ORD-2026-100379</t>
  </si>
  <si>
    <t>CUS63347</t>
  </si>
  <si>
    <t>ORD-2026-100380</t>
  </si>
  <si>
    <t>CUS61111</t>
  </si>
  <si>
    <t>ORD-2026-100381</t>
  </si>
  <si>
    <t>CUS46403</t>
  </si>
  <si>
    <t>ORD-2026-100382</t>
  </si>
  <si>
    <t>CUS80111</t>
  </si>
  <si>
    <t>ORD-2026-100383</t>
  </si>
  <si>
    <t>CUS45918</t>
  </si>
  <si>
    <t>ORD-2026-100384</t>
  </si>
  <si>
    <t>CUS13584</t>
  </si>
  <si>
    <t>ORD-2026-100385</t>
  </si>
  <si>
    <t>CUS51864</t>
  </si>
  <si>
    <t>ORD-2026-100386</t>
  </si>
  <si>
    <t>CUS83207</t>
  </si>
  <si>
    <t>ORD-2026-100387</t>
  </si>
  <si>
    <t>CUS69468</t>
  </si>
  <si>
    <t>ORD-2026-100388</t>
  </si>
  <si>
    <t>CUS29129</t>
  </si>
  <si>
    <t>ORD-2026-100389</t>
  </si>
  <si>
    <t>CUS65481</t>
  </si>
  <si>
    <t>ORD-2026-100390</t>
  </si>
  <si>
    <t>CUS83342</t>
  </si>
  <si>
    <t>ORD-2026-100391</t>
  </si>
  <si>
    <t>CUS57263</t>
  </si>
  <si>
    <t>ORD-2026-100392</t>
  </si>
  <si>
    <t>CUS44108</t>
  </si>
  <si>
    <t>ORD-2026-100393</t>
  </si>
  <si>
    <t>CUS47239</t>
  </si>
  <si>
    <t>ORD-2026-100394</t>
  </si>
  <si>
    <t>CUS53077</t>
  </si>
  <si>
    <t>ORD-2026-100395</t>
  </si>
  <si>
    <t>CUS96005</t>
  </si>
  <si>
    <t>ORD-2026-100396</t>
  </si>
  <si>
    <t>CUS62286</t>
  </si>
  <si>
    <t>ORD-2026-100397</t>
  </si>
  <si>
    <t>CUS57060</t>
  </si>
  <si>
    <t>ORD-2026-100398</t>
  </si>
  <si>
    <t>CUS54793</t>
  </si>
  <si>
    <t>ORD-2026-100399</t>
  </si>
  <si>
    <t>CUS49375</t>
  </si>
  <si>
    <t>ORD-2026-100400</t>
  </si>
  <si>
    <t>CUS75987</t>
  </si>
  <si>
    <t>ORD-2026-100401</t>
  </si>
  <si>
    <t>CUS34535</t>
  </si>
  <si>
    <t>ORD-2026-100402</t>
  </si>
  <si>
    <t>CUS57281</t>
  </si>
  <si>
    <t>ORD-2026-100403</t>
  </si>
  <si>
    <t>CUS21284</t>
  </si>
  <si>
    <t>ORD-2026-100404</t>
  </si>
  <si>
    <t>CUS16674</t>
  </si>
  <si>
    <t>ORD-2026-100405</t>
  </si>
  <si>
    <t>CUS12492</t>
  </si>
  <si>
    <t>ORD-2026-100406</t>
  </si>
  <si>
    <t>CUS87025</t>
  </si>
  <si>
    <t>ORD-2026-100407</t>
  </si>
  <si>
    <t>CUS30488</t>
  </si>
  <si>
    <t>ORD-2026-100408</t>
  </si>
  <si>
    <t>CUS24938</t>
  </si>
  <si>
    <t>ORD-2026-100409</t>
  </si>
  <si>
    <t>CUS24539</t>
  </si>
  <si>
    <t>ORD-2026-100410</t>
  </si>
  <si>
    <t>CUS57675</t>
  </si>
  <si>
    <t>ORD-2026-100411</t>
  </si>
  <si>
    <t>CUS42171</t>
  </si>
  <si>
    <t>ORD-2026-100412</t>
  </si>
  <si>
    <t>CUS51262</t>
  </si>
  <si>
    <t>ORD-2026-100413</t>
  </si>
  <si>
    <t>CUS51116</t>
  </si>
  <si>
    <t>ORD-2026-100414</t>
  </si>
  <si>
    <t>CUS80442</t>
  </si>
  <si>
    <t>ORD-2026-100415</t>
  </si>
  <si>
    <t>CUS65410</t>
  </si>
  <si>
    <t>ORD-2026-100416</t>
  </si>
  <si>
    <t>CUS92279</t>
  </si>
  <si>
    <t>ORD-2026-100417</t>
  </si>
  <si>
    <t>CUS65796</t>
  </si>
  <si>
    <t>ORD-2026-100418</t>
  </si>
  <si>
    <t>CUS74165</t>
  </si>
  <si>
    <t>ORD-2026-100419</t>
  </si>
  <si>
    <t>CUS24461</t>
  </si>
  <si>
    <t>ORD-2026-100420</t>
  </si>
  <si>
    <t>CUS74067</t>
  </si>
  <si>
    <t>ORD-2026-100421</t>
  </si>
  <si>
    <t>CUS70415</t>
  </si>
  <si>
    <t>ORD-2026-100422</t>
  </si>
  <si>
    <t>CUS31707</t>
  </si>
  <si>
    <t>ORD-2026-100423</t>
  </si>
  <si>
    <t>CUS33559</t>
  </si>
  <si>
    <t>ORD-2026-100424</t>
  </si>
  <si>
    <t>CUS23019</t>
  </si>
  <si>
    <t>ORD-2026-100425</t>
  </si>
  <si>
    <t>CUS52495</t>
  </si>
  <si>
    <t>ORD-2026-100426</t>
  </si>
  <si>
    <t>CUS40636</t>
  </si>
  <si>
    <t>ORD-2026-100427</t>
  </si>
  <si>
    <t>CUS80455</t>
  </si>
  <si>
    <t>ORD-2026-100428</t>
  </si>
  <si>
    <t>CUS37886</t>
  </si>
  <si>
    <t>ORD-2026-100429</t>
  </si>
  <si>
    <t>CUS51720</t>
  </si>
  <si>
    <t>ORD-2026-100430</t>
  </si>
  <si>
    <t>CUS64154</t>
  </si>
  <si>
    <t>ORD-2026-100431</t>
  </si>
  <si>
    <t>CUS35295</t>
  </si>
  <si>
    <t>ORD-2026-100432</t>
  </si>
  <si>
    <t>CUS89433</t>
  </si>
  <si>
    <t>ORD-2026-100433</t>
  </si>
  <si>
    <t>CUS26702</t>
  </si>
  <si>
    <t>ORD-2026-100434</t>
  </si>
  <si>
    <t>ORD-2026-100435</t>
  </si>
  <si>
    <t>CUS65550</t>
  </si>
  <si>
    <t>ORD-2026-100436</t>
  </si>
  <si>
    <t>CUS17134</t>
  </si>
  <si>
    <t>ORD-2026-100437</t>
  </si>
  <si>
    <t>CUS49514</t>
  </si>
  <si>
    <t>ORD-2026-100438</t>
  </si>
  <si>
    <t>CUS66112</t>
  </si>
  <si>
    <t>ORD-2026-100439</t>
  </si>
  <si>
    <t>CUS56581</t>
  </si>
  <si>
    <t>ORD-2026-100440</t>
  </si>
  <si>
    <t>CUS54944</t>
  </si>
  <si>
    <t>ORD-2026-100441</t>
  </si>
  <si>
    <t>CUS88612</t>
  </si>
  <si>
    <t>ORD-2026-100442</t>
  </si>
  <si>
    <t>CUS53452</t>
  </si>
  <si>
    <t>ORD-2026-100443</t>
  </si>
  <si>
    <t>CUS35929</t>
  </si>
  <si>
    <t>ORD-2026-100444</t>
  </si>
  <si>
    <t>CUS37556</t>
  </si>
  <si>
    <t>ORD-2026-100445</t>
  </si>
  <si>
    <t>CUS42053</t>
  </si>
  <si>
    <t>ORD-2026-100446</t>
  </si>
  <si>
    <t>CUS90594</t>
  </si>
  <si>
    <t>ORD-2026-100447</t>
  </si>
  <si>
    <t>CUS38773</t>
  </si>
  <si>
    <t>ORD-2026-100448</t>
  </si>
  <si>
    <t>CUS54089</t>
  </si>
  <si>
    <t>ORD-2026-100449</t>
  </si>
  <si>
    <t>CUS81650</t>
  </si>
  <si>
    <t>ORD-2026-100450</t>
  </si>
  <si>
    <t>CUS89171</t>
  </si>
  <si>
    <t>ORD-2026-100451</t>
  </si>
  <si>
    <t>CUS37508</t>
  </si>
  <si>
    <t>ORD-2026-100452</t>
  </si>
  <si>
    <t>CUS11268</t>
  </si>
  <si>
    <t>ORD-2026-100453</t>
  </si>
  <si>
    <t>CUS84473</t>
  </si>
  <si>
    <t>ORD-2026-100454</t>
  </si>
  <si>
    <t>CUS82470</t>
  </si>
  <si>
    <t>ORD-2026-100455</t>
  </si>
  <si>
    <t>CUS63852</t>
  </si>
  <si>
    <t>ORD-2026-100456</t>
  </si>
  <si>
    <t>CUS36604</t>
  </si>
  <si>
    <t>ORD-2026-100457</t>
  </si>
  <si>
    <t>CUS94711</t>
  </si>
  <si>
    <t>ORD-2026-100458</t>
  </si>
  <si>
    <t>CUS80482</t>
  </si>
  <si>
    <t>ORD-2026-100459</t>
  </si>
  <si>
    <t>CUS70542</t>
  </si>
  <si>
    <t>ORD-2026-100460</t>
  </si>
  <si>
    <t>CUS31150</t>
  </si>
  <si>
    <t>ORD-2026-100461</t>
  </si>
  <si>
    <t>CUS38333</t>
  </si>
  <si>
    <t>ORD-2026-100462</t>
  </si>
  <si>
    <t>CUS54186</t>
  </si>
  <si>
    <t>ORD-2026-100463</t>
  </si>
  <si>
    <t>CUS23878</t>
  </si>
  <si>
    <t>ORD-2026-100464</t>
  </si>
  <si>
    <t>CUS23344</t>
  </si>
  <si>
    <t>ORD-2026-100465</t>
  </si>
  <si>
    <t>CUS86681</t>
  </si>
  <si>
    <t>ORD-2026-100466</t>
  </si>
  <si>
    <t>CUS59250</t>
  </si>
  <si>
    <t>ORD-2026-100467</t>
  </si>
  <si>
    <t>CUS97163</t>
  </si>
  <si>
    <t>ORD-2026-100468</t>
  </si>
  <si>
    <t>CUS81938</t>
  </si>
  <si>
    <t>ORD-2026-100469</t>
  </si>
  <si>
    <t>CUS20487</t>
  </si>
  <si>
    <t>ORD-2026-100470</t>
  </si>
  <si>
    <t>CUS59866</t>
  </si>
  <si>
    <t>ORD-2026-100471</t>
  </si>
  <si>
    <t>CUS61727</t>
  </si>
  <si>
    <t>ORD-2026-100472</t>
  </si>
  <si>
    <t>CUS58258</t>
  </si>
  <si>
    <t>ORD-2026-100473</t>
  </si>
  <si>
    <t>CUS31158</t>
  </si>
  <si>
    <t>ORD-2026-100474</t>
  </si>
  <si>
    <t>CUS63950</t>
  </si>
  <si>
    <t>ORD-2026-100475</t>
  </si>
  <si>
    <t>CUS32365</t>
  </si>
  <si>
    <t>ORD-2026-100476</t>
  </si>
  <si>
    <t>CUS63581</t>
  </si>
  <si>
    <t>ORD-2026-100477</t>
  </si>
  <si>
    <t>CUS10947</t>
  </si>
  <si>
    <t>ORD-2026-100478</t>
  </si>
  <si>
    <t>CUS62228</t>
  </si>
  <si>
    <t>ORD-2026-100479</t>
  </si>
  <si>
    <t>CUS69233</t>
  </si>
  <si>
    <t>ORD-2026-100480</t>
  </si>
  <si>
    <t>CUS55656</t>
  </si>
  <si>
    <t>ORD-2026-100481</t>
  </si>
  <si>
    <t>CUS73198</t>
  </si>
  <si>
    <t>ORD-2026-100482</t>
  </si>
  <si>
    <t>CUS26134</t>
  </si>
  <si>
    <t>ORD-2026-100483</t>
  </si>
  <si>
    <t>CUS83649</t>
  </si>
  <si>
    <t>ORD-2026-100484</t>
  </si>
  <si>
    <t>CUS34885</t>
  </si>
  <si>
    <t>ORD-2026-100485</t>
  </si>
  <si>
    <t>CUS47144</t>
  </si>
  <si>
    <t>ORD-2026-100486</t>
  </si>
  <si>
    <t>CUS37605</t>
  </si>
  <si>
    <t>ORD-2026-100487</t>
  </si>
  <si>
    <t>CUS47098</t>
  </si>
  <si>
    <t>ORD-2026-100488</t>
  </si>
  <si>
    <t>CUS28982</t>
  </si>
  <si>
    <t>ORD-2026-100489</t>
  </si>
  <si>
    <t>CUS54366</t>
  </si>
  <si>
    <t>ORD-2026-100490</t>
  </si>
  <si>
    <t>CUS95237</t>
  </si>
  <si>
    <t>ORD-2026-100491</t>
  </si>
  <si>
    <t>CUS33736</t>
  </si>
  <si>
    <t>ORD-2026-100492</t>
  </si>
  <si>
    <t>CUS86640</t>
  </si>
  <si>
    <t>ORD-2026-100493</t>
  </si>
  <si>
    <t>CUS14588</t>
  </si>
  <si>
    <t>ORD-2026-100494</t>
  </si>
  <si>
    <t>CUS78506</t>
  </si>
  <si>
    <t>ORD-2026-100495</t>
  </si>
  <si>
    <t>CUS19746</t>
  </si>
  <si>
    <t>ORD-2026-100496</t>
  </si>
  <si>
    <t>CUS94904</t>
  </si>
  <si>
    <t>ORD-2026-100497</t>
  </si>
  <si>
    <t>CUS53714</t>
  </si>
  <si>
    <t>ORD-2026-100498</t>
  </si>
  <si>
    <t>CUS46961</t>
  </si>
  <si>
    <t>ORD-2026-100499</t>
  </si>
  <si>
    <t>CUS84391</t>
  </si>
  <si>
    <t>ORD-2026-100500</t>
  </si>
  <si>
    <t>CUS21395</t>
  </si>
  <si>
    <t>ORD-2026-100501</t>
  </si>
  <si>
    <t>CUS76674</t>
  </si>
  <si>
    <t>ORD-2026-100502</t>
  </si>
  <si>
    <t>CUS79220</t>
  </si>
  <si>
    <t>ORD-2026-100503</t>
  </si>
  <si>
    <t>CUS99006</t>
  </si>
  <si>
    <t>ORD-2026-100504</t>
  </si>
  <si>
    <t>CUS70339</t>
  </si>
  <si>
    <t>ORD-2026-100505</t>
  </si>
  <si>
    <t>CUS30398</t>
  </si>
  <si>
    <t>ORD-2026-100506</t>
  </si>
  <si>
    <t>CUS36013</t>
  </si>
  <si>
    <t>ORD-2026-100507</t>
  </si>
  <si>
    <t>CUS62412</t>
  </si>
  <si>
    <t>ORD-2026-100508</t>
  </si>
  <si>
    <t>CUS73691</t>
  </si>
  <si>
    <t>ORD-2026-100509</t>
  </si>
  <si>
    <t>CUS75841</t>
  </si>
  <si>
    <t>ORD-2026-100510</t>
  </si>
  <si>
    <t>CUS39068</t>
  </si>
  <si>
    <t>ORD-2026-100511</t>
  </si>
  <si>
    <t>CUS52157</t>
  </si>
  <si>
    <t>ORD-2026-100512</t>
  </si>
  <si>
    <t>CUS87189</t>
  </si>
  <si>
    <t>ORD-2026-100513</t>
  </si>
  <si>
    <t>CUS91134</t>
  </si>
  <si>
    <t>ORD-2026-100514</t>
  </si>
  <si>
    <t>CUS73284</t>
  </si>
  <si>
    <t>ORD-2026-100515</t>
  </si>
  <si>
    <t>CUS83727</t>
  </si>
  <si>
    <t>ORD-2026-100516</t>
  </si>
  <si>
    <t>CUS39350</t>
  </si>
  <si>
    <t>ORD-2026-100517</t>
  </si>
  <si>
    <t>CUS81994</t>
  </si>
  <si>
    <t>ORD-2026-100518</t>
  </si>
  <si>
    <t>CUS95698</t>
  </si>
  <si>
    <t>ORD-2026-100519</t>
  </si>
  <si>
    <t>CUS33083</t>
  </si>
  <si>
    <t>ORD-2026-100520</t>
  </si>
  <si>
    <t>CUS79045</t>
  </si>
  <si>
    <t>ORD-2026-100521</t>
  </si>
  <si>
    <t>CUS23938</t>
  </si>
  <si>
    <t>ORD-2026-100522</t>
  </si>
  <si>
    <t>CUS23476</t>
  </si>
  <si>
    <t>ORD-2026-100523</t>
  </si>
  <si>
    <t>CUS24733</t>
  </si>
  <si>
    <t>ORD-2026-100524</t>
  </si>
  <si>
    <t>CUS65737</t>
  </si>
  <si>
    <t>ORD-2026-100525</t>
  </si>
  <si>
    <t>CUS72709</t>
  </si>
  <si>
    <t>ORD-2026-100526</t>
  </si>
  <si>
    <t>CUS95715</t>
  </si>
  <si>
    <t>ORD-2026-100527</t>
  </si>
  <si>
    <t>CUS57409</t>
  </si>
  <si>
    <t>ORD-2026-100528</t>
  </si>
  <si>
    <t>CUS17322</t>
  </si>
  <si>
    <t>ORD-2026-100529</t>
  </si>
  <si>
    <t>CUS64590</t>
  </si>
  <si>
    <t>ORD-2026-100530</t>
  </si>
  <si>
    <t>CUS31017</t>
  </si>
  <si>
    <t>ORD-2026-100531</t>
  </si>
  <si>
    <t>CUS17339</t>
  </si>
  <si>
    <t>ORD-2026-100532</t>
  </si>
  <si>
    <t>CUS24208</t>
  </si>
  <si>
    <t>ORD-2026-100533</t>
  </si>
  <si>
    <t>CUS45280</t>
  </si>
  <si>
    <t>ORD-2026-100534</t>
  </si>
  <si>
    <t>CUS22763</t>
  </si>
  <si>
    <t>ORD-2026-100535</t>
  </si>
  <si>
    <t>CUS99320</t>
  </si>
  <si>
    <t>ORD-2026-100536</t>
  </si>
  <si>
    <t>CUS41340</t>
  </si>
  <si>
    <t>ORD-2026-100537</t>
  </si>
  <si>
    <t>CUS57622</t>
  </si>
  <si>
    <t>ORD-2026-100538</t>
  </si>
  <si>
    <t>CUS26906</t>
  </si>
  <si>
    <t>ORD-2026-100539</t>
  </si>
  <si>
    <t>CUS19565</t>
  </si>
  <si>
    <t>ORD-2026-100540</t>
  </si>
  <si>
    <t>CUS73739</t>
  </si>
  <si>
    <t>ORD-2026-100541</t>
  </si>
  <si>
    <t>CUS37973</t>
  </si>
  <si>
    <t>ORD-2026-100542</t>
  </si>
  <si>
    <t>CUS34127</t>
  </si>
  <si>
    <t>ORD-2026-100543</t>
  </si>
  <si>
    <t>CUS90807</t>
  </si>
  <si>
    <t>ORD-2026-100544</t>
  </si>
  <si>
    <t>CUS14782</t>
  </si>
  <si>
    <t>ORD-2026-100545</t>
  </si>
  <si>
    <t>CUS26350</t>
  </si>
  <si>
    <t>ORD-2026-100546</t>
  </si>
  <si>
    <t>CUS96455</t>
  </si>
  <si>
    <t>ORD-2026-100547</t>
  </si>
  <si>
    <t>CUS14277</t>
  </si>
  <si>
    <t>ORD-2026-100548</t>
  </si>
  <si>
    <t>CUS39351</t>
  </si>
  <si>
    <t>ORD-2026-100549</t>
  </si>
  <si>
    <t>CUS53920</t>
  </si>
  <si>
    <t>ORD-2026-100550</t>
  </si>
  <si>
    <t>CUS26558</t>
  </si>
  <si>
    <t>ORD-2026-100551</t>
  </si>
  <si>
    <t>CUS84946</t>
  </si>
  <si>
    <t>ORD-2026-100552</t>
  </si>
  <si>
    <t>CUS23555</t>
  </si>
  <si>
    <t>ORD-2026-100553</t>
  </si>
  <si>
    <t>CUS37563</t>
  </si>
  <si>
    <t>ORD-2026-100554</t>
  </si>
  <si>
    <t>CUS43357</t>
  </si>
  <si>
    <t>ORD-2026-100555</t>
  </si>
  <si>
    <t>CUS55685</t>
  </si>
  <si>
    <t>ORD-2026-100556</t>
  </si>
  <si>
    <t>CUS73941</t>
  </si>
  <si>
    <t>ORD-2026-100557</t>
  </si>
  <si>
    <t>CUS43169</t>
  </si>
  <si>
    <t>ORD-2026-100558</t>
  </si>
  <si>
    <t>CUS11262</t>
  </si>
  <si>
    <t>ORD-2026-100559</t>
  </si>
  <si>
    <t>CUS97994</t>
  </si>
  <si>
    <t>ORD-2026-100560</t>
  </si>
  <si>
    <t>CUS12787</t>
  </si>
  <si>
    <t>ORD-2026-100561</t>
  </si>
  <si>
    <t>CUS55327</t>
  </si>
  <si>
    <t>ORD-2026-100562</t>
  </si>
  <si>
    <t>CUS67105</t>
  </si>
  <si>
    <t>ORD-2026-100563</t>
  </si>
  <si>
    <t>CUS59749</t>
  </si>
  <si>
    <t>ORD-2026-100564</t>
  </si>
  <si>
    <t>CUS52193</t>
  </si>
  <si>
    <t>ORD-2026-100565</t>
  </si>
  <si>
    <t>CUS54623</t>
  </si>
  <si>
    <t>ORD-2026-100566</t>
  </si>
  <si>
    <t>CUS65455</t>
  </si>
  <si>
    <t>ORD-2026-100567</t>
  </si>
  <si>
    <t>CUS21018</t>
  </si>
  <si>
    <t>ORD-2026-100568</t>
  </si>
  <si>
    <t>CUS87863</t>
  </si>
  <si>
    <t>ORD-2026-100569</t>
  </si>
  <si>
    <t>CUS63026</t>
  </si>
  <si>
    <t>ORD-2026-100570</t>
  </si>
  <si>
    <t>CUS41276</t>
  </si>
  <si>
    <t>ORD-2026-100571</t>
  </si>
  <si>
    <t>CUS87857</t>
  </si>
  <si>
    <t>ORD-2026-100572</t>
  </si>
  <si>
    <t>CUS69325</t>
  </si>
  <si>
    <t>ORD-2026-100573</t>
  </si>
  <si>
    <t>CUS93859</t>
  </si>
  <si>
    <t>ORD-2026-100574</t>
  </si>
  <si>
    <t>CUS98971</t>
  </si>
  <si>
    <t>ORD-2026-100575</t>
  </si>
  <si>
    <t>CUS55481</t>
  </si>
  <si>
    <t>ORD-2026-100576</t>
  </si>
  <si>
    <t>CUS26178</t>
  </si>
  <si>
    <t>ORD-2026-100577</t>
  </si>
  <si>
    <t>CUS66629</t>
  </si>
  <si>
    <t>ORD-2026-100578</t>
  </si>
  <si>
    <t>CUS52268</t>
  </si>
  <si>
    <t>ORD-2026-100579</t>
  </si>
  <si>
    <t>CUS51059</t>
  </si>
  <si>
    <t>ORD-2026-100580</t>
  </si>
  <si>
    <t>CUS58904</t>
  </si>
  <si>
    <t>ORD-2026-100581</t>
  </si>
  <si>
    <t>CUS53710</t>
  </si>
  <si>
    <t>ORD-2026-100582</t>
  </si>
  <si>
    <t>CUS30286</t>
  </si>
  <si>
    <t>ORD-2026-100583</t>
  </si>
  <si>
    <t>CUS25966</t>
  </si>
  <si>
    <t>ORD-2026-100584</t>
  </si>
  <si>
    <t>CUS81654</t>
  </si>
  <si>
    <t>ORD-2026-100585</t>
  </si>
  <si>
    <t>CUS61043</t>
  </si>
  <si>
    <t>ORD-2026-100586</t>
  </si>
  <si>
    <t>CUS61199</t>
  </si>
  <si>
    <t>ORD-2026-100587</t>
  </si>
  <si>
    <t>CUS96364</t>
  </si>
  <si>
    <t>ORD-2026-100588</t>
  </si>
  <si>
    <t>CUS72444</t>
  </si>
  <si>
    <t>ORD-2026-100589</t>
  </si>
  <si>
    <t>CUS13861</t>
  </si>
  <si>
    <t>ORD-2026-100590</t>
  </si>
  <si>
    <t>CUS86298</t>
  </si>
  <si>
    <t>ORD-2026-100591</t>
  </si>
  <si>
    <t>CUS37194</t>
  </si>
  <si>
    <t>ORD-2026-100592</t>
  </si>
  <si>
    <t>CUS25456</t>
  </si>
  <si>
    <t>ORD-2026-100593</t>
  </si>
  <si>
    <t>CUS62326</t>
  </si>
  <si>
    <t>ORD-2026-100594</t>
  </si>
  <si>
    <t>CUS96944</t>
  </si>
  <si>
    <t>ORD-2026-100595</t>
  </si>
  <si>
    <t>CUS66559</t>
  </si>
  <si>
    <t>ORD-2026-100596</t>
  </si>
  <si>
    <t>CUS67403</t>
  </si>
  <si>
    <t>ORD-2026-100597</t>
  </si>
  <si>
    <t>CUS11952</t>
  </si>
  <si>
    <t>ORD-2026-100598</t>
  </si>
  <si>
    <t>CUS36982</t>
  </si>
  <si>
    <t>ORD-2026-100599</t>
  </si>
  <si>
    <t>CUS20282</t>
  </si>
  <si>
    <t>ORD-2026-100600</t>
  </si>
  <si>
    <t>CUS46433</t>
  </si>
  <si>
    <t>ORD-2026-100601</t>
  </si>
  <si>
    <t>CUS80981</t>
  </si>
  <si>
    <t>ORD-2026-100602</t>
  </si>
  <si>
    <t>CUS84488</t>
  </si>
  <si>
    <t>ORD-2026-100603</t>
  </si>
  <si>
    <t>CUS45225</t>
  </si>
  <si>
    <t>ORD-2026-100604</t>
  </si>
  <si>
    <t>CUS63557</t>
  </si>
  <si>
    <t>ORD-2026-100605</t>
  </si>
  <si>
    <t>CUS95799</t>
  </si>
  <si>
    <t>ORD-2026-100606</t>
  </si>
  <si>
    <t>CUS24835</t>
  </si>
  <si>
    <t>ORD-2026-100607</t>
  </si>
  <si>
    <t>CUS48543</t>
  </si>
  <si>
    <t>ORD-2026-100608</t>
  </si>
  <si>
    <t>CUS59655</t>
  </si>
  <si>
    <t>ORD-2026-100609</t>
  </si>
  <si>
    <t>CUS67805</t>
  </si>
  <si>
    <t>ORD-2026-100610</t>
  </si>
  <si>
    <t>CUS57432</t>
  </si>
  <si>
    <t>ORD-2026-100611</t>
  </si>
  <si>
    <t>CUS47602</t>
  </si>
  <si>
    <t>ORD-2026-100612</t>
  </si>
  <si>
    <t>CUS26567</t>
  </si>
  <si>
    <t>ORD-2026-100613</t>
  </si>
  <si>
    <t>CUS54124</t>
  </si>
  <si>
    <t>ORD-2026-100614</t>
  </si>
  <si>
    <t>CUS76764</t>
  </si>
  <si>
    <t>ORD-2026-100615</t>
  </si>
  <si>
    <t>CUS76614</t>
  </si>
  <si>
    <t>ORD-2026-100616</t>
  </si>
  <si>
    <t>CUS45893</t>
  </si>
  <si>
    <t>ORD-2026-100617</t>
  </si>
  <si>
    <t>CUS80756</t>
  </si>
  <si>
    <t>ORD-2026-100618</t>
  </si>
  <si>
    <t>CUS25720</t>
  </si>
  <si>
    <t>ORD-2026-100619</t>
  </si>
  <si>
    <t>CUS98091</t>
  </si>
  <si>
    <t>ORD-2026-100620</t>
  </si>
  <si>
    <t>CUS34524</t>
  </si>
  <si>
    <t>ORD-2026-100621</t>
  </si>
  <si>
    <t>CUS55705</t>
  </si>
  <si>
    <t>ORD-2026-100622</t>
  </si>
  <si>
    <t>CUS42426</t>
  </si>
  <si>
    <t>ORD-2026-100623</t>
  </si>
  <si>
    <t>CUS63609</t>
  </si>
  <si>
    <t>ORD-2026-100624</t>
  </si>
  <si>
    <t>CUS31828</t>
  </si>
  <si>
    <t>ORD-2026-100625</t>
  </si>
  <si>
    <t>CUS80185</t>
  </si>
  <si>
    <t>ORD-2026-100626</t>
  </si>
  <si>
    <t>CUS47105</t>
  </si>
  <si>
    <t>ORD-2026-100627</t>
  </si>
  <si>
    <t>CUS11932</t>
  </si>
  <si>
    <t>ORD-2026-100628</t>
  </si>
  <si>
    <t>CUS39131</t>
  </si>
  <si>
    <t>ORD-2026-100629</t>
  </si>
  <si>
    <t>CUS62081</t>
  </si>
  <si>
    <t>ORD-2026-100630</t>
  </si>
  <si>
    <t>CUS72064</t>
  </si>
  <si>
    <t>ORD-2026-100631</t>
  </si>
  <si>
    <t>CUS83716</t>
  </si>
  <si>
    <t>ORD-2026-100632</t>
  </si>
  <si>
    <t>CUS24898</t>
  </si>
  <si>
    <t>ORD-2026-100633</t>
  </si>
  <si>
    <t>CUS58710</t>
  </si>
  <si>
    <t>ORD-2026-100634</t>
  </si>
  <si>
    <t>CUS31527</t>
  </si>
  <si>
    <t>ORD-2026-100635</t>
  </si>
  <si>
    <t>CUS55934</t>
  </si>
  <si>
    <t>ORD-2026-100636</t>
  </si>
  <si>
    <t>CUS87678</t>
  </si>
  <si>
    <t>ORD-2026-100637</t>
  </si>
  <si>
    <t>CUS40386</t>
  </si>
  <si>
    <t>ORD-2026-100638</t>
  </si>
  <si>
    <t>CUS60532</t>
  </si>
  <si>
    <t>ORD-2026-100639</t>
  </si>
  <si>
    <t>CUS95471</t>
  </si>
  <si>
    <t>ORD-2026-100640</t>
  </si>
  <si>
    <t>CUS10735</t>
  </si>
  <si>
    <t>ORD-2026-100641</t>
  </si>
  <si>
    <t>CUS13988</t>
  </si>
  <si>
    <t>ORD-2026-100642</t>
  </si>
  <si>
    <t>CUS25653</t>
  </si>
  <si>
    <t>ORD-2026-100643</t>
  </si>
  <si>
    <t>CUS62844</t>
  </si>
  <si>
    <t>ORD-2026-100644</t>
  </si>
  <si>
    <t>CUS10422</t>
  </si>
  <si>
    <t>ORD-2026-100645</t>
  </si>
  <si>
    <t>CUS32195</t>
  </si>
  <si>
    <t>ORD-2026-100646</t>
  </si>
  <si>
    <t>CUS34673</t>
  </si>
  <si>
    <t>ORD-2026-100647</t>
  </si>
  <si>
    <t>CUS60551</t>
  </si>
  <si>
    <t>ORD-2026-100648</t>
  </si>
  <si>
    <t>CUS92721</t>
  </si>
  <si>
    <t>ORD-2026-100649</t>
  </si>
  <si>
    <t>CUS23134</t>
  </si>
  <si>
    <t>ORD-2026-100650</t>
  </si>
  <si>
    <t>CUS73249</t>
  </si>
  <si>
    <t>ORD-2026-100651</t>
  </si>
  <si>
    <t>CUS96954</t>
  </si>
  <si>
    <t>ORD-2026-100652</t>
  </si>
  <si>
    <t>CUS67219</t>
  </si>
  <si>
    <t>ORD-2026-100653</t>
  </si>
  <si>
    <t>CUS41816</t>
  </si>
  <si>
    <t>ORD-2026-100654</t>
  </si>
  <si>
    <t>CUS33351</t>
  </si>
  <si>
    <t>ORD-2026-100655</t>
  </si>
  <si>
    <t>CUS29758</t>
  </si>
  <si>
    <t>ORD-2026-100656</t>
  </si>
  <si>
    <t>CUS76449</t>
  </si>
  <si>
    <t>ORD-2026-100657</t>
  </si>
  <si>
    <t>CUS53917</t>
  </si>
  <si>
    <t>ORD-2026-100658</t>
  </si>
  <si>
    <t>CUS15222</t>
  </si>
  <si>
    <t>ORD-2026-100659</t>
  </si>
  <si>
    <t>CUS68559</t>
  </si>
  <si>
    <t>ORD-2026-100660</t>
  </si>
  <si>
    <t>CUS90903</t>
  </si>
  <si>
    <t>ORD-2026-100661</t>
  </si>
  <si>
    <t>CUS43666</t>
  </si>
  <si>
    <t>ORD-2026-100662</t>
  </si>
  <si>
    <t>CUS46287</t>
  </si>
  <si>
    <t>ORD-2026-100663</t>
  </si>
  <si>
    <t>CUS12368</t>
  </si>
  <si>
    <t>ORD-2026-100664</t>
  </si>
  <si>
    <t>CUS79761</t>
  </si>
  <si>
    <t>ORD-2026-100665</t>
  </si>
  <si>
    <t>CUS71260</t>
  </si>
  <si>
    <t>ORD-2026-100666</t>
  </si>
  <si>
    <t>CUS24500</t>
  </si>
  <si>
    <t>ORD-2026-100667</t>
  </si>
  <si>
    <t>CUS93389</t>
  </si>
  <si>
    <t>ORD-2026-100668</t>
  </si>
  <si>
    <t>CUS60246</t>
  </si>
  <si>
    <t>ORD-2026-100669</t>
  </si>
  <si>
    <t>CUS71854</t>
  </si>
  <si>
    <t>ORD-2026-100670</t>
  </si>
  <si>
    <t>CUS14048</t>
  </si>
  <si>
    <t>ORD-2026-100671</t>
  </si>
  <si>
    <t>CUS14236</t>
  </si>
  <si>
    <t>ORD-2026-100672</t>
  </si>
  <si>
    <t>CUS48399</t>
  </si>
  <si>
    <t>ORD-2026-100673</t>
  </si>
  <si>
    <t>CUS96053</t>
  </si>
  <si>
    <t>ORD-2026-100674</t>
  </si>
  <si>
    <t>CUS43806</t>
  </si>
  <si>
    <t>ORD-2026-100675</t>
  </si>
  <si>
    <t>CUS98247</t>
  </si>
  <si>
    <t>ORD-2026-100676</t>
  </si>
  <si>
    <t>CUS55116</t>
  </si>
  <si>
    <t>ORD-2026-100677</t>
  </si>
  <si>
    <t>CUS46479</t>
  </si>
  <si>
    <t>ORD-2026-100678</t>
  </si>
  <si>
    <t>CUS45582</t>
  </si>
  <si>
    <t>ORD-2026-100679</t>
  </si>
  <si>
    <t>CUS18345</t>
  </si>
  <si>
    <t>ORD-2026-100680</t>
  </si>
  <si>
    <t>CUS35873</t>
  </si>
  <si>
    <t>ORD-2026-100681</t>
  </si>
  <si>
    <t>CUS74566</t>
  </si>
  <si>
    <t>ORD-2026-100682</t>
  </si>
  <si>
    <t>CUS76787</t>
  </si>
  <si>
    <t>ORD-2026-100683</t>
  </si>
  <si>
    <t>CUS99751</t>
  </si>
  <si>
    <t>ORD-2026-100684</t>
  </si>
  <si>
    <t>CUS45308</t>
  </si>
  <si>
    <t>ORD-2026-100685</t>
  </si>
  <si>
    <t>CUS56348</t>
  </si>
  <si>
    <t>ORD-2026-100686</t>
  </si>
  <si>
    <t>CUS38177</t>
  </si>
  <si>
    <t>ORD-2026-100687</t>
  </si>
  <si>
    <t>CUS59154</t>
  </si>
  <si>
    <t>ORD-2026-100688</t>
  </si>
  <si>
    <t>CUS42142</t>
  </si>
  <si>
    <t>ORD-2026-100689</t>
  </si>
  <si>
    <t>CUS36081</t>
  </si>
  <si>
    <t>ORD-2026-100690</t>
  </si>
  <si>
    <t>CUS53745</t>
  </si>
  <si>
    <t>ORD-2026-100691</t>
  </si>
  <si>
    <t>CUS29949</t>
  </si>
  <si>
    <t>ORD-2026-100692</t>
  </si>
  <si>
    <t>CUS52810</t>
  </si>
  <si>
    <t>ORD-2026-100693</t>
  </si>
  <si>
    <t>CUS19078</t>
  </si>
  <si>
    <t>ORD-2026-100694</t>
  </si>
  <si>
    <t>CUS62321</t>
  </si>
  <si>
    <t>ORD-2026-100695</t>
  </si>
  <si>
    <t>CUS35032</t>
  </si>
  <si>
    <t>ORD-2026-100696</t>
  </si>
  <si>
    <t>CUS49412</t>
  </si>
  <si>
    <t>ORD-2026-100697</t>
  </si>
  <si>
    <t>CUS88145</t>
  </si>
  <si>
    <t>ORD-2026-100698</t>
  </si>
  <si>
    <t>CUS44757</t>
  </si>
  <si>
    <t>ORD-2026-100699</t>
  </si>
  <si>
    <t>CUS39189</t>
  </si>
  <si>
    <t>ORD-2026-100700</t>
  </si>
  <si>
    <t>CUS90427</t>
  </si>
  <si>
    <t>ORD-2026-100701</t>
  </si>
  <si>
    <t>CUS39651</t>
  </si>
  <si>
    <t>ORD-2026-100702</t>
  </si>
  <si>
    <t>CUS92821</t>
  </si>
  <si>
    <t>ORD-2026-100703</t>
  </si>
  <si>
    <t>CUS63170</t>
  </si>
  <si>
    <t>ORD-2026-100704</t>
  </si>
  <si>
    <t>CUS97557</t>
  </si>
  <si>
    <t>ORD-2026-100705</t>
  </si>
  <si>
    <t>CUS67168</t>
  </si>
  <si>
    <t>ORD-2026-100706</t>
  </si>
  <si>
    <t>CUS79582</t>
  </si>
  <si>
    <t>ORD-2026-100707</t>
  </si>
  <si>
    <t>CUS72461</t>
  </si>
  <si>
    <t>ORD-2026-100708</t>
  </si>
  <si>
    <t>CUS31004</t>
  </si>
  <si>
    <t>ORD-2026-100709</t>
  </si>
  <si>
    <t>CUS98111</t>
  </si>
  <si>
    <t>ORD-2026-100710</t>
  </si>
  <si>
    <t>CUS54744</t>
  </si>
  <si>
    <t>ORD-2026-100711</t>
  </si>
  <si>
    <t>CUS97151</t>
  </si>
  <si>
    <t>ORD-2026-100712</t>
  </si>
  <si>
    <t>CUS73641</t>
  </si>
  <si>
    <t>ORD-2026-100713</t>
  </si>
  <si>
    <t>CUS94237</t>
  </si>
  <si>
    <t>ORD-2026-100714</t>
  </si>
  <si>
    <t>CUS92328</t>
  </si>
  <si>
    <t>ORD-2026-100715</t>
  </si>
  <si>
    <t>CUS70057</t>
  </si>
  <si>
    <t>ORD-2026-100716</t>
  </si>
  <si>
    <t>CUS39828</t>
  </si>
  <si>
    <t>ORD-2026-100717</t>
  </si>
  <si>
    <t>CUS30868</t>
  </si>
  <si>
    <t>ORD-2026-100718</t>
  </si>
  <si>
    <t>CUS44520</t>
  </si>
  <si>
    <t>ORD-2026-100719</t>
  </si>
  <si>
    <t>CUS74814</t>
  </si>
  <si>
    <t>ORD-2026-100720</t>
  </si>
  <si>
    <t>CUS86139</t>
  </si>
  <si>
    <t>ORD-2026-100721</t>
  </si>
  <si>
    <t>CUS42361</t>
  </si>
  <si>
    <t>ORD-2026-100722</t>
  </si>
  <si>
    <t>CUS16973</t>
  </si>
  <si>
    <t>ORD-2026-100723</t>
  </si>
  <si>
    <t>CUS84678</t>
  </si>
  <si>
    <t>ORD-2026-100724</t>
  </si>
  <si>
    <t>CUS86922</t>
  </si>
  <si>
    <t>ORD-2026-100725</t>
  </si>
  <si>
    <t>CUS25663</t>
  </si>
  <si>
    <t>ORD-2026-100726</t>
  </si>
  <si>
    <t>CUS36293</t>
  </si>
  <si>
    <t>ORD-2026-100727</t>
  </si>
  <si>
    <t>CUS84459</t>
  </si>
  <si>
    <t>ORD-2026-100728</t>
  </si>
  <si>
    <t>CUS33264</t>
  </si>
  <si>
    <t>ORD-2026-100729</t>
  </si>
  <si>
    <t>CUS54223</t>
  </si>
  <si>
    <t>ORD-2026-100730</t>
  </si>
  <si>
    <t>CUS96462</t>
  </si>
  <si>
    <t>ORD-2026-100731</t>
  </si>
  <si>
    <t>CUS65878</t>
  </si>
  <si>
    <t>ORD-2026-100732</t>
  </si>
  <si>
    <t>CUS34651</t>
  </si>
  <si>
    <t>ORD-2026-100733</t>
  </si>
  <si>
    <t>CUS33368</t>
  </si>
  <si>
    <t>ORD-2026-100734</t>
  </si>
  <si>
    <t>CUS10621</t>
  </si>
  <si>
    <t>ORD-2026-100735</t>
  </si>
  <si>
    <t>CUS92076</t>
  </si>
  <si>
    <t>ORD-2026-100736</t>
  </si>
  <si>
    <t>CUS39225</t>
  </si>
  <si>
    <t>ORD-2026-100737</t>
  </si>
  <si>
    <t>CUS84725</t>
  </si>
  <si>
    <t>ORD-2026-100738</t>
  </si>
  <si>
    <t>CUS18834</t>
  </si>
  <si>
    <t>ORD-2026-100739</t>
  </si>
  <si>
    <t>CUS70559</t>
  </si>
  <si>
    <t>ORD-2026-100740</t>
  </si>
  <si>
    <t>CUS31115</t>
  </si>
  <si>
    <t>ORD-2026-100741</t>
  </si>
  <si>
    <t>CUS60793</t>
  </si>
  <si>
    <t>ORD-2026-100742</t>
  </si>
  <si>
    <t>CUS93453</t>
  </si>
  <si>
    <t>ORD-2026-100743</t>
  </si>
  <si>
    <t>CUS80975</t>
  </si>
  <si>
    <t>ORD-2026-100744</t>
  </si>
  <si>
    <t>CUS42244</t>
  </si>
  <si>
    <t>ORD-2026-100745</t>
  </si>
  <si>
    <t>CUS91735</t>
  </si>
  <si>
    <t>ORD-2026-100746</t>
  </si>
  <si>
    <t>CUS30428</t>
  </si>
  <si>
    <t>ORD-2026-100747</t>
  </si>
  <si>
    <t>CUS16914</t>
  </si>
  <si>
    <t>ORD-2026-100748</t>
  </si>
  <si>
    <t>CUS29925</t>
  </si>
  <si>
    <t>ORD-2026-100749</t>
  </si>
  <si>
    <t>CUS12615</t>
  </si>
  <si>
    <t>ORD-2026-100750</t>
  </si>
  <si>
    <t>CUS97674</t>
  </si>
  <si>
    <t>ORD-2026-100751</t>
  </si>
  <si>
    <t>CUS16817</t>
  </si>
  <si>
    <t>ORD-2026-100752</t>
  </si>
  <si>
    <t>CUS71619</t>
  </si>
  <si>
    <t>ORD-2026-100753</t>
  </si>
  <si>
    <t>CUS98055</t>
  </si>
  <si>
    <t>ORD-2026-100754</t>
  </si>
  <si>
    <t>CUS54713</t>
  </si>
  <si>
    <t>ORD-2026-100755</t>
  </si>
  <si>
    <t>CUS10503</t>
  </si>
  <si>
    <t>ORD-2026-100756</t>
  </si>
  <si>
    <t>CUS18030</t>
  </si>
  <si>
    <t>ORD-2026-100757</t>
  </si>
  <si>
    <t>CUS87635</t>
  </si>
  <si>
    <t>ORD-2026-100758</t>
  </si>
  <si>
    <t>CUS17917</t>
  </si>
  <si>
    <t>ORD-2026-100759</t>
  </si>
  <si>
    <t>CUS49353</t>
  </si>
  <si>
    <t>ORD-2026-100760</t>
  </si>
  <si>
    <t>CUS64997</t>
  </si>
  <si>
    <t>ORD-2026-100761</t>
  </si>
  <si>
    <t>CUS75185</t>
  </si>
  <si>
    <t>ORD-2026-100762</t>
  </si>
  <si>
    <t>CUS28543</t>
  </si>
  <si>
    <t>ORD-2026-100763</t>
  </si>
  <si>
    <t>CUS26794</t>
  </si>
  <si>
    <t>ORD-2026-100764</t>
  </si>
  <si>
    <t>CUS26663</t>
  </si>
  <si>
    <t>ORD-2026-100765</t>
  </si>
  <si>
    <t>CUS44866</t>
  </si>
  <si>
    <t>ORD-2026-100766</t>
  </si>
  <si>
    <t>CUS51947</t>
  </si>
  <si>
    <t>ORD-2026-100767</t>
  </si>
  <si>
    <t>CUS36770</t>
  </si>
  <si>
    <t>ORD-2026-100768</t>
  </si>
  <si>
    <t>CUS69419</t>
  </si>
  <si>
    <t>ORD-2026-100769</t>
  </si>
  <si>
    <t>CUS61843</t>
  </si>
  <si>
    <t>ORD-2026-100770</t>
  </si>
  <si>
    <t>CUS54323</t>
  </si>
  <si>
    <t>ORD-2026-100771</t>
  </si>
  <si>
    <t>CUS99590</t>
  </si>
  <si>
    <t>ORD-2026-100772</t>
  </si>
  <si>
    <t>CUS97771</t>
  </si>
  <si>
    <t>ORD-2026-100773</t>
  </si>
  <si>
    <t>CUS92271</t>
  </si>
  <si>
    <t>ORD-2026-100774</t>
  </si>
  <si>
    <t>CUS89084</t>
  </si>
  <si>
    <t>ORD-2026-100775</t>
  </si>
  <si>
    <t>CUS49763</t>
  </si>
  <si>
    <t>ORD-2026-100776</t>
  </si>
  <si>
    <t>CUS47400</t>
  </si>
  <si>
    <t>ORD-2026-100777</t>
  </si>
  <si>
    <t>CUS35006</t>
  </si>
  <si>
    <t>ORD-2026-100778</t>
  </si>
  <si>
    <t>CUS93454</t>
  </si>
  <si>
    <t>ORD-2026-100779</t>
  </si>
  <si>
    <t>CUS98869</t>
  </si>
  <si>
    <t>ORD-2026-100780</t>
  </si>
  <si>
    <t>CUS34650</t>
  </si>
  <si>
    <t>ORD-2026-100781</t>
  </si>
  <si>
    <t>CUS58663</t>
  </si>
  <si>
    <t>ORD-2026-100782</t>
  </si>
  <si>
    <t>CUS28040</t>
  </si>
  <si>
    <t>ORD-2026-100783</t>
  </si>
  <si>
    <t>CUS20714</t>
  </si>
  <si>
    <t>ORD-2026-100784</t>
  </si>
  <si>
    <t>CUS96100</t>
  </si>
  <si>
    <t>ORD-2026-100785</t>
  </si>
  <si>
    <t>CUS50180</t>
  </si>
  <si>
    <t>ORD-2026-100786</t>
  </si>
  <si>
    <t>CUS56860</t>
  </si>
  <si>
    <t>ORD-2026-100787</t>
  </si>
  <si>
    <t>CUS72075</t>
  </si>
  <si>
    <t>ORD-2026-100788</t>
  </si>
  <si>
    <t>CUS92745</t>
  </si>
  <si>
    <t>ORD-2026-100789</t>
  </si>
  <si>
    <t>CUS33754</t>
  </si>
  <si>
    <t>ORD-2026-100790</t>
  </si>
  <si>
    <t>CUS30289</t>
  </si>
  <si>
    <t>ORD-2026-100791</t>
  </si>
  <si>
    <t>CUS25216</t>
  </si>
  <si>
    <t>ORD-2026-100792</t>
  </si>
  <si>
    <t>CUS18542</t>
  </si>
  <si>
    <t>ORD-2026-100793</t>
  </si>
  <si>
    <t>CUS96017</t>
  </si>
  <si>
    <t>ORD-2026-100794</t>
  </si>
  <si>
    <t>CUS49759</t>
  </si>
  <si>
    <t>ORD-2026-100795</t>
  </si>
  <si>
    <t>CUS76829</t>
  </si>
  <si>
    <t>ORD-2026-100796</t>
  </si>
  <si>
    <t>CUS61724</t>
  </si>
  <si>
    <t>ORD-2026-100797</t>
  </si>
  <si>
    <t>CUS64698</t>
  </si>
  <si>
    <t>ORD-2026-100798</t>
  </si>
  <si>
    <t>CUS87274</t>
  </si>
  <si>
    <t>ORD-2026-100799</t>
  </si>
  <si>
    <t>CUS52488</t>
  </si>
  <si>
    <t>ORD-2026-100800</t>
  </si>
  <si>
    <t>CUS99912</t>
  </si>
  <si>
    <t>ORD-2026-100801</t>
  </si>
  <si>
    <t>CUS45486</t>
  </si>
  <si>
    <t>ORD-2026-100802</t>
  </si>
  <si>
    <t>CUS86491</t>
  </si>
  <si>
    <t>ORD-2026-100803</t>
  </si>
  <si>
    <t>CUS19211</t>
  </si>
  <si>
    <t>ORD-2026-100804</t>
  </si>
  <si>
    <t>CUS91043</t>
  </si>
  <si>
    <t>ORD-2026-100805</t>
  </si>
  <si>
    <t>CUS45353</t>
  </si>
  <si>
    <t>ORD-2026-100806</t>
  </si>
  <si>
    <t>CUS20747</t>
  </si>
  <si>
    <t>ORD-2026-100807</t>
  </si>
  <si>
    <t>CUS12715</t>
  </si>
  <si>
    <t>ORD-2026-100808</t>
  </si>
  <si>
    <t>CUS59734</t>
  </si>
  <si>
    <t>ORD-2026-100809</t>
  </si>
  <si>
    <t>CUS67325</t>
  </si>
  <si>
    <t>ORD-2026-100810</t>
  </si>
  <si>
    <t>CUS42819</t>
  </si>
  <si>
    <t>ORD-2026-100811</t>
  </si>
  <si>
    <t>CUS33061</t>
  </si>
  <si>
    <t>ORD-2026-100812</t>
  </si>
  <si>
    <t>CUS34485</t>
  </si>
  <si>
    <t>ORD-2026-100813</t>
  </si>
  <si>
    <t>CUS85217</t>
  </si>
  <si>
    <t>ORD-2026-100814</t>
  </si>
  <si>
    <t>CUS80971</t>
  </si>
  <si>
    <t>ORD-2026-100815</t>
  </si>
  <si>
    <t>CUS58169</t>
  </si>
  <si>
    <t>ORD-2026-100816</t>
  </si>
  <si>
    <t>CUS42046</t>
  </si>
  <si>
    <t>ORD-2026-100817</t>
  </si>
  <si>
    <t>CUS60666</t>
  </si>
  <si>
    <t>ORD-2026-100818</t>
  </si>
  <si>
    <t>CUS83608</t>
  </si>
  <si>
    <t>ORD-2026-100819</t>
  </si>
  <si>
    <t>CUS73899</t>
  </si>
  <si>
    <t>ORD-2026-100820</t>
  </si>
  <si>
    <t>CUS90854</t>
  </si>
  <si>
    <t>ORD-2026-100821</t>
  </si>
  <si>
    <t>CUS44800</t>
  </si>
  <si>
    <t>ORD-2026-100822</t>
  </si>
  <si>
    <t>CUS53332</t>
  </si>
  <si>
    <t>ORD-2026-100823</t>
  </si>
  <si>
    <t>CUS63046</t>
  </si>
  <si>
    <t>ORD-2026-100824</t>
  </si>
  <si>
    <t>CUS53412</t>
  </si>
  <si>
    <t>ORD-2026-100825</t>
  </si>
  <si>
    <t>CUS74469</t>
  </si>
  <si>
    <t>ORD-2026-100826</t>
  </si>
  <si>
    <t>CUS11112</t>
  </si>
  <si>
    <t>ORD-2026-100827</t>
  </si>
  <si>
    <t>CUS31655</t>
  </si>
  <si>
    <t>ORD-2026-100828</t>
  </si>
  <si>
    <t>CUS28168</t>
  </si>
  <si>
    <t>ORD-2026-100829</t>
  </si>
  <si>
    <t>CUS50160</t>
  </si>
  <si>
    <t>ORD-2026-100830</t>
  </si>
  <si>
    <t>CUS29572</t>
  </si>
  <si>
    <t>ORD-2026-100831</t>
  </si>
  <si>
    <t>CUS14112</t>
  </si>
  <si>
    <t>ORD-2026-100832</t>
  </si>
  <si>
    <t>CUS31519</t>
  </si>
  <si>
    <t>ORD-2026-100833</t>
  </si>
  <si>
    <t>CUS54194</t>
  </si>
  <si>
    <t>ORD-2026-100834</t>
  </si>
  <si>
    <t>CUS15167</t>
  </si>
  <si>
    <t>ORD-2026-100835</t>
  </si>
  <si>
    <t>CUS68886</t>
  </si>
  <si>
    <t>ORD-2026-100836</t>
  </si>
  <si>
    <t>CUS81636</t>
  </si>
  <si>
    <t>ORD-2026-100837</t>
  </si>
  <si>
    <t>CUS11862</t>
  </si>
  <si>
    <t>ORD-2026-100838</t>
  </si>
  <si>
    <t>CUS47850</t>
  </si>
  <si>
    <t>ORD-2026-100839</t>
  </si>
  <si>
    <t>CUS70987</t>
  </si>
  <si>
    <t>ORD-2026-100840</t>
  </si>
  <si>
    <t>CUS21327</t>
  </si>
  <si>
    <t>ORD-2026-100841</t>
  </si>
  <si>
    <t>CUS62751</t>
  </si>
  <si>
    <t>ORD-2026-100842</t>
  </si>
  <si>
    <t>CUS56585</t>
  </si>
  <si>
    <t>ORD-2026-100843</t>
  </si>
  <si>
    <t>CUS54656</t>
  </si>
  <si>
    <t>ORD-2026-100844</t>
  </si>
  <si>
    <t>CUS79594</t>
  </si>
  <si>
    <t>ORD-2026-100845</t>
  </si>
  <si>
    <t>CUS51721</t>
  </si>
  <si>
    <t>ORD-2026-100846</t>
  </si>
  <si>
    <t>CUS15339</t>
  </si>
  <si>
    <t>ORD-2026-100847</t>
  </si>
  <si>
    <t>CUS83556</t>
  </si>
  <si>
    <t>ORD-2026-100848</t>
  </si>
  <si>
    <t>CUS45823</t>
  </si>
  <si>
    <t>ORD-2026-100849</t>
  </si>
  <si>
    <t>CUS26337</t>
  </si>
  <si>
    <t>ORD-2026-100850</t>
  </si>
  <si>
    <t>CUS40258</t>
  </si>
  <si>
    <t>ORD-2026-100851</t>
  </si>
  <si>
    <t>CUS94929</t>
  </si>
  <si>
    <t>ORD-2026-100852</t>
  </si>
  <si>
    <t>CUS67337</t>
  </si>
  <si>
    <t>ORD-2026-100853</t>
  </si>
  <si>
    <t>CUS79414</t>
  </si>
  <si>
    <t>ORD-2026-100854</t>
  </si>
  <si>
    <t>CUS82318</t>
  </si>
  <si>
    <t>ORD-2026-100855</t>
  </si>
  <si>
    <t>CUS97614</t>
  </si>
  <si>
    <t>ORD-2026-100856</t>
  </si>
  <si>
    <t>CUS42921</t>
  </si>
  <si>
    <t>ORD-2026-100857</t>
  </si>
  <si>
    <t>CUS53703</t>
  </si>
  <si>
    <t>ORD-2026-100858</t>
  </si>
  <si>
    <t>CUS67839</t>
  </si>
  <si>
    <t>ORD-2026-100859</t>
  </si>
  <si>
    <t>CUS88423</t>
  </si>
  <si>
    <t>ORD-2026-100860</t>
  </si>
  <si>
    <t>CUS56779</t>
  </si>
  <si>
    <t>ORD-2026-100861</t>
  </si>
  <si>
    <t>CUS18031</t>
  </si>
  <si>
    <t>ORD-2026-100862</t>
  </si>
  <si>
    <t>CUS32950</t>
  </si>
  <si>
    <t>ORD-2026-100863</t>
  </si>
  <si>
    <t>CUS79841</t>
  </si>
  <si>
    <t>ORD-2026-100864</t>
  </si>
  <si>
    <t>CUS86205</t>
  </si>
  <si>
    <t>ORD-2026-100865</t>
  </si>
  <si>
    <t>CUS26571</t>
  </si>
  <si>
    <t>ORD-2026-100866</t>
  </si>
  <si>
    <t>CUS38902</t>
  </si>
  <si>
    <t>ORD-2026-100867</t>
  </si>
  <si>
    <t>CUS13172</t>
  </si>
  <si>
    <t>ORD-2026-100868</t>
  </si>
  <si>
    <t>CUS98103</t>
  </si>
  <si>
    <t>ORD-2026-100869</t>
  </si>
  <si>
    <t>CUS91481</t>
  </si>
  <si>
    <t>ORD-2026-100870</t>
  </si>
  <si>
    <t>CUS79472</t>
  </si>
  <si>
    <t>ORD-2026-100871</t>
  </si>
  <si>
    <t>CUS15161</t>
  </si>
  <si>
    <t>ORD-2026-100872</t>
  </si>
  <si>
    <t>CUS16158</t>
  </si>
  <si>
    <t>ORD-2026-100873</t>
  </si>
  <si>
    <t>CUS79248</t>
  </si>
  <si>
    <t>ORD-2026-100874</t>
  </si>
  <si>
    <t>CUS12714</t>
  </si>
  <si>
    <t>ORD-2026-100875</t>
  </si>
  <si>
    <t>CUS58977</t>
  </si>
  <si>
    <t>ORD-2026-100876</t>
  </si>
  <si>
    <t>CUS85459</t>
  </si>
  <si>
    <t>ORD-2026-100877</t>
  </si>
  <si>
    <t>CUS93765</t>
  </si>
  <si>
    <t>ORD-2026-100878</t>
  </si>
  <si>
    <t>CUS88624</t>
  </si>
  <si>
    <t>ORD-2026-100879</t>
  </si>
  <si>
    <t>CUS14555</t>
  </si>
  <si>
    <t>ORD-2026-100880</t>
  </si>
  <si>
    <t>CUS64397</t>
  </si>
  <si>
    <t>ORD-2026-100881</t>
  </si>
  <si>
    <t>CUS91403</t>
  </si>
  <si>
    <t>ORD-2026-100882</t>
  </si>
  <si>
    <t>CUS72566</t>
  </si>
  <si>
    <t>ORD-2026-100883</t>
  </si>
  <si>
    <t>CUS48528</t>
  </si>
  <si>
    <t>ORD-2026-100884</t>
  </si>
  <si>
    <t>CUS26880</t>
  </si>
  <si>
    <t>ORD-2026-100885</t>
  </si>
  <si>
    <t>CUS51992</t>
  </si>
  <si>
    <t>ORD-2026-100886</t>
  </si>
  <si>
    <t>CUS28690</t>
  </si>
  <si>
    <t>ORD-2026-100887</t>
  </si>
  <si>
    <t>CUS82127</t>
  </si>
  <si>
    <t>ORD-2026-100888</t>
  </si>
  <si>
    <t>CUS47925</t>
  </si>
  <si>
    <t>ORD-2026-100889</t>
  </si>
  <si>
    <t>CUS89254</t>
  </si>
  <si>
    <t>ORD-2026-100890</t>
  </si>
  <si>
    <t>CUS34242</t>
  </si>
  <si>
    <t>ORD-2026-100891</t>
  </si>
  <si>
    <t>CUS38299</t>
  </si>
  <si>
    <t>ORD-2026-100892</t>
  </si>
  <si>
    <t>CUS84221</t>
  </si>
  <si>
    <t>ORD-2026-100893</t>
  </si>
  <si>
    <t>CUS38394</t>
  </si>
  <si>
    <t>ORD-2026-100894</t>
  </si>
  <si>
    <t>CUS50729</t>
  </si>
  <si>
    <t>ORD-2026-100895</t>
  </si>
  <si>
    <t>CUS97597</t>
  </si>
  <si>
    <t>ORD-2026-100896</t>
  </si>
  <si>
    <t>CUS33224</t>
  </si>
  <si>
    <t>ORD-2026-100897</t>
  </si>
  <si>
    <t>CUS28314</t>
  </si>
  <si>
    <t>ORD-2026-100898</t>
  </si>
  <si>
    <t>CUS62072</t>
  </si>
  <si>
    <t>ORD-2026-100899</t>
  </si>
  <si>
    <t>CUS20374</t>
  </si>
  <si>
    <t>ORD-2026-100900</t>
  </si>
  <si>
    <t>CUS85161</t>
  </si>
  <si>
    <t>ORD-2026-100901</t>
  </si>
  <si>
    <t>CUS22388</t>
  </si>
  <si>
    <t>ORD-2026-100902</t>
  </si>
  <si>
    <t>CUS31165</t>
  </si>
  <si>
    <t>ORD-2026-100903</t>
  </si>
  <si>
    <t>CUS40653</t>
  </si>
  <si>
    <t>ORD-2026-100904</t>
  </si>
  <si>
    <t>CUS81381</t>
  </si>
  <si>
    <t>ORD-2026-100905</t>
  </si>
  <si>
    <t>ORD-2026-100906</t>
  </si>
  <si>
    <t>CUS19550</t>
  </si>
  <si>
    <t>ORD-2026-100907</t>
  </si>
  <si>
    <t>CUS26629</t>
  </si>
  <si>
    <t>ORD-2026-100908</t>
  </si>
  <si>
    <t>CUS18653</t>
  </si>
  <si>
    <t>ORD-2026-100909</t>
  </si>
  <si>
    <t>CUS96078</t>
  </si>
  <si>
    <t>ORD-2026-100910</t>
  </si>
  <si>
    <t>CUS30173</t>
  </si>
  <si>
    <t>ORD-2026-100911</t>
  </si>
  <si>
    <t>CUS96975</t>
  </si>
  <si>
    <t>ORD-2026-100912</t>
  </si>
  <si>
    <t>CUS78627</t>
  </si>
  <si>
    <t>ORD-2026-100913</t>
  </si>
  <si>
    <t>CUS35502</t>
  </si>
  <si>
    <t>ORD-2026-100914</t>
  </si>
  <si>
    <t>CUS32525</t>
  </si>
  <si>
    <t>ORD-2026-100915</t>
  </si>
  <si>
    <t>ORD-2026-100916</t>
  </si>
  <si>
    <t>CUS19766</t>
  </si>
  <si>
    <t>ORD-2026-100917</t>
  </si>
  <si>
    <t>CUS24093</t>
  </si>
  <si>
    <t>ORD-2026-100918</t>
  </si>
  <si>
    <t>CUS44832</t>
  </si>
  <si>
    <t>ORD-2026-100919</t>
  </si>
  <si>
    <t>CUS10881</t>
  </si>
  <si>
    <t>ORD-2026-100920</t>
  </si>
  <si>
    <t>CUS67960</t>
  </si>
  <si>
    <t>ORD-2026-100921</t>
  </si>
  <si>
    <t>CUS47753</t>
  </si>
  <si>
    <t>ORD-2026-100922</t>
  </si>
  <si>
    <t>CUS40988</t>
  </si>
  <si>
    <t>ORD-2026-100923</t>
  </si>
  <si>
    <t>CUS78132</t>
  </si>
  <si>
    <t>ORD-2026-100924</t>
  </si>
  <si>
    <t>CUS78921</t>
  </si>
  <si>
    <t>ORD-2026-100925</t>
  </si>
  <si>
    <t>CUS59434</t>
  </si>
  <si>
    <t>ORD-2026-100926</t>
  </si>
  <si>
    <t>CUS33680</t>
  </si>
  <si>
    <t>ORD-2026-100927</t>
  </si>
  <si>
    <t>CUS97789</t>
  </si>
  <si>
    <t>ORD-2026-100928</t>
  </si>
  <si>
    <t>CUS83988</t>
  </si>
  <si>
    <t>ORD-2026-100929</t>
  </si>
  <si>
    <t>CUS19877</t>
  </si>
  <si>
    <t>ORD-2026-100930</t>
  </si>
  <si>
    <t>CUS74631</t>
  </si>
  <si>
    <t>ORD-2026-100931</t>
  </si>
  <si>
    <t>CUS67690</t>
  </si>
  <si>
    <t>ORD-2026-100932</t>
  </si>
  <si>
    <t>CUS78019</t>
  </si>
  <si>
    <t>ORD-2026-100933</t>
  </si>
  <si>
    <t>CUS77977</t>
  </si>
  <si>
    <t>ORD-2026-100934</t>
  </si>
  <si>
    <t>CUS40970</t>
  </si>
  <si>
    <t>ORD-2026-100935</t>
  </si>
  <si>
    <t>CUS97032</t>
  </si>
  <si>
    <t>ORD-2026-100936</t>
  </si>
  <si>
    <t>CUS62142</t>
  </si>
  <si>
    <t>ORD-2026-100937</t>
  </si>
  <si>
    <t>CUS26974</t>
  </si>
  <si>
    <t>ORD-2026-100938</t>
  </si>
  <si>
    <t>CUS37315</t>
  </si>
  <si>
    <t>ORD-2026-100939</t>
  </si>
  <si>
    <t>CUS11145</t>
  </si>
  <si>
    <t>ORD-2026-100940</t>
  </si>
  <si>
    <t>CUS38130</t>
  </si>
  <si>
    <t>ORD-2026-100941</t>
  </si>
  <si>
    <t>CUS50231</t>
  </si>
  <si>
    <t>ORD-2026-100942</t>
  </si>
  <si>
    <t>CUS18063</t>
  </si>
  <si>
    <t>ORD-2026-100943</t>
  </si>
  <si>
    <t>CUS94153</t>
  </si>
  <si>
    <t>ORD-2026-100944</t>
  </si>
  <si>
    <t>CUS58754</t>
  </si>
  <si>
    <t>ORD-2026-100945</t>
  </si>
  <si>
    <t>CUS37160</t>
  </si>
  <si>
    <t>ORD-2026-100946</t>
  </si>
  <si>
    <t>CUS24077</t>
  </si>
  <si>
    <t>ORD-2026-100947</t>
  </si>
  <si>
    <t>CUS47712</t>
  </si>
  <si>
    <t>ORD-2026-100948</t>
  </si>
  <si>
    <t>CUS66293</t>
  </si>
  <si>
    <t>ORD-2026-100949</t>
  </si>
  <si>
    <t>CUS86696</t>
  </si>
  <si>
    <t>ORD-2026-100950</t>
  </si>
  <si>
    <t>CUS25267</t>
  </si>
  <si>
    <t>ORD-2026-100951</t>
  </si>
  <si>
    <t>CUS45331</t>
  </si>
  <si>
    <t>ORD-2026-100952</t>
  </si>
  <si>
    <t>CUS93739</t>
  </si>
  <si>
    <t>ORD-2026-100953</t>
  </si>
  <si>
    <t>CUS72900</t>
  </si>
  <si>
    <t>ORD-2026-100954</t>
  </si>
  <si>
    <t>CUS44617</t>
  </si>
  <si>
    <t>ORD-2026-100955</t>
  </si>
  <si>
    <t>CUS92283</t>
  </si>
  <si>
    <t>ORD-2026-100956</t>
  </si>
  <si>
    <t>CUS87024</t>
  </si>
  <si>
    <t>ORD-2026-100957</t>
  </si>
  <si>
    <t>CUS84853</t>
  </si>
  <si>
    <t>ORD-2026-100958</t>
  </si>
  <si>
    <t>CUS88077</t>
  </si>
  <si>
    <t>ORD-2026-100959</t>
  </si>
  <si>
    <t>CUS72539</t>
  </si>
  <si>
    <t>ORD-2026-100960</t>
  </si>
  <si>
    <t>CUS82510</t>
  </si>
  <si>
    <t>ORD-2026-100961</t>
  </si>
  <si>
    <t>CUS59324</t>
  </si>
  <si>
    <t>ORD-2026-100962</t>
  </si>
  <si>
    <t>CUS56605</t>
  </si>
  <si>
    <t>ORD-2026-100963</t>
  </si>
  <si>
    <t>CUS43886</t>
  </si>
  <si>
    <t>ORD-2026-100964</t>
  </si>
  <si>
    <t>CUS96662</t>
  </si>
  <si>
    <t>ORD-2026-100965</t>
  </si>
  <si>
    <t>CUS12874</t>
  </si>
  <si>
    <t>ORD-2026-100966</t>
  </si>
  <si>
    <t>CUS18563</t>
  </si>
  <si>
    <t>ORD-2026-100967</t>
  </si>
  <si>
    <t>CUS23708</t>
  </si>
  <si>
    <t>ORD-2026-100968</t>
  </si>
  <si>
    <t>CUS50940</t>
  </si>
  <si>
    <t>ORD-2026-100969</t>
  </si>
  <si>
    <t>CUS60002</t>
  </si>
  <si>
    <t>ORD-2026-100970</t>
  </si>
  <si>
    <t>CUS58809</t>
  </si>
  <si>
    <t>ORD-2026-100971</t>
  </si>
  <si>
    <t>CUS45910</t>
  </si>
  <si>
    <t>ORD-2026-100972</t>
  </si>
  <si>
    <t>CUS13825</t>
  </si>
  <si>
    <t>ORD-2026-100973</t>
  </si>
  <si>
    <t>CUS64884</t>
  </si>
  <si>
    <t>ORD-2026-100974</t>
  </si>
  <si>
    <t>CUS69234</t>
  </si>
  <si>
    <t>ORD-2026-100975</t>
  </si>
  <si>
    <t>CUS42925</t>
  </si>
  <si>
    <t>ORD-2026-100976</t>
  </si>
  <si>
    <t>CUS11785</t>
  </si>
  <si>
    <t>ORD-2026-100977</t>
  </si>
  <si>
    <t>CUS39881</t>
  </si>
  <si>
    <t>ORD-2026-100978</t>
  </si>
  <si>
    <t>CUS52506</t>
  </si>
  <si>
    <t>ORD-2026-100979</t>
  </si>
  <si>
    <t>CUS30206</t>
  </si>
  <si>
    <t>ORD-2026-100980</t>
  </si>
  <si>
    <t>CUS72224</t>
  </si>
  <si>
    <t>ORD-2026-100981</t>
  </si>
  <si>
    <t>ORD-2026-100982</t>
  </si>
  <si>
    <t>CUS43305</t>
  </si>
  <si>
    <t>ORD-2026-100983</t>
  </si>
  <si>
    <t>CUS97755</t>
  </si>
  <si>
    <t>ORD-2026-100984</t>
  </si>
  <si>
    <t>CUS88492</t>
  </si>
  <si>
    <t>ORD-2026-100985</t>
  </si>
  <si>
    <t>CUS27327</t>
  </si>
  <si>
    <t>ORD-2026-100986</t>
  </si>
  <si>
    <t>CUS77460</t>
  </si>
  <si>
    <t>ORD-2026-100987</t>
  </si>
  <si>
    <t>CUS13906</t>
  </si>
  <si>
    <t>ORD-2026-100988</t>
  </si>
  <si>
    <t>CUS41977</t>
  </si>
  <si>
    <t>ORD-2026-100989</t>
  </si>
  <si>
    <t>CUS12215</t>
  </si>
  <si>
    <t>ORD-2026-100990</t>
  </si>
  <si>
    <t>CUS65323</t>
  </si>
  <si>
    <t>ORD-2026-100991</t>
  </si>
  <si>
    <t>CUS87526</t>
  </si>
  <si>
    <t>ORD-2026-100992</t>
  </si>
  <si>
    <t>CUS63117</t>
  </si>
  <si>
    <t>ORD-2026-100993</t>
  </si>
  <si>
    <t>CUS87510</t>
  </si>
  <si>
    <t>ORD-2026-100994</t>
  </si>
  <si>
    <t>CUS34480</t>
  </si>
  <si>
    <t>ORD-2026-100995</t>
  </si>
  <si>
    <t>CUS21824</t>
  </si>
  <si>
    <t>ORD-2026-100996</t>
  </si>
  <si>
    <t>CUS28469</t>
  </si>
  <si>
    <t>ORD-2026-100997</t>
  </si>
  <si>
    <t>CUS26569</t>
  </si>
  <si>
    <t>ORD-2026-100998</t>
  </si>
  <si>
    <t>CUS16925</t>
  </si>
  <si>
    <t>ORD-2026-100999</t>
  </si>
  <si>
    <t>CUS69326</t>
  </si>
  <si>
    <t>ORD-2026-101000</t>
  </si>
  <si>
    <t>CUS25226</t>
  </si>
  <si>
    <t>Count of تقييم العميل (1-5)</t>
  </si>
  <si>
    <t>Row Labels</t>
  </si>
  <si>
    <t>Grand Total</t>
  </si>
  <si>
    <t>نسبة الرضا</t>
  </si>
  <si>
    <t>Count of حالة الاستلام</t>
  </si>
  <si>
    <t>Count of حالة الطلب</t>
  </si>
  <si>
    <t>Count of تصنيف التأخر</t>
  </si>
  <si>
    <t>Count of ملاحظات العميل</t>
  </si>
  <si>
    <t>مشاكل في التواصل</t>
  </si>
  <si>
    <t>مشاكل في الالتزام بالوقت</t>
  </si>
  <si>
    <t>مشاكل في التغليف</t>
  </si>
  <si>
    <t>Count of سبب الاسترداد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</si>
</sst>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2" borderId="0" xfId="0" applyFill="1" applyAlignment="1">
      <alignment horizontal="center"/>
    </xf>
    <xf numFmtId="9" fontId="0" fillId="3" borderId="0" xfId="1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 cent" xfId="1" builtinId="5"/>
  </cellStyles>
  <dxfs count="7"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164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شحنات_الربع_الأول_2026_اللوجيستيات (004) (1).xlsx]Sheet2!PivotTable6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Sheet2!$A$37:$A$43</c:f>
              <c:strCache>
                <c:ptCount val="6"/>
                <c:pt idx="0">
                  <c:v>لم يتم التواصل قبل التسليم</c:v>
                </c:pt>
                <c:pt idx="1">
                  <c:v>أرجو الالتزام بالموعد المحدد</c:v>
                </c:pt>
                <c:pt idx="2">
                  <c:v>تأخر التسليم قليلاً</c:v>
                </c:pt>
                <c:pt idx="3">
                  <c:v>التغليف كان ضعيفاً</c:v>
                </c:pt>
                <c:pt idx="4">
                  <c:v>السائق لم يتصل مسبقاً</c:v>
                </c:pt>
                <c:pt idx="5">
                  <c:v>يحتاج تحسين في التواصل</c:v>
                </c:pt>
              </c:strCache>
            </c:strRef>
          </c:cat>
          <c:val>
            <c:numRef>
              <c:f>Sheet2!$B$37:$B$43</c:f>
              <c:numCache>
                <c:formatCode>General</c:formatCode>
                <c:ptCount val="6"/>
                <c:pt idx="0">
                  <c:v>56</c:v>
                </c:pt>
                <c:pt idx="1">
                  <c:v>57</c:v>
                </c:pt>
                <c:pt idx="2">
                  <c:v>59</c:v>
                </c:pt>
                <c:pt idx="3">
                  <c:v>70</c:v>
                </c:pt>
                <c:pt idx="4">
                  <c:v>72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7-43F2-939D-3854FAC1DF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55021232"/>
        <c:axId val="256599120"/>
      </c:barChart>
      <c:catAx>
        <c:axId val="25502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599120"/>
        <c:crosses val="autoZero"/>
        <c:auto val="1"/>
        <c:lblAlgn val="ctr"/>
        <c:lblOffset val="100"/>
        <c:noMultiLvlLbl val="0"/>
      </c:catAx>
      <c:valAx>
        <c:axId val="2565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0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D6-E447-9DE8-3F333D770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D6-E447-9DE8-3F333D7704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D6-E447-9DE8-3F333D7704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Sheet2!$L$34:$L$36</c:f>
              <c:strCache>
                <c:ptCount val="3"/>
                <c:pt idx="0">
                  <c:v>مشاكل في التواصل</c:v>
                </c:pt>
                <c:pt idx="1">
                  <c:v>مشاكل في الالتزام بالوقت</c:v>
                </c:pt>
                <c:pt idx="2">
                  <c:v>مشاكل في التغليف</c:v>
                </c:pt>
              </c:strCache>
            </c:strRef>
          </c:cat>
          <c:val>
            <c:numRef>
              <c:f>Sheet2!$M$34:$M$36</c:f>
              <c:numCache>
                <c:formatCode>0%</c:formatCode>
                <c:ptCount val="3"/>
                <c:pt idx="0">
                  <c:v>0.51813471502590669</c:v>
                </c:pt>
                <c:pt idx="1">
                  <c:v>0.30051813471502592</c:v>
                </c:pt>
                <c:pt idx="2">
                  <c:v>0.18134715025906736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F-4A00-A8B6-8D01A250625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27-E242-9558-59E87C0EFC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F27-E242-9558-59E87C0EFC9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27-E242-9558-59E87C0EFC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Sheet2!$D$52:$D$54</c:f>
              <c:strCache>
                <c:ptCount val="3"/>
                <c:pt idx="0">
                  <c:v>عنوان خاطئ</c:v>
                </c:pt>
                <c:pt idx="1">
                  <c:v>رفض الاستلام</c:v>
                </c:pt>
                <c:pt idx="2">
                  <c:v>طلب العميل الإلغاء</c:v>
                </c:pt>
              </c:strCache>
            </c:strRef>
          </c:cat>
          <c:val>
            <c:numRef>
              <c:f>Sheet2!$E$52:$E$54</c:f>
              <c:numCache>
                <c:formatCode>0%</c:formatCode>
                <c:ptCount val="3"/>
                <c:pt idx="0">
                  <c:v>0.15846994535519127</c:v>
                </c:pt>
                <c:pt idx="1">
                  <c:v>0.19125683060109289</c:v>
                </c:pt>
                <c:pt idx="2">
                  <c:v>0.20765027322404372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7-E242-9558-59E87C0EFC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02305311"/>
        <c:axId val="402502015"/>
      </c:barChart>
      <c:catAx>
        <c:axId val="402305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402502015"/>
        <c:crosses val="autoZero"/>
        <c:auto val="1"/>
        <c:lblAlgn val="ctr"/>
        <c:lblOffset val="100"/>
        <c:noMultiLvlLbl val="0"/>
      </c:catAx>
      <c:valAx>
        <c:axId val="40250201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0230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3B-4498-8AFD-E334858449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3B-4498-8AFD-E334858449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3B-4498-8AFD-E334858449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Sheet2!$L$34:$L$36</c:f>
              <c:strCache>
                <c:ptCount val="3"/>
                <c:pt idx="0">
                  <c:v>مشاكل في التواصل</c:v>
                </c:pt>
                <c:pt idx="1">
                  <c:v>مشاكل في الالتزام بالوقت</c:v>
                </c:pt>
                <c:pt idx="2">
                  <c:v>مشاكل في التغليف</c:v>
                </c:pt>
              </c:strCache>
            </c:strRef>
          </c:cat>
          <c:val>
            <c:numRef>
              <c:f>Sheet2!$M$34:$M$36</c:f>
              <c:numCache>
                <c:formatCode>0%</c:formatCode>
                <c:ptCount val="3"/>
                <c:pt idx="0">
                  <c:v>0.51813471502590669</c:v>
                </c:pt>
                <c:pt idx="1">
                  <c:v>0.30051813471502592</c:v>
                </c:pt>
                <c:pt idx="2">
                  <c:v>0.18134715025906736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3B-4498-8AFD-E334858449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582445266565151E-3"/>
          <c:y val="0.74184391280455897"/>
          <c:w val="0.99854170827626676"/>
          <c:h val="0.22350448315359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val">
        <cx:f>_xlchart.v2.9</cx:f>
      </cx:numDim>
    </cx:data>
  </cx:chartData>
  <cx:chart>
    <cx:plotArea>
      <cx:plotAreaRegion>
        <cx:series layoutId="funnel" uniqueId="{E7DF0D76-D2D4-1F4F-9E71-852CC1D9ECD1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microsoft.com/office/2014/relationships/chartEx" Target="../charts/chartEx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6.png"/><Relationship Id="rId7" Type="http://schemas.openxmlformats.org/officeDocument/2006/relationships/image" Target="../media/image2.png"/><Relationship Id="rId12" Type="http://schemas.openxmlformats.org/officeDocument/2006/relationships/image" Target="../media/image13.sv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2.png"/><Relationship Id="rId5" Type="http://schemas.openxmlformats.org/officeDocument/2006/relationships/image" Target="../media/image8.png"/><Relationship Id="rId10" Type="http://schemas.openxmlformats.org/officeDocument/2006/relationships/image" Target="../media/image11.png"/><Relationship Id="rId4" Type="http://schemas.openxmlformats.org/officeDocument/2006/relationships/image" Target="../media/image7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323850</xdr:colOff>
      <xdr:row>17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4D9D73-6485-4A46-8BD8-441834625075}"/>
            </a:ext>
          </a:extLst>
        </xdr:cNvPr>
        <xdr:cNvSpPr txBox="1"/>
      </xdr:nvSpPr>
      <xdr:spPr>
        <a:xfrm>
          <a:off x="100869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592931</xdr:colOff>
      <xdr:row>1</xdr:row>
      <xdr:rowOff>152401</xdr:rowOff>
    </xdr:from>
    <xdr:to>
      <xdr:col>7</xdr:col>
      <xdr:colOff>28576</xdr:colOff>
      <xdr:row>6</xdr:row>
      <xdr:rowOff>180974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FAC8039-8712-40AC-A2D1-17D486E53190}"/>
            </a:ext>
          </a:extLst>
        </xdr:cNvPr>
        <xdr:cNvGrpSpPr/>
      </xdr:nvGrpSpPr>
      <xdr:grpSpPr>
        <a:xfrm>
          <a:off x="4072731" y="347134"/>
          <a:ext cx="2144978" cy="1002240"/>
          <a:chOff x="3652931" y="339901"/>
          <a:chExt cx="1865645" cy="966073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F050BC01-A12C-4FF9-86F4-6AAC19760B55}"/>
              </a:ext>
            </a:extLst>
          </xdr:cNvPr>
          <xdr:cNvSpPr/>
        </xdr:nvSpPr>
        <xdr:spPr>
          <a:xfrm>
            <a:off x="3667500" y="358949"/>
            <a:ext cx="1832025" cy="947025"/>
          </a:xfrm>
          <a:prstGeom prst="roundRect">
            <a:avLst/>
          </a:prstGeom>
          <a:noFill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A678334E-5BC1-4409-B9B1-0D8B7C90F3C7}"/>
              </a:ext>
            </a:extLst>
          </xdr:cNvPr>
          <xdr:cNvSpPr/>
        </xdr:nvSpPr>
        <xdr:spPr>
          <a:xfrm>
            <a:off x="3652931" y="339901"/>
            <a:ext cx="1865645" cy="248793"/>
          </a:xfrm>
          <a:prstGeom prst="roundRect">
            <a:avLst/>
          </a:prstGeom>
          <a:ln>
            <a:noFill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ar-SA" sz="1100" b="1"/>
              <a:t>نسبة الرضا</a:t>
            </a:r>
            <a:endParaRPr lang="en-US" sz="1100" b="1"/>
          </a:p>
        </xdr:txBody>
      </xdr:sp>
      <xdr:sp macro="" textlink="$C$5">
        <xdr:nvSpPr>
          <xdr:cNvPr id="7" name="TextBox 6">
            <a:extLst>
              <a:ext uri="{FF2B5EF4-FFF2-40B4-BE49-F238E27FC236}">
                <a16:creationId xmlns:a16="http://schemas.microsoft.com/office/drawing/2014/main" id="{DC988E10-C3F3-4590-83B0-E62A9AFBC267}"/>
              </a:ext>
            </a:extLst>
          </xdr:cNvPr>
          <xdr:cNvSpPr txBox="1"/>
        </xdr:nvSpPr>
        <xdr:spPr>
          <a:xfrm>
            <a:off x="4223793" y="638538"/>
            <a:ext cx="766764" cy="5024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F7F0013-5451-46CC-9EA3-031D01FA0570}" type="TxLink">
              <a:rPr lang="en-US" sz="3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73%</a:t>
            </a:fld>
            <a:endParaRPr lang="en-US" sz="6600"/>
          </a:p>
        </xdr:txBody>
      </xdr:sp>
    </xdr:grpSp>
    <xdr:clientData/>
  </xdr:twoCellAnchor>
  <xdr:twoCellAnchor>
    <xdr:from>
      <xdr:col>3</xdr:col>
      <xdr:colOff>405000</xdr:colOff>
      <xdr:row>10</xdr:row>
      <xdr:rowOff>149999</xdr:rowOff>
    </xdr:from>
    <xdr:to>
      <xdr:col>7</xdr:col>
      <xdr:colOff>530157</xdr:colOff>
      <xdr:row>14</xdr:row>
      <xdr:rowOff>71233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5951AD37-1629-47F0-BB65-1FD514503CDD}"/>
            </a:ext>
          </a:extLst>
        </xdr:cNvPr>
        <xdr:cNvGrpSpPr/>
      </xdr:nvGrpSpPr>
      <xdr:grpSpPr>
        <a:xfrm>
          <a:off x="3884800" y="2097332"/>
          <a:ext cx="2834490" cy="700168"/>
          <a:chOff x="6081471" y="1985495"/>
          <a:chExt cx="2557538" cy="682761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645B9D76-8A24-40F5-91DD-3828E15B0328}"/>
              </a:ext>
            </a:extLst>
          </xdr:cNvPr>
          <xdr:cNvGrpSpPr/>
        </xdr:nvGrpSpPr>
        <xdr:grpSpPr>
          <a:xfrm flipH="1">
            <a:off x="6081471" y="1985495"/>
            <a:ext cx="2557538" cy="682761"/>
            <a:chOff x="1063136" y="1775313"/>
            <a:chExt cx="3641788" cy="673988"/>
          </a:xfrm>
        </xdr:grpSpPr>
        <xdr:sp macro="" textlink="">
          <xdr:nvSpPr>
            <xdr:cNvPr id="19" name="Freeform: Shape 18">
              <a:extLst>
                <a:ext uri="{FF2B5EF4-FFF2-40B4-BE49-F238E27FC236}">
                  <a16:creationId xmlns:a16="http://schemas.microsoft.com/office/drawing/2014/main" id="{9250B774-2270-43FC-8366-9DFD790021EE}"/>
                </a:ext>
              </a:extLst>
            </xdr:cNvPr>
            <xdr:cNvSpPr/>
          </xdr:nvSpPr>
          <xdr:spPr>
            <a:xfrm>
              <a:off x="1320311" y="1775313"/>
              <a:ext cx="211931" cy="673893"/>
            </a:xfrm>
            <a:custGeom>
              <a:avLst/>
              <a:gdLst>
                <a:gd name="connsiteX0" fmla="*/ 0 w 211931"/>
                <a:gd name="connsiteY0" fmla="*/ 0 h 673893"/>
                <a:gd name="connsiteX1" fmla="*/ 0 w 211931"/>
                <a:gd name="connsiteY1" fmla="*/ 673894 h 673893"/>
                <a:gd name="connsiteX2" fmla="*/ 211931 w 211931"/>
                <a:gd name="connsiteY2" fmla="*/ 336995 h 673893"/>
                <a:gd name="connsiteX3" fmla="*/ 0 w 211931"/>
                <a:gd name="connsiteY3" fmla="*/ 0 h 67389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1931" h="673893">
                  <a:moveTo>
                    <a:pt x="0" y="0"/>
                  </a:moveTo>
                  <a:lnTo>
                    <a:pt x="0" y="673894"/>
                  </a:lnTo>
                  <a:lnTo>
                    <a:pt x="211931" y="33699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20" name="Freeform: Shape 19">
              <a:extLst>
                <a:ext uri="{FF2B5EF4-FFF2-40B4-BE49-F238E27FC236}">
                  <a16:creationId xmlns:a16="http://schemas.microsoft.com/office/drawing/2014/main" id="{12579B8A-B8C1-45C9-AF6A-B353920D68AF}"/>
                </a:ext>
              </a:extLst>
            </xdr:cNvPr>
            <xdr:cNvSpPr/>
          </xdr:nvSpPr>
          <xdr:spPr>
            <a:xfrm>
              <a:off x="1398892" y="2285757"/>
              <a:ext cx="3306032" cy="163544"/>
            </a:xfrm>
            <a:custGeom>
              <a:avLst/>
              <a:gdLst>
                <a:gd name="connsiteX0" fmla="*/ 0 w 3306032"/>
                <a:gd name="connsiteY0" fmla="*/ 0 h 163544"/>
                <a:gd name="connsiteX1" fmla="*/ 3306032 w 3306032"/>
                <a:gd name="connsiteY1" fmla="*/ 0 h 163544"/>
                <a:gd name="connsiteX2" fmla="*/ 3306032 w 3306032"/>
                <a:gd name="connsiteY2" fmla="*/ 163544 h 163544"/>
                <a:gd name="connsiteX3" fmla="*/ 0 w 3306032"/>
                <a:gd name="connsiteY3" fmla="*/ 163544 h 16354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306032" h="163544">
                  <a:moveTo>
                    <a:pt x="0" y="0"/>
                  </a:moveTo>
                  <a:lnTo>
                    <a:pt x="3306032" y="0"/>
                  </a:lnTo>
                  <a:lnTo>
                    <a:pt x="3306032" y="163544"/>
                  </a:lnTo>
                  <a:lnTo>
                    <a:pt x="0" y="163544"/>
                  </a:lnTo>
                  <a:close/>
                </a:path>
              </a:pathLst>
            </a:custGeom>
            <a:solidFill>
              <a:schemeClr val="bg2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21" name="Freeform: Shape 20">
              <a:extLst>
                <a:ext uri="{FF2B5EF4-FFF2-40B4-BE49-F238E27FC236}">
                  <a16:creationId xmlns:a16="http://schemas.microsoft.com/office/drawing/2014/main" id="{23B455CB-7238-42D2-A19C-54925879AF81}"/>
                </a:ext>
              </a:extLst>
            </xdr:cNvPr>
            <xdr:cNvSpPr/>
          </xdr:nvSpPr>
          <xdr:spPr>
            <a:xfrm>
              <a:off x="1063136" y="1832844"/>
              <a:ext cx="3584543" cy="558831"/>
            </a:xfrm>
            <a:custGeom>
              <a:avLst/>
              <a:gdLst>
                <a:gd name="connsiteX0" fmla="*/ 0 w 3584543"/>
                <a:gd name="connsiteY0" fmla="*/ 0 h 558831"/>
                <a:gd name="connsiteX1" fmla="*/ 3584543 w 3584543"/>
                <a:gd name="connsiteY1" fmla="*/ 0 h 558831"/>
                <a:gd name="connsiteX2" fmla="*/ 3584543 w 3584543"/>
                <a:gd name="connsiteY2" fmla="*/ 558832 h 558831"/>
                <a:gd name="connsiteX3" fmla="*/ 0 w 3584543"/>
                <a:gd name="connsiteY3" fmla="*/ 558832 h 5588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584543" h="558831">
                  <a:moveTo>
                    <a:pt x="0" y="0"/>
                  </a:moveTo>
                  <a:lnTo>
                    <a:pt x="3584543" y="0"/>
                  </a:lnTo>
                  <a:lnTo>
                    <a:pt x="3584543" y="558832"/>
                  </a:lnTo>
                  <a:lnTo>
                    <a:pt x="0" y="558832"/>
                  </a:ln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  <a:effectLst>
              <a:outerShdw blurRad="127000" sx="102000" sy="102000" algn="ctr" rotWithShape="0">
                <a:prstClr val="black">
                  <a:alpha val="10000"/>
                </a:prstClr>
              </a:outerShdw>
            </a:effectLst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22" name="Freeform: Shape 21">
              <a:extLst>
                <a:ext uri="{FF2B5EF4-FFF2-40B4-BE49-F238E27FC236}">
                  <a16:creationId xmlns:a16="http://schemas.microsoft.com/office/drawing/2014/main" id="{BCB95374-F23C-41F7-8DEA-F30908F0F2C2}"/>
                </a:ext>
              </a:extLst>
            </xdr:cNvPr>
            <xdr:cNvSpPr/>
          </xdr:nvSpPr>
          <xdr:spPr>
            <a:xfrm>
              <a:off x="1320311" y="1775313"/>
              <a:ext cx="775946" cy="673988"/>
            </a:xfrm>
            <a:custGeom>
              <a:avLst/>
              <a:gdLst>
                <a:gd name="connsiteX0" fmla="*/ 673932 w 775946"/>
                <a:gd name="connsiteY0" fmla="*/ 673827 h 673988"/>
                <a:gd name="connsiteX1" fmla="*/ -57 w 775946"/>
                <a:gd name="connsiteY1" fmla="*/ 673827 h 673988"/>
                <a:gd name="connsiteX2" fmla="*/ 16421 w 775946"/>
                <a:gd name="connsiteY2" fmla="*/ 27555 h 673988"/>
                <a:gd name="connsiteX3" fmla="*/ -57 w 775946"/>
                <a:gd name="connsiteY3" fmla="*/ -162 h 673988"/>
                <a:gd name="connsiteX4" fmla="*/ 673932 w 775946"/>
                <a:gd name="connsiteY4" fmla="*/ -162 h 673988"/>
                <a:gd name="connsiteX5" fmla="*/ 682885 w 775946"/>
                <a:gd name="connsiteY5" fmla="*/ 14125 h 673988"/>
                <a:gd name="connsiteX6" fmla="*/ 682885 w 775946"/>
                <a:gd name="connsiteY6" fmla="*/ 659539 h 6739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775946" h="673988">
                  <a:moveTo>
                    <a:pt x="673932" y="673827"/>
                  </a:moveTo>
                  <a:lnTo>
                    <a:pt x="-57" y="673827"/>
                  </a:lnTo>
                  <a:cubicBezTo>
                    <a:pt x="129461" y="479564"/>
                    <a:pt x="135871" y="228171"/>
                    <a:pt x="16421" y="27555"/>
                  </a:cubicBezTo>
                  <a:lnTo>
                    <a:pt x="-57" y="-162"/>
                  </a:lnTo>
                  <a:lnTo>
                    <a:pt x="673932" y="-162"/>
                  </a:lnTo>
                  <a:lnTo>
                    <a:pt x="682885" y="14125"/>
                  </a:lnTo>
                  <a:cubicBezTo>
                    <a:pt x="806891" y="211397"/>
                    <a:pt x="806891" y="462267"/>
                    <a:pt x="682885" y="659539"/>
                  </a:cubicBezTo>
                  <a:close/>
                </a:path>
              </a:pathLst>
            </a:custGeom>
            <a:solidFill>
              <a:schemeClr val="bg2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</xdr:grpSp>
      <xdr:sp macro="" textlink="">
        <xdr:nvSpPr>
          <xdr:cNvPr id="16" name="TextBox 51">
            <a:extLst>
              <a:ext uri="{FF2B5EF4-FFF2-40B4-BE49-F238E27FC236}">
                <a16:creationId xmlns:a16="http://schemas.microsoft.com/office/drawing/2014/main" id="{12E7DA38-518A-42D7-9232-854EE7A58C60}"/>
              </a:ext>
            </a:extLst>
          </xdr:cNvPr>
          <xdr:cNvSpPr txBox="1"/>
        </xdr:nvSpPr>
        <xdr:spPr>
          <a:xfrm>
            <a:off x="6133409" y="2016582"/>
            <a:ext cx="1958775" cy="34310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400">
                <a:solidFill>
                  <a:schemeClr val="accent1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الطلبات المستردة</a:t>
            </a:r>
            <a:endParaRPr lang="en-US" sz="1400">
              <a:solidFill>
                <a:schemeClr val="accent1"/>
              </a:solidFill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  <xdr:sp macro="" textlink="$C$13">
        <xdr:nvSpPr>
          <xdr:cNvPr id="17" name="TextBox 52">
            <a:extLst>
              <a:ext uri="{FF2B5EF4-FFF2-40B4-BE49-F238E27FC236}">
                <a16:creationId xmlns:a16="http://schemas.microsoft.com/office/drawing/2014/main" id="{E9F421C6-19F7-4D9D-94FA-2C4DE6FC5C39}"/>
              </a:ext>
            </a:extLst>
          </xdr:cNvPr>
          <xdr:cNvSpPr txBox="1"/>
        </xdr:nvSpPr>
        <xdr:spPr>
          <a:xfrm>
            <a:off x="6152810" y="2220821"/>
            <a:ext cx="1958775" cy="291496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fld id="{5A69E760-D8B5-4EDE-B25D-D59C2B808CAE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 rtl="1"/>
              <a:t>18%</a:t>
            </a:fld>
            <a:endParaRPr lang="ar-SA" sz="1400" b="1">
              <a:solidFill>
                <a:schemeClr val="accent1"/>
              </a:solidFill>
              <a:latin typeface="Sakkal Majalla"/>
              <a:ea typeface="Calibri" panose="020F0502020204030204"/>
              <a:cs typeface="Sakkal Majalla"/>
            </a:endParaRPr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F3561AEA-317E-4864-A068-5E4B62A29D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52480" y="2119889"/>
            <a:ext cx="365760" cy="374008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322500</xdr:colOff>
      <xdr:row>16</xdr:row>
      <xdr:rowOff>120000</xdr:rowOff>
    </xdr:from>
    <xdr:to>
      <xdr:col>7</xdr:col>
      <xdr:colOff>447657</xdr:colOff>
      <xdr:row>20</xdr:row>
      <xdr:rowOff>44986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4AF64632-027E-4C1E-ADAC-07206AEBFC3A}"/>
            </a:ext>
          </a:extLst>
        </xdr:cNvPr>
        <xdr:cNvGrpSpPr/>
      </xdr:nvGrpSpPr>
      <xdr:grpSpPr>
        <a:xfrm>
          <a:off x="3802300" y="3235733"/>
          <a:ext cx="2834490" cy="703920"/>
          <a:chOff x="6031117" y="2819620"/>
          <a:chExt cx="2557538" cy="686886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719F5339-125A-4D2A-8B3E-E0D08CF2F862}"/>
              </a:ext>
            </a:extLst>
          </xdr:cNvPr>
          <xdr:cNvGrpSpPr/>
        </xdr:nvGrpSpPr>
        <xdr:grpSpPr>
          <a:xfrm flipH="1">
            <a:off x="6031117" y="2819620"/>
            <a:ext cx="2557538" cy="686886"/>
            <a:chOff x="1063136" y="1775313"/>
            <a:chExt cx="3641788" cy="673988"/>
          </a:xfrm>
        </xdr:grpSpPr>
        <xdr:sp macro="" textlink="">
          <xdr:nvSpPr>
            <xdr:cNvPr id="28" name="Freeform: Shape 27">
              <a:extLst>
                <a:ext uri="{FF2B5EF4-FFF2-40B4-BE49-F238E27FC236}">
                  <a16:creationId xmlns:a16="http://schemas.microsoft.com/office/drawing/2014/main" id="{1FADCCD9-A8F0-4717-8966-EC5BA37CCF97}"/>
                </a:ext>
              </a:extLst>
            </xdr:cNvPr>
            <xdr:cNvSpPr/>
          </xdr:nvSpPr>
          <xdr:spPr>
            <a:xfrm>
              <a:off x="1320311" y="1775313"/>
              <a:ext cx="211931" cy="673893"/>
            </a:xfrm>
            <a:custGeom>
              <a:avLst/>
              <a:gdLst>
                <a:gd name="connsiteX0" fmla="*/ 0 w 211931"/>
                <a:gd name="connsiteY0" fmla="*/ 0 h 673893"/>
                <a:gd name="connsiteX1" fmla="*/ 0 w 211931"/>
                <a:gd name="connsiteY1" fmla="*/ 673894 h 673893"/>
                <a:gd name="connsiteX2" fmla="*/ 211931 w 211931"/>
                <a:gd name="connsiteY2" fmla="*/ 336995 h 673893"/>
                <a:gd name="connsiteX3" fmla="*/ 0 w 211931"/>
                <a:gd name="connsiteY3" fmla="*/ 0 h 67389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1931" h="673893">
                  <a:moveTo>
                    <a:pt x="0" y="0"/>
                  </a:moveTo>
                  <a:lnTo>
                    <a:pt x="0" y="673894"/>
                  </a:lnTo>
                  <a:lnTo>
                    <a:pt x="211931" y="33699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29" name="Freeform: Shape 28">
              <a:extLst>
                <a:ext uri="{FF2B5EF4-FFF2-40B4-BE49-F238E27FC236}">
                  <a16:creationId xmlns:a16="http://schemas.microsoft.com/office/drawing/2014/main" id="{BDD151D2-B515-4FAC-98BC-6C54365D28FF}"/>
                </a:ext>
              </a:extLst>
            </xdr:cNvPr>
            <xdr:cNvSpPr/>
          </xdr:nvSpPr>
          <xdr:spPr>
            <a:xfrm>
              <a:off x="1398892" y="2285757"/>
              <a:ext cx="3306032" cy="163544"/>
            </a:xfrm>
            <a:custGeom>
              <a:avLst/>
              <a:gdLst>
                <a:gd name="connsiteX0" fmla="*/ 0 w 3306032"/>
                <a:gd name="connsiteY0" fmla="*/ 0 h 163544"/>
                <a:gd name="connsiteX1" fmla="*/ 3306032 w 3306032"/>
                <a:gd name="connsiteY1" fmla="*/ 0 h 163544"/>
                <a:gd name="connsiteX2" fmla="*/ 3306032 w 3306032"/>
                <a:gd name="connsiteY2" fmla="*/ 163544 h 163544"/>
                <a:gd name="connsiteX3" fmla="*/ 0 w 3306032"/>
                <a:gd name="connsiteY3" fmla="*/ 163544 h 16354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306032" h="163544">
                  <a:moveTo>
                    <a:pt x="0" y="0"/>
                  </a:moveTo>
                  <a:lnTo>
                    <a:pt x="3306032" y="0"/>
                  </a:lnTo>
                  <a:lnTo>
                    <a:pt x="3306032" y="163544"/>
                  </a:lnTo>
                  <a:lnTo>
                    <a:pt x="0" y="163544"/>
                  </a:lnTo>
                  <a:close/>
                </a:path>
              </a:pathLst>
            </a:custGeom>
            <a:solidFill>
              <a:schemeClr val="accent4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30" name="Freeform: Shape 29">
              <a:extLst>
                <a:ext uri="{FF2B5EF4-FFF2-40B4-BE49-F238E27FC236}">
                  <a16:creationId xmlns:a16="http://schemas.microsoft.com/office/drawing/2014/main" id="{75D9AA9A-936D-454C-829A-A2BABCD2E94E}"/>
                </a:ext>
              </a:extLst>
            </xdr:cNvPr>
            <xdr:cNvSpPr/>
          </xdr:nvSpPr>
          <xdr:spPr>
            <a:xfrm>
              <a:off x="1063136" y="1832844"/>
              <a:ext cx="3584543" cy="558831"/>
            </a:xfrm>
            <a:custGeom>
              <a:avLst/>
              <a:gdLst>
                <a:gd name="connsiteX0" fmla="*/ 0 w 3584543"/>
                <a:gd name="connsiteY0" fmla="*/ 0 h 558831"/>
                <a:gd name="connsiteX1" fmla="*/ 3584543 w 3584543"/>
                <a:gd name="connsiteY1" fmla="*/ 0 h 558831"/>
                <a:gd name="connsiteX2" fmla="*/ 3584543 w 3584543"/>
                <a:gd name="connsiteY2" fmla="*/ 558832 h 558831"/>
                <a:gd name="connsiteX3" fmla="*/ 0 w 3584543"/>
                <a:gd name="connsiteY3" fmla="*/ 558832 h 5588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584543" h="558831">
                  <a:moveTo>
                    <a:pt x="0" y="0"/>
                  </a:moveTo>
                  <a:lnTo>
                    <a:pt x="3584543" y="0"/>
                  </a:lnTo>
                  <a:lnTo>
                    <a:pt x="3584543" y="558832"/>
                  </a:lnTo>
                  <a:lnTo>
                    <a:pt x="0" y="558832"/>
                  </a:ln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  <a:effectLst>
              <a:outerShdw blurRad="127000" sx="102000" sy="102000" algn="ctr" rotWithShape="0">
                <a:prstClr val="black">
                  <a:alpha val="10000"/>
                </a:prstClr>
              </a:outerShdw>
            </a:effectLst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31" name="Freeform: Shape 30">
              <a:extLst>
                <a:ext uri="{FF2B5EF4-FFF2-40B4-BE49-F238E27FC236}">
                  <a16:creationId xmlns:a16="http://schemas.microsoft.com/office/drawing/2014/main" id="{E5F7D3CB-8CFD-41C1-9980-3D6A9A98ECD1}"/>
                </a:ext>
              </a:extLst>
            </xdr:cNvPr>
            <xdr:cNvSpPr/>
          </xdr:nvSpPr>
          <xdr:spPr>
            <a:xfrm>
              <a:off x="1320311" y="1775313"/>
              <a:ext cx="775946" cy="673988"/>
            </a:xfrm>
            <a:custGeom>
              <a:avLst/>
              <a:gdLst>
                <a:gd name="connsiteX0" fmla="*/ 673932 w 775946"/>
                <a:gd name="connsiteY0" fmla="*/ 673827 h 673988"/>
                <a:gd name="connsiteX1" fmla="*/ -57 w 775946"/>
                <a:gd name="connsiteY1" fmla="*/ 673827 h 673988"/>
                <a:gd name="connsiteX2" fmla="*/ 16421 w 775946"/>
                <a:gd name="connsiteY2" fmla="*/ 27555 h 673988"/>
                <a:gd name="connsiteX3" fmla="*/ -57 w 775946"/>
                <a:gd name="connsiteY3" fmla="*/ -162 h 673988"/>
                <a:gd name="connsiteX4" fmla="*/ 673932 w 775946"/>
                <a:gd name="connsiteY4" fmla="*/ -162 h 673988"/>
                <a:gd name="connsiteX5" fmla="*/ 682885 w 775946"/>
                <a:gd name="connsiteY5" fmla="*/ 14125 h 673988"/>
                <a:gd name="connsiteX6" fmla="*/ 682885 w 775946"/>
                <a:gd name="connsiteY6" fmla="*/ 659539 h 6739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775946" h="673988">
                  <a:moveTo>
                    <a:pt x="673932" y="673827"/>
                  </a:moveTo>
                  <a:lnTo>
                    <a:pt x="-57" y="673827"/>
                  </a:lnTo>
                  <a:cubicBezTo>
                    <a:pt x="129461" y="479564"/>
                    <a:pt x="135871" y="228171"/>
                    <a:pt x="16421" y="27555"/>
                  </a:cubicBezTo>
                  <a:lnTo>
                    <a:pt x="-57" y="-162"/>
                  </a:lnTo>
                  <a:lnTo>
                    <a:pt x="673932" y="-162"/>
                  </a:lnTo>
                  <a:lnTo>
                    <a:pt x="682885" y="14125"/>
                  </a:lnTo>
                  <a:cubicBezTo>
                    <a:pt x="806891" y="211397"/>
                    <a:pt x="806891" y="462267"/>
                    <a:pt x="682885" y="659539"/>
                  </a:cubicBezTo>
                  <a:close/>
                </a:path>
              </a:pathLst>
            </a:custGeom>
            <a:solidFill>
              <a:schemeClr val="accent4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</xdr:grpSp>
      <xdr:sp macro="" textlink="">
        <xdr:nvSpPr>
          <xdr:cNvPr id="25" name="TextBox 54">
            <a:extLst>
              <a:ext uri="{FF2B5EF4-FFF2-40B4-BE49-F238E27FC236}">
                <a16:creationId xmlns:a16="http://schemas.microsoft.com/office/drawing/2014/main" id="{AA45B99F-3FF2-40B0-ADC5-A8A40C97FA58}"/>
              </a:ext>
            </a:extLst>
          </xdr:cNvPr>
          <xdr:cNvSpPr txBox="1"/>
        </xdr:nvSpPr>
        <xdr:spPr>
          <a:xfrm>
            <a:off x="6081083" y="2850707"/>
            <a:ext cx="1960747" cy="343107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400">
                <a:solidFill>
                  <a:schemeClr val="accent1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الطلبات التالفة</a:t>
            </a:r>
            <a:endParaRPr lang="en-US" sz="1400">
              <a:solidFill>
                <a:schemeClr val="accent1"/>
              </a:solidFill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3E08F3D7-2A4B-48D1-BCDB-10D3E1A824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29177" y="2961697"/>
            <a:ext cx="367732" cy="374009"/>
          </a:xfrm>
          <a:prstGeom prst="rect">
            <a:avLst/>
          </a:prstGeom>
        </xdr:spPr>
      </xdr:pic>
      <xdr:sp macro="" textlink="$C$19">
        <xdr:nvSpPr>
          <xdr:cNvPr id="27" name="TextBox 89">
            <a:extLst>
              <a:ext uri="{FF2B5EF4-FFF2-40B4-BE49-F238E27FC236}">
                <a16:creationId xmlns:a16="http://schemas.microsoft.com/office/drawing/2014/main" id="{26A49EDF-CAF9-450D-B167-BE45E53A8120}"/>
              </a:ext>
            </a:extLst>
          </xdr:cNvPr>
          <xdr:cNvSpPr txBox="1"/>
        </xdr:nvSpPr>
        <xdr:spPr>
          <a:xfrm>
            <a:off x="6115861" y="3086225"/>
            <a:ext cx="1958775" cy="258032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fld id="{95D3B92F-528F-4623-B2B2-E578ED8B434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 rtl="1"/>
              <a:t>9%</a:t>
            </a:fld>
            <a:endParaRPr lang="en-US">
              <a:solidFill>
                <a:schemeClr val="accent1"/>
              </a:solidFill>
            </a:endParaRPr>
          </a:p>
        </xdr:txBody>
      </xdr:sp>
    </xdr:grpSp>
    <xdr:clientData/>
  </xdr:twoCellAnchor>
  <xdr:twoCellAnchor editAs="oneCell">
    <xdr:from>
      <xdr:col>6</xdr:col>
      <xdr:colOff>529611</xdr:colOff>
      <xdr:row>26</xdr:row>
      <xdr:rowOff>12720</xdr:rowOff>
    </xdr:from>
    <xdr:to>
      <xdr:col>7</xdr:col>
      <xdr:colOff>287871</xdr:colOff>
      <xdr:row>28</xdr:row>
      <xdr:rowOff>5775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20F2844-9801-4362-9A6E-F79BED139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2111" y="4887720"/>
          <a:ext cx="365760" cy="368055"/>
        </a:xfrm>
        <a:prstGeom prst="rect">
          <a:avLst/>
        </a:prstGeom>
      </xdr:spPr>
    </xdr:pic>
    <xdr:clientData/>
  </xdr:twoCellAnchor>
  <xdr:twoCellAnchor>
    <xdr:from>
      <xdr:col>3</xdr:col>
      <xdr:colOff>442500</xdr:colOff>
      <xdr:row>25</xdr:row>
      <xdr:rowOff>60000</xdr:rowOff>
    </xdr:from>
    <xdr:to>
      <xdr:col>7</xdr:col>
      <xdr:colOff>567062</xdr:colOff>
      <xdr:row>28</xdr:row>
      <xdr:rowOff>172479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23F20C78-823F-4E9E-9B5B-AB15B8157AA8}"/>
            </a:ext>
          </a:extLst>
        </xdr:cNvPr>
        <xdr:cNvGrpSpPr/>
      </xdr:nvGrpSpPr>
      <xdr:grpSpPr>
        <a:xfrm>
          <a:off x="3922300" y="4928333"/>
          <a:ext cx="2833895" cy="696679"/>
          <a:chOff x="3832500" y="4747500"/>
          <a:chExt cx="2554562" cy="674979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BC1A5701-2501-4CAC-B0A0-AD2CA0971F77}"/>
              </a:ext>
            </a:extLst>
          </xdr:cNvPr>
          <xdr:cNvGrpSpPr/>
        </xdr:nvGrpSpPr>
        <xdr:grpSpPr>
          <a:xfrm flipH="1">
            <a:off x="3832500" y="4747500"/>
            <a:ext cx="2554562" cy="674979"/>
            <a:chOff x="1063136" y="1775313"/>
            <a:chExt cx="3641788" cy="673988"/>
          </a:xfrm>
        </xdr:grpSpPr>
        <xdr:sp macro="" textlink="">
          <xdr:nvSpPr>
            <xdr:cNvPr id="33" name="Freeform: Shape 32">
              <a:extLst>
                <a:ext uri="{FF2B5EF4-FFF2-40B4-BE49-F238E27FC236}">
                  <a16:creationId xmlns:a16="http://schemas.microsoft.com/office/drawing/2014/main" id="{04F14EEF-F3A3-44A9-A420-588A8BAF88A6}"/>
                </a:ext>
              </a:extLst>
            </xdr:cNvPr>
            <xdr:cNvSpPr/>
          </xdr:nvSpPr>
          <xdr:spPr>
            <a:xfrm>
              <a:off x="1320311" y="1775313"/>
              <a:ext cx="211931" cy="673893"/>
            </a:xfrm>
            <a:custGeom>
              <a:avLst/>
              <a:gdLst>
                <a:gd name="connsiteX0" fmla="*/ 0 w 211931"/>
                <a:gd name="connsiteY0" fmla="*/ 0 h 673893"/>
                <a:gd name="connsiteX1" fmla="*/ 0 w 211931"/>
                <a:gd name="connsiteY1" fmla="*/ 673894 h 673893"/>
                <a:gd name="connsiteX2" fmla="*/ 211931 w 211931"/>
                <a:gd name="connsiteY2" fmla="*/ 336995 h 673893"/>
                <a:gd name="connsiteX3" fmla="*/ 0 w 211931"/>
                <a:gd name="connsiteY3" fmla="*/ 0 h 67389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1931" h="673893">
                  <a:moveTo>
                    <a:pt x="0" y="0"/>
                  </a:moveTo>
                  <a:lnTo>
                    <a:pt x="0" y="673894"/>
                  </a:lnTo>
                  <a:lnTo>
                    <a:pt x="211931" y="33699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34" name="Freeform: Shape 33">
              <a:extLst>
                <a:ext uri="{FF2B5EF4-FFF2-40B4-BE49-F238E27FC236}">
                  <a16:creationId xmlns:a16="http://schemas.microsoft.com/office/drawing/2014/main" id="{BDF933C2-76C1-48BC-882B-681D46F24A48}"/>
                </a:ext>
              </a:extLst>
            </xdr:cNvPr>
            <xdr:cNvSpPr/>
          </xdr:nvSpPr>
          <xdr:spPr>
            <a:xfrm>
              <a:off x="1398892" y="2285757"/>
              <a:ext cx="3306032" cy="163544"/>
            </a:xfrm>
            <a:custGeom>
              <a:avLst/>
              <a:gdLst>
                <a:gd name="connsiteX0" fmla="*/ 0 w 3306032"/>
                <a:gd name="connsiteY0" fmla="*/ 0 h 163544"/>
                <a:gd name="connsiteX1" fmla="*/ 3306032 w 3306032"/>
                <a:gd name="connsiteY1" fmla="*/ 0 h 163544"/>
                <a:gd name="connsiteX2" fmla="*/ 3306032 w 3306032"/>
                <a:gd name="connsiteY2" fmla="*/ 163544 h 163544"/>
                <a:gd name="connsiteX3" fmla="*/ 0 w 3306032"/>
                <a:gd name="connsiteY3" fmla="*/ 163544 h 16354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306032" h="163544">
                  <a:moveTo>
                    <a:pt x="0" y="0"/>
                  </a:moveTo>
                  <a:lnTo>
                    <a:pt x="3306032" y="0"/>
                  </a:lnTo>
                  <a:lnTo>
                    <a:pt x="3306032" y="163544"/>
                  </a:lnTo>
                  <a:lnTo>
                    <a:pt x="0" y="163544"/>
                  </a:lnTo>
                  <a:close/>
                </a:path>
              </a:pathLst>
            </a:custGeom>
            <a:solidFill>
              <a:srgbClr val="C0000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35" name="Freeform: Shape 34">
              <a:extLst>
                <a:ext uri="{FF2B5EF4-FFF2-40B4-BE49-F238E27FC236}">
                  <a16:creationId xmlns:a16="http://schemas.microsoft.com/office/drawing/2014/main" id="{72652882-D053-4F27-9A9D-A487884CDEBB}"/>
                </a:ext>
              </a:extLst>
            </xdr:cNvPr>
            <xdr:cNvSpPr/>
          </xdr:nvSpPr>
          <xdr:spPr>
            <a:xfrm>
              <a:off x="1063136" y="1832844"/>
              <a:ext cx="3584543" cy="558831"/>
            </a:xfrm>
            <a:custGeom>
              <a:avLst/>
              <a:gdLst>
                <a:gd name="connsiteX0" fmla="*/ 0 w 3584543"/>
                <a:gd name="connsiteY0" fmla="*/ 0 h 558831"/>
                <a:gd name="connsiteX1" fmla="*/ 3584543 w 3584543"/>
                <a:gd name="connsiteY1" fmla="*/ 0 h 558831"/>
                <a:gd name="connsiteX2" fmla="*/ 3584543 w 3584543"/>
                <a:gd name="connsiteY2" fmla="*/ 558832 h 558831"/>
                <a:gd name="connsiteX3" fmla="*/ 0 w 3584543"/>
                <a:gd name="connsiteY3" fmla="*/ 558832 h 5588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584543" h="558831">
                  <a:moveTo>
                    <a:pt x="0" y="0"/>
                  </a:moveTo>
                  <a:lnTo>
                    <a:pt x="3584543" y="0"/>
                  </a:lnTo>
                  <a:lnTo>
                    <a:pt x="3584543" y="558832"/>
                  </a:lnTo>
                  <a:lnTo>
                    <a:pt x="0" y="558832"/>
                  </a:ln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  <a:effectLst>
              <a:outerShdw blurRad="127000" sx="102000" sy="102000" algn="ctr" rotWithShape="0">
                <a:prstClr val="black">
                  <a:alpha val="10000"/>
                </a:prstClr>
              </a:outerShdw>
            </a:effectLst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36" name="Freeform: Shape 35">
              <a:extLst>
                <a:ext uri="{FF2B5EF4-FFF2-40B4-BE49-F238E27FC236}">
                  <a16:creationId xmlns:a16="http://schemas.microsoft.com/office/drawing/2014/main" id="{837D13C6-C619-4AC5-B91B-D27C7B9C195E}"/>
                </a:ext>
              </a:extLst>
            </xdr:cNvPr>
            <xdr:cNvSpPr/>
          </xdr:nvSpPr>
          <xdr:spPr>
            <a:xfrm>
              <a:off x="1320311" y="1775313"/>
              <a:ext cx="775946" cy="673988"/>
            </a:xfrm>
            <a:custGeom>
              <a:avLst/>
              <a:gdLst>
                <a:gd name="connsiteX0" fmla="*/ 673932 w 775946"/>
                <a:gd name="connsiteY0" fmla="*/ 673827 h 673988"/>
                <a:gd name="connsiteX1" fmla="*/ -57 w 775946"/>
                <a:gd name="connsiteY1" fmla="*/ 673827 h 673988"/>
                <a:gd name="connsiteX2" fmla="*/ 16421 w 775946"/>
                <a:gd name="connsiteY2" fmla="*/ 27555 h 673988"/>
                <a:gd name="connsiteX3" fmla="*/ -57 w 775946"/>
                <a:gd name="connsiteY3" fmla="*/ -162 h 673988"/>
                <a:gd name="connsiteX4" fmla="*/ 673932 w 775946"/>
                <a:gd name="connsiteY4" fmla="*/ -162 h 673988"/>
                <a:gd name="connsiteX5" fmla="*/ 682885 w 775946"/>
                <a:gd name="connsiteY5" fmla="*/ 14125 h 673988"/>
                <a:gd name="connsiteX6" fmla="*/ 682885 w 775946"/>
                <a:gd name="connsiteY6" fmla="*/ 659539 h 6739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775946" h="673988">
                  <a:moveTo>
                    <a:pt x="673932" y="673827"/>
                  </a:moveTo>
                  <a:lnTo>
                    <a:pt x="-57" y="673827"/>
                  </a:lnTo>
                  <a:cubicBezTo>
                    <a:pt x="129461" y="479564"/>
                    <a:pt x="135871" y="228171"/>
                    <a:pt x="16421" y="27555"/>
                  </a:cubicBezTo>
                  <a:lnTo>
                    <a:pt x="-57" y="-162"/>
                  </a:lnTo>
                  <a:lnTo>
                    <a:pt x="673932" y="-162"/>
                  </a:lnTo>
                  <a:lnTo>
                    <a:pt x="682885" y="14125"/>
                  </a:lnTo>
                  <a:cubicBezTo>
                    <a:pt x="806891" y="211397"/>
                    <a:pt x="806891" y="462267"/>
                    <a:pt x="682885" y="659539"/>
                  </a:cubicBezTo>
                  <a:close/>
                </a:path>
              </a:pathLst>
            </a:custGeom>
            <a:solidFill>
              <a:srgbClr val="C0000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</xdr:grpSp>
      <xdr:sp macro="" textlink="">
        <xdr:nvSpPr>
          <xdr:cNvPr id="37" name="TextBox 57">
            <a:extLst>
              <a:ext uri="{FF2B5EF4-FFF2-40B4-BE49-F238E27FC236}">
                <a16:creationId xmlns:a16="http://schemas.microsoft.com/office/drawing/2014/main" id="{94EF6C24-CF0C-497E-957F-5B1768A440AE}"/>
              </a:ext>
            </a:extLst>
          </xdr:cNvPr>
          <xdr:cNvSpPr txBox="1"/>
        </xdr:nvSpPr>
        <xdr:spPr>
          <a:xfrm>
            <a:off x="3882466" y="4778587"/>
            <a:ext cx="1958366" cy="337154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400">
                <a:solidFill>
                  <a:schemeClr val="accent1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الطلبات المتأخرة</a:t>
            </a:r>
            <a:endParaRPr lang="en-US" sz="1400">
              <a:solidFill>
                <a:schemeClr val="accent1"/>
              </a:solidFill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  <xdr:sp macro="" textlink="$C$26">
        <xdr:nvSpPr>
          <xdr:cNvPr id="39" name="TextBox 90">
            <a:extLst>
              <a:ext uri="{FF2B5EF4-FFF2-40B4-BE49-F238E27FC236}">
                <a16:creationId xmlns:a16="http://schemas.microsoft.com/office/drawing/2014/main" id="{2266D268-3901-47A7-AD55-5F1D24300B95}"/>
              </a:ext>
            </a:extLst>
          </xdr:cNvPr>
          <xdr:cNvSpPr txBox="1"/>
        </xdr:nvSpPr>
        <xdr:spPr>
          <a:xfrm>
            <a:off x="3904461" y="5018813"/>
            <a:ext cx="1956989" cy="264560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fld id="{F7D2D80E-7C8E-435C-994A-7393AEA182D3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 rtl="1"/>
              <a:t>30%</a:t>
            </a:fld>
            <a:endParaRPr lang="en-US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2</xdr:col>
      <xdr:colOff>382500</xdr:colOff>
      <xdr:row>30</xdr:row>
      <xdr:rowOff>98400</xdr:rowOff>
    </xdr:from>
    <xdr:to>
      <xdr:col>10</xdr:col>
      <xdr:colOff>463500</xdr:colOff>
      <xdr:row>44</xdr:row>
      <xdr:rowOff>127500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DD5EFCF2-66FD-4852-9B60-6512CC072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57750</xdr:colOff>
      <xdr:row>37</xdr:row>
      <xdr:rowOff>0</xdr:rowOff>
    </xdr:from>
    <xdr:to>
      <xdr:col>14</xdr:col>
      <xdr:colOff>562500</xdr:colOff>
      <xdr:row>51</xdr:row>
      <xdr:rowOff>20000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02972F3-8785-4889-B799-ADCDCE994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285000</xdr:colOff>
      <xdr:row>10</xdr:row>
      <xdr:rowOff>29288</xdr:rowOff>
    </xdr:from>
    <xdr:to>
      <xdr:col>12</xdr:col>
      <xdr:colOff>931659</xdr:colOff>
      <xdr:row>18</xdr:row>
      <xdr:rowOff>38125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FC85221F-1CD1-42B5-B297-349D1DFC871E}"/>
            </a:ext>
          </a:extLst>
        </xdr:cNvPr>
        <xdr:cNvSpPr/>
      </xdr:nvSpPr>
      <xdr:spPr>
        <a:xfrm>
          <a:off x="6765000" y="1904288"/>
          <a:ext cx="3076659" cy="1508837"/>
        </a:xfrm>
        <a:prstGeom prst="roundRect">
          <a:avLst/>
        </a:prstGeom>
        <a:solidFill>
          <a:schemeClr val="bg1"/>
        </a:solidFill>
        <a:ln w="46326" cap="flat">
          <a:noFill/>
          <a:prstDash val="solid"/>
          <a:miter/>
        </a:ln>
        <a:effectLst>
          <a:outerShdw blurRad="127000" sx="102000" sy="102000" algn="ctr" rotWithShape="0">
            <a:prstClr val="black">
              <a:alpha val="10000"/>
            </a:prstClr>
          </a:outerShdw>
        </a:effectLst>
      </xdr:spPr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en-US"/>
        </a:p>
      </xdr:txBody>
    </xdr:sp>
    <xdr:clientData/>
  </xdr:twoCellAnchor>
  <xdr:twoCellAnchor>
    <xdr:from>
      <xdr:col>8</xdr:col>
      <xdr:colOff>288426</xdr:colOff>
      <xdr:row>9</xdr:row>
      <xdr:rowOff>67500</xdr:rowOff>
    </xdr:from>
    <xdr:to>
      <xdr:col>12</xdr:col>
      <xdr:colOff>967283</xdr:colOff>
      <xdr:row>11</xdr:row>
      <xdr:rowOff>146695</xdr:rowOff>
    </xdr:to>
    <xdr:sp macro="" textlink="">
      <xdr:nvSpPr>
        <xdr:cNvPr id="46" name="Прямоугольник с двумя скругленными противолежащими углами 134">
          <a:extLst>
            <a:ext uri="{FF2B5EF4-FFF2-40B4-BE49-F238E27FC236}">
              <a16:creationId xmlns:a16="http://schemas.microsoft.com/office/drawing/2014/main" id="{A178FD96-003B-4A02-9FD9-001EAC79AFB6}"/>
            </a:ext>
          </a:extLst>
        </xdr:cNvPr>
        <xdr:cNvSpPr/>
      </xdr:nvSpPr>
      <xdr:spPr>
        <a:xfrm>
          <a:off x="6768426" y="1755000"/>
          <a:ext cx="3108857" cy="454195"/>
        </a:xfrm>
        <a:prstGeom prst="round2DiagRect">
          <a:avLst>
            <a:gd name="adj1" fmla="val 44876"/>
            <a:gd name="adj2" fmla="val 12537"/>
          </a:avLst>
        </a:prstGeom>
        <a:gradFill flip="none" rotWithShape="1">
          <a:gsLst>
            <a:gs pos="0">
              <a:srgbClr val="004340"/>
            </a:gs>
            <a:gs pos="100000">
              <a:srgbClr val="227681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1800" b="1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إعادة العمل</a:t>
          </a:r>
          <a:endParaRPr lang="en-US" sz="1600">
            <a:effectLst/>
          </a:endParaRPr>
        </a:p>
      </xdr:txBody>
    </xdr:sp>
    <xdr:clientData/>
  </xdr:twoCellAnchor>
  <xdr:oneCellAnchor>
    <xdr:from>
      <xdr:col>10</xdr:col>
      <xdr:colOff>120000</xdr:colOff>
      <xdr:row>13</xdr:row>
      <xdr:rowOff>7500</xdr:rowOff>
    </xdr:from>
    <xdr:ext cx="982641" cy="655885"/>
    <xdr:sp macro="" textlink="$C$13">
      <xdr:nvSpPr>
        <xdr:cNvPr id="48" name="TextBox 47">
          <a:extLst>
            <a:ext uri="{FF2B5EF4-FFF2-40B4-BE49-F238E27FC236}">
              <a16:creationId xmlns:a16="http://schemas.microsoft.com/office/drawing/2014/main" id="{B70F5C40-9C95-49EE-9D83-661627F89E84}"/>
            </a:ext>
          </a:extLst>
        </xdr:cNvPr>
        <xdr:cNvSpPr txBox="1"/>
      </xdr:nvSpPr>
      <xdr:spPr>
        <a:xfrm>
          <a:off x="7815000" y="2445000"/>
          <a:ext cx="98264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1D125E0-BBFF-4D14-BD1B-9A0B50C49778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18%</a:t>
          </a:fld>
          <a:endParaRPr lang="en-US" sz="3600"/>
        </a:p>
      </xdr:txBody>
    </xdr:sp>
    <xdr:clientData/>
  </xdr:oneCellAnchor>
  <xdr:twoCellAnchor>
    <xdr:from>
      <xdr:col>12</xdr:col>
      <xdr:colOff>0</xdr:colOff>
      <xdr:row>20</xdr:row>
      <xdr:rowOff>149288</xdr:rowOff>
    </xdr:from>
    <xdr:to>
      <xdr:col>14</xdr:col>
      <xdr:colOff>571659</xdr:colOff>
      <xdr:row>28</xdr:row>
      <xdr:rowOff>158125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44B5097F-F10D-4CF5-A664-44D2D1027ACA}"/>
            </a:ext>
          </a:extLst>
        </xdr:cNvPr>
        <xdr:cNvSpPr/>
      </xdr:nvSpPr>
      <xdr:spPr>
        <a:xfrm>
          <a:off x="8910000" y="3899288"/>
          <a:ext cx="3076659" cy="1508837"/>
        </a:xfrm>
        <a:prstGeom prst="roundRect">
          <a:avLst/>
        </a:prstGeom>
        <a:solidFill>
          <a:schemeClr val="bg1"/>
        </a:solidFill>
        <a:ln w="46326" cap="flat">
          <a:noFill/>
          <a:prstDash val="solid"/>
          <a:miter/>
        </a:ln>
        <a:effectLst>
          <a:outerShdw blurRad="127000" sx="102000" sy="102000" algn="ctr" rotWithShape="0">
            <a:prstClr val="black">
              <a:alpha val="10000"/>
            </a:prstClr>
          </a:outerShdw>
        </a:effectLst>
      </xdr:spPr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en-US"/>
        </a:p>
      </xdr:txBody>
    </xdr:sp>
    <xdr:clientData/>
  </xdr:twoCellAnchor>
  <xdr:twoCellAnchor>
    <xdr:from>
      <xdr:col>12</xdr:col>
      <xdr:colOff>3426</xdr:colOff>
      <xdr:row>20</xdr:row>
      <xdr:rowOff>0</xdr:rowOff>
    </xdr:from>
    <xdr:to>
      <xdr:col>14</xdr:col>
      <xdr:colOff>607283</xdr:colOff>
      <xdr:row>22</xdr:row>
      <xdr:rowOff>79195</xdr:rowOff>
    </xdr:to>
    <xdr:sp macro="" textlink="">
      <xdr:nvSpPr>
        <xdr:cNvPr id="50" name="Прямоугольник с двумя скругленными противолежащими углами 134">
          <a:extLst>
            <a:ext uri="{FF2B5EF4-FFF2-40B4-BE49-F238E27FC236}">
              <a16:creationId xmlns:a16="http://schemas.microsoft.com/office/drawing/2014/main" id="{8100BCBC-4ADA-4156-82A8-FADA0FA601EC}"/>
            </a:ext>
          </a:extLst>
        </xdr:cNvPr>
        <xdr:cNvSpPr/>
      </xdr:nvSpPr>
      <xdr:spPr>
        <a:xfrm>
          <a:off x="8913426" y="3750000"/>
          <a:ext cx="3108857" cy="454195"/>
        </a:xfrm>
        <a:prstGeom prst="round2DiagRect">
          <a:avLst>
            <a:gd name="adj1" fmla="val 44876"/>
            <a:gd name="adj2" fmla="val 12537"/>
          </a:avLst>
        </a:prstGeom>
        <a:gradFill flip="none" rotWithShape="1">
          <a:gsLst>
            <a:gs pos="0">
              <a:srgbClr val="004340"/>
            </a:gs>
            <a:gs pos="100000">
              <a:srgbClr val="227681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1800" b="1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إعادة العمل</a:t>
          </a:r>
          <a:endParaRPr lang="en-US" sz="1600">
            <a:effectLst/>
          </a:endParaRPr>
        </a:p>
      </xdr:txBody>
    </xdr:sp>
    <xdr:clientData/>
  </xdr:twoCellAnchor>
  <xdr:oneCellAnchor>
    <xdr:from>
      <xdr:col>12</xdr:col>
      <xdr:colOff>1050000</xdr:colOff>
      <xdr:row>23</xdr:row>
      <xdr:rowOff>127500</xdr:rowOff>
    </xdr:from>
    <xdr:ext cx="982641" cy="655885"/>
    <xdr:sp macro="" textlink="$C$13">
      <xdr:nvSpPr>
        <xdr:cNvPr id="51" name="TextBox 50">
          <a:extLst>
            <a:ext uri="{FF2B5EF4-FFF2-40B4-BE49-F238E27FC236}">
              <a16:creationId xmlns:a16="http://schemas.microsoft.com/office/drawing/2014/main" id="{061E2D8C-D5BF-404F-9402-65AB49FC374E}"/>
            </a:ext>
          </a:extLst>
        </xdr:cNvPr>
        <xdr:cNvSpPr txBox="1"/>
      </xdr:nvSpPr>
      <xdr:spPr>
        <a:xfrm>
          <a:off x="9960000" y="4440000"/>
          <a:ext cx="98264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1D125E0-BBFF-4D14-BD1B-9A0B50C49778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18%</a:t>
          </a:fld>
          <a:endParaRPr lang="en-US" sz="3600"/>
        </a:p>
      </xdr:txBody>
    </xdr:sp>
    <xdr:clientData/>
  </xdr:oneCellAnchor>
  <xdr:twoCellAnchor>
    <xdr:from>
      <xdr:col>4</xdr:col>
      <xdr:colOff>164571</xdr:colOff>
      <xdr:row>44</xdr:row>
      <xdr:rowOff>46143</xdr:rowOff>
    </xdr:from>
    <xdr:to>
      <xdr:col>11</xdr:col>
      <xdr:colOff>32703</xdr:colOff>
      <xdr:row>58</xdr:row>
      <xdr:rowOff>122343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FFEFCB-3817-E569-C03E-62DEF4CAB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558801</xdr:colOff>
      <xdr:row>69</xdr:row>
      <xdr:rowOff>0</xdr:rowOff>
    </xdr:from>
    <xdr:to>
      <xdr:col>10</xdr:col>
      <xdr:colOff>389468</xdr:colOff>
      <xdr:row>83</xdr:row>
      <xdr:rowOff>16933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61FA9D6-DD77-6E84-E65C-15C143C2E2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8601" y="13436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86855</xdr:colOff>
      <xdr:row>3</xdr:row>
      <xdr:rowOff>124239</xdr:rowOff>
    </xdr:from>
    <xdr:to>
      <xdr:col>24</xdr:col>
      <xdr:colOff>109302</xdr:colOff>
      <xdr:row>30</xdr:row>
      <xdr:rowOff>0</xdr:rowOff>
    </xdr:to>
    <xdr:sp macro="" textlink="">
      <xdr:nvSpPr>
        <xdr:cNvPr id="172" name="Rectangle: Rounded Corners 171">
          <a:extLst>
            <a:ext uri="{FF2B5EF4-FFF2-40B4-BE49-F238E27FC236}">
              <a16:creationId xmlns:a16="http://schemas.microsoft.com/office/drawing/2014/main" id="{192E5F7D-B9D3-4439-BD22-2E7D3FE33DAA}"/>
            </a:ext>
          </a:extLst>
        </xdr:cNvPr>
        <xdr:cNvSpPr/>
      </xdr:nvSpPr>
      <xdr:spPr>
        <a:xfrm>
          <a:off x="11692860" y="683315"/>
          <a:ext cx="3076659" cy="4907446"/>
        </a:xfrm>
        <a:prstGeom prst="roundRect">
          <a:avLst/>
        </a:prstGeom>
        <a:solidFill>
          <a:schemeClr val="bg1"/>
        </a:solidFill>
        <a:ln w="46326" cap="flat">
          <a:noFill/>
          <a:prstDash val="solid"/>
          <a:miter/>
        </a:ln>
        <a:effectLst>
          <a:outerShdw blurRad="127000" sx="102000" sy="102000" algn="ctr" rotWithShape="0">
            <a:prstClr val="black">
              <a:alpha val="10000"/>
            </a:prstClr>
          </a:outerShdw>
        </a:effectLst>
      </xdr:spPr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en-US"/>
        </a:p>
      </xdr:txBody>
    </xdr:sp>
    <xdr:clientData/>
  </xdr:twoCellAnchor>
  <xdr:twoCellAnchor>
    <xdr:from>
      <xdr:col>13</xdr:col>
      <xdr:colOff>483177</xdr:colOff>
      <xdr:row>4</xdr:row>
      <xdr:rowOff>142047</xdr:rowOff>
    </xdr:from>
    <xdr:to>
      <xdr:col>18</xdr:col>
      <xdr:colOff>505624</xdr:colOff>
      <xdr:row>12</xdr:row>
      <xdr:rowOff>160015</xdr:rowOff>
    </xdr:to>
    <xdr:sp macro="" textlink="">
      <xdr:nvSpPr>
        <xdr:cNvPr id="137" name="Rectangle: Rounded Corners 136">
          <a:extLst>
            <a:ext uri="{FF2B5EF4-FFF2-40B4-BE49-F238E27FC236}">
              <a16:creationId xmlns:a16="http://schemas.microsoft.com/office/drawing/2014/main" id="{B44AF300-D6E8-4721-8F42-62D428D38978}"/>
            </a:ext>
          </a:extLst>
        </xdr:cNvPr>
        <xdr:cNvSpPr/>
      </xdr:nvSpPr>
      <xdr:spPr>
        <a:xfrm>
          <a:off x="8424128" y="887482"/>
          <a:ext cx="3076659" cy="1508837"/>
        </a:xfrm>
        <a:prstGeom prst="roundRect">
          <a:avLst/>
        </a:prstGeom>
        <a:solidFill>
          <a:schemeClr val="bg1"/>
        </a:solidFill>
        <a:ln w="46326" cap="flat">
          <a:noFill/>
          <a:prstDash val="solid"/>
          <a:miter/>
        </a:ln>
        <a:effectLst>
          <a:outerShdw blurRad="127000" sx="102000" sy="102000" algn="ctr" rotWithShape="0">
            <a:prstClr val="black">
              <a:alpha val="10000"/>
            </a:prstClr>
          </a:outerShdw>
        </a:effectLst>
      </xdr:spPr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en-US"/>
        </a:p>
      </xdr:txBody>
    </xdr:sp>
    <xdr:clientData/>
  </xdr:twoCellAnchor>
  <xdr:twoCellAnchor>
    <xdr:from>
      <xdr:col>29</xdr:col>
      <xdr:colOff>259106</xdr:colOff>
      <xdr:row>9</xdr:row>
      <xdr:rowOff>768</xdr:rowOff>
    </xdr:from>
    <xdr:to>
      <xdr:col>34</xdr:col>
      <xdr:colOff>46193</xdr:colOff>
      <xdr:row>33</xdr:row>
      <xdr:rowOff>157466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E7E3374-5465-43B5-93C8-C43132042EF9}"/>
            </a:ext>
          </a:extLst>
        </xdr:cNvPr>
        <xdr:cNvGrpSpPr/>
      </xdr:nvGrpSpPr>
      <xdr:grpSpPr>
        <a:xfrm>
          <a:off x="19685919" y="1759230"/>
          <a:ext cx="3136538" cy="4845928"/>
          <a:chOff x="2011302" y="485669"/>
          <a:chExt cx="1832025" cy="895682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EB6DED25-BF34-4F29-85F9-8DD9FCE4E5AC}"/>
              </a:ext>
            </a:extLst>
          </xdr:cNvPr>
          <xdr:cNvSpPr/>
        </xdr:nvSpPr>
        <xdr:spPr>
          <a:xfrm>
            <a:off x="2011302" y="485669"/>
            <a:ext cx="1832025" cy="895682"/>
          </a:xfrm>
          <a:prstGeom prst="roundRect">
            <a:avLst/>
          </a:prstGeom>
          <a:noFill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$C$5">
        <xdr:nvSpPr>
          <xdr:cNvPr id="9" name="TextBox 8">
            <a:extLst>
              <a:ext uri="{FF2B5EF4-FFF2-40B4-BE49-F238E27FC236}">
                <a16:creationId xmlns:a16="http://schemas.microsoft.com/office/drawing/2014/main" id="{7B10F240-FB2B-48F7-B340-A0C1C07696F1}"/>
              </a:ext>
            </a:extLst>
          </xdr:cNvPr>
          <xdr:cNvSpPr txBox="1"/>
        </xdr:nvSpPr>
        <xdr:spPr>
          <a:xfrm>
            <a:off x="2363262" y="532574"/>
            <a:ext cx="1201126" cy="1136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D2E1647-FEF9-4ABE-887C-C6B2F8F09FE8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</a:t>
            </a:fld>
            <a:endParaRPr lang="en-US" sz="2800"/>
          </a:p>
        </xdr:txBody>
      </xdr:sp>
    </xdr:grpSp>
    <xdr:clientData/>
  </xdr:twoCellAnchor>
  <xdr:twoCellAnchor editAs="oneCell">
    <xdr:from>
      <xdr:col>13</xdr:col>
      <xdr:colOff>10570</xdr:colOff>
      <xdr:row>19</xdr:row>
      <xdr:rowOff>88853</xdr:rowOff>
    </xdr:from>
    <xdr:to>
      <xdr:col>13</xdr:col>
      <xdr:colOff>376330</xdr:colOff>
      <xdr:row>21</xdr:row>
      <xdr:rowOff>75908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84723A1-0E48-4B15-8701-DE60C54E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7468" y="3686549"/>
          <a:ext cx="365760" cy="365760"/>
        </a:xfrm>
        <a:prstGeom prst="rect">
          <a:avLst/>
        </a:prstGeom>
      </xdr:spPr>
    </xdr:pic>
    <xdr:clientData/>
  </xdr:twoCellAnchor>
  <xdr:twoCellAnchor>
    <xdr:from>
      <xdr:col>19</xdr:col>
      <xdr:colOff>338324</xdr:colOff>
      <xdr:row>14</xdr:row>
      <xdr:rowOff>16720</xdr:rowOff>
    </xdr:from>
    <xdr:to>
      <xdr:col>23</xdr:col>
      <xdr:colOff>455081</xdr:colOff>
      <xdr:row>17</xdr:row>
      <xdr:rowOff>157215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3DC0EE64-D448-43A3-AB82-4658BFEE3F65}"/>
            </a:ext>
          </a:extLst>
        </xdr:cNvPr>
        <xdr:cNvGrpSpPr/>
      </xdr:nvGrpSpPr>
      <xdr:grpSpPr>
        <a:xfrm>
          <a:off x="13066236" y="2752105"/>
          <a:ext cx="2796318" cy="726648"/>
          <a:chOff x="6081471" y="1183404"/>
          <a:chExt cx="2557538" cy="723087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CB224638-E727-4AC0-8C76-81A9C49C6E63}"/>
              </a:ext>
            </a:extLst>
          </xdr:cNvPr>
          <xdr:cNvGrpSpPr/>
        </xdr:nvGrpSpPr>
        <xdr:grpSpPr>
          <a:xfrm flipH="1">
            <a:off x="6081471" y="1183404"/>
            <a:ext cx="2557538" cy="682761"/>
            <a:chOff x="1063136" y="1775313"/>
            <a:chExt cx="3641788" cy="673988"/>
          </a:xfrm>
        </xdr:grpSpPr>
        <xdr:sp macro="" textlink="">
          <xdr:nvSpPr>
            <xdr:cNvPr id="49" name="Freeform: Shape 48">
              <a:extLst>
                <a:ext uri="{FF2B5EF4-FFF2-40B4-BE49-F238E27FC236}">
                  <a16:creationId xmlns:a16="http://schemas.microsoft.com/office/drawing/2014/main" id="{9BC7B227-DDCE-4A18-886C-411CF01E3149}"/>
                </a:ext>
              </a:extLst>
            </xdr:cNvPr>
            <xdr:cNvSpPr/>
          </xdr:nvSpPr>
          <xdr:spPr>
            <a:xfrm>
              <a:off x="1320311" y="1775313"/>
              <a:ext cx="211931" cy="673893"/>
            </a:xfrm>
            <a:custGeom>
              <a:avLst/>
              <a:gdLst>
                <a:gd name="connsiteX0" fmla="*/ 0 w 211931"/>
                <a:gd name="connsiteY0" fmla="*/ 0 h 673893"/>
                <a:gd name="connsiteX1" fmla="*/ 0 w 211931"/>
                <a:gd name="connsiteY1" fmla="*/ 673894 h 673893"/>
                <a:gd name="connsiteX2" fmla="*/ 211931 w 211931"/>
                <a:gd name="connsiteY2" fmla="*/ 336995 h 673893"/>
                <a:gd name="connsiteX3" fmla="*/ 0 w 211931"/>
                <a:gd name="connsiteY3" fmla="*/ 0 h 67389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1931" h="673893">
                  <a:moveTo>
                    <a:pt x="0" y="0"/>
                  </a:moveTo>
                  <a:lnTo>
                    <a:pt x="0" y="673894"/>
                  </a:lnTo>
                  <a:lnTo>
                    <a:pt x="211931" y="33699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50" name="Freeform: Shape 49">
              <a:extLst>
                <a:ext uri="{FF2B5EF4-FFF2-40B4-BE49-F238E27FC236}">
                  <a16:creationId xmlns:a16="http://schemas.microsoft.com/office/drawing/2014/main" id="{EB45FBD0-38F8-42D0-BF6D-8462545B83F0}"/>
                </a:ext>
              </a:extLst>
            </xdr:cNvPr>
            <xdr:cNvSpPr/>
          </xdr:nvSpPr>
          <xdr:spPr>
            <a:xfrm>
              <a:off x="1398892" y="2285757"/>
              <a:ext cx="3306032" cy="163544"/>
            </a:xfrm>
            <a:custGeom>
              <a:avLst/>
              <a:gdLst>
                <a:gd name="connsiteX0" fmla="*/ 0 w 3306032"/>
                <a:gd name="connsiteY0" fmla="*/ 0 h 163544"/>
                <a:gd name="connsiteX1" fmla="*/ 3306032 w 3306032"/>
                <a:gd name="connsiteY1" fmla="*/ 0 h 163544"/>
                <a:gd name="connsiteX2" fmla="*/ 3306032 w 3306032"/>
                <a:gd name="connsiteY2" fmla="*/ 163544 h 163544"/>
                <a:gd name="connsiteX3" fmla="*/ 0 w 3306032"/>
                <a:gd name="connsiteY3" fmla="*/ 163544 h 16354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306032" h="163544">
                  <a:moveTo>
                    <a:pt x="0" y="0"/>
                  </a:moveTo>
                  <a:lnTo>
                    <a:pt x="3306032" y="0"/>
                  </a:lnTo>
                  <a:lnTo>
                    <a:pt x="3306032" y="163544"/>
                  </a:lnTo>
                  <a:lnTo>
                    <a:pt x="0" y="163544"/>
                  </a:lnTo>
                  <a:close/>
                </a:path>
              </a:pathLst>
            </a:custGeom>
            <a:solidFill>
              <a:srgbClr val="92D05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51" name="Freeform: Shape 50">
              <a:extLst>
                <a:ext uri="{FF2B5EF4-FFF2-40B4-BE49-F238E27FC236}">
                  <a16:creationId xmlns:a16="http://schemas.microsoft.com/office/drawing/2014/main" id="{63716BAB-E128-4E63-8028-22B6E1573E21}"/>
                </a:ext>
              </a:extLst>
            </xdr:cNvPr>
            <xdr:cNvSpPr/>
          </xdr:nvSpPr>
          <xdr:spPr>
            <a:xfrm>
              <a:off x="1063136" y="1832844"/>
              <a:ext cx="3584543" cy="558831"/>
            </a:xfrm>
            <a:custGeom>
              <a:avLst/>
              <a:gdLst>
                <a:gd name="connsiteX0" fmla="*/ 0 w 3584543"/>
                <a:gd name="connsiteY0" fmla="*/ 0 h 558831"/>
                <a:gd name="connsiteX1" fmla="*/ 3584543 w 3584543"/>
                <a:gd name="connsiteY1" fmla="*/ 0 h 558831"/>
                <a:gd name="connsiteX2" fmla="*/ 3584543 w 3584543"/>
                <a:gd name="connsiteY2" fmla="*/ 558832 h 558831"/>
                <a:gd name="connsiteX3" fmla="*/ 0 w 3584543"/>
                <a:gd name="connsiteY3" fmla="*/ 558832 h 5588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584543" h="558831">
                  <a:moveTo>
                    <a:pt x="0" y="0"/>
                  </a:moveTo>
                  <a:lnTo>
                    <a:pt x="3584543" y="0"/>
                  </a:lnTo>
                  <a:lnTo>
                    <a:pt x="3584543" y="558832"/>
                  </a:lnTo>
                  <a:lnTo>
                    <a:pt x="0" y="558832"/>
                  </a:ln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  <a:effectLst>
              <a:outerShdw blurRad="127000" sx="102000" sy="102000" algn="ctr" rotWithShape="0">
                <a:prstClr val="black">
                  <a:alpha val="10000"/>
                </a:prstClr>
              </a:outerShdw>
            </a:effectLst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52" name="Freeform: Shape 51">
              <a:extLst>
                <a:ext uri="{FF2B5EF4-FFF2-40B4-BE49-F238E27FC236}">
                  <a16:creationId xmlns:a16="http://schemas.microsoft.com/office/drawing/2014/main" id="{9388ADF1-AD01-4ABE-A534-D7991144B0B0}"/>
                </a:ext>
              </a:extLst>
            </xdr:cNvPr>
            <xdr:cNvSpPr/>
          </xdr:nvSpPr>
          <xdr:spPr>
            <a:xfrm>
              <a:off x="1320311" y="1775313"/>
              <a:ext cx="775946" cy="673988"/>
            </a:xfrm>
            <a:custGeom>
              <a:avLst/>
              <a:gdLst>
                <a:gd name="connsiteX0" fmla="*/ 673932 w 775946"/>
                <a:gd name="connsiteY0" fmla="*/ 673827 h 673988"/>
                <a:gd name="connsiteX1" fmla="*/ -57 w 775946"/>
                <a:gd name="connsiteY1" fmla="*/ 673827 h 673988"/>
                <a:gd name="connsiteX2" fmla="*/ 16421 w 775946"/>
                <a:gd name="connsiteY2" fmla="*/ 27555 h 673988"/>
                <a:gd name="connsiteX3" fmla="*/ -57 w 775946"/>
                <a:gd name="connsiteY3" fmla="*/ -162 h 673988"/>
                <a:gd name="connsiteX4" fmla="*/ 673932 w 775946"/>
                <a:gd name="connsiteY4" fmla="*/ -162 h 673988"/>
                <a:gd name="connsiteX5" fmla="*/ 682885 w 775946"/>
                <a:gd name="connsiteY5" fmla="*/ 14125 h 673988"/>
                <a:gd name="connsiteX6" fmla="*/ 682885 w 775946"/>
                <a:gd name="connsiteY6" fmla="*/ 659539 h 6739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775946" h="673988">
                  <a:moveTo>
                    <a:pt x="673932" y="673827"/>
                  </a:moveTo>
                  <a:lnTo>
                    <a:pt x="-57" y="673827"/>
                  </a:lnTo>
                  <a:cubicBezTo>
                    <a:pt x="129461" y="479564"/>
                    <a:pt x="135871" y="228171"/>
                    <a:pt x="16421" y="27555"/>
                  </a:cubicBezTo>
                  <a:lnTo>
                    <a:pt x="-57" y="-162"/>
                  </a:lnTo>
                  <a:lnTo>
                    <a:pt x="673932" y="-162"/>
                  </a:lnTo>
                  <a:lnTo>
                    <a:pt x="682885" y="14125"/>
                  </a:lnTo>
                  <a:cubicBezTo>
                    <a:pt x="806891" y="211397"/>
                    <a:pt x="806891" y="462267"/>
                    <a:pt x="682885" y="659539"/>
                  </a:cubicBezTo>
                  <a:close/>
                </a:path>
              </a:pathLst>
            </a:custGeom>
            <a:solidFill>
              <a:srgbClr val="92D05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</xdr:grpSp>
      <xdr:sp macro="" textlink="">
        <xdr:nvSpPr>
          <xdr:cNvPr id="14" name="TextBox 46">
            <a:extLst>
              <a:ext uri="{FF2B5EF4-FFF2-40B4-BE49-F238E27FC236}">
                <a16:creationId xmlns:a16="http://schemas.microsoft.com/office/drawing/2014/main" id="{44DCE254-0F1A-4C90-AB8F-9B06D66AB74C}"/>
              </a:ext>
            </a:extLst>
          </xdr:cNvPr>
          <xdr:cNvSpPr txBox="1"/>
        </xdr:nvSpPr>
        <xdr:spPr>
          <a:xfrm>
            <a:off x="6133409" y="1214491"/>
            <a:ext cx="1958775" cy="384788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600" b="1">
                <a:solidFill>
                  <a:sysClr val="windowText" lastClr="000000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الطلبات المكتملة</a:t>
            </a:r>
            <a:endParaRPr lang="en-US" sz="16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  <xdr:sp macro="" textlink="">
        <xdr:nvSpPr>
          <xdr:cNvPr id="15" name="TextBox 47">
            <a:extLst>
              <a:ext uri="{FF2B5EF4-FFF2-40B4-BE49-F238E27FC236}">
                <a16:creationId xmlns:a16="http://schemas.microsoft.com/office/drawing/2014/main" id="{C04C7EA1-7994-4A14-B724-8EDF754CCF77}"/>
              </a:ext>
            </a:extLst>
          </xdr:cNvPr>
          <xdr:cNvSpPr txBox="1"/>
        </xdr:nvSpPr>
        <xdr:spPr>
          <a:xfrm>
            <a:off x="6090532" y="1354868"/>
            <a:ext cx="1958775" cy="551623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2400" b="0">
                <a:solidFill>
                  <a:schemeClr val="accent3">
                    <a:lumMod val="50000"/>
                  </a:schemeClr>
                </a:solidFill>
                <a:latin typeface="Sakkal Majalla"/>
                <a:cs typeface="Sakkal Majalla"/>
              </a:rPr>
              <a:t>1000</a:t>
            </a:r>
            <a:endParaRPr lang="en-US" b="0">
              <a:solidFill>
                <a:schemeClr val="accent3">
                  <a:lumMod val="50000"/>
                </a:schemeClr>
              </a:solidFill>
            </a:endParaRPr>
          </a:p>
        </xdr:txBody>
      </xdr:sp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E6ACD02B-87D9-409C-B232-68B5939573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02834" y="1297969"/>
            <a:ext cx="365760" cy="374009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64809</xdr:colOff>
      <xdr:row>3</xdr:row>
      <xdr:rowOff>92316</xdr:rowOff>
    </xdr:from>
    <xdr:to>
      <xdr:col>31</xdr:col>
      <xdr:colOff>218457</xdr:colOff>
      <xdr:row>8</xdr:row>
      <xdr:rowOff>144612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13036341-FF38-48DA-A7A3-75C6562C348A}"/>
            </a:ext>
          </a:extLst>
        </xdr:cNvPr>
        <xdr:cNvGrpSpPr/>
      </xdr:nvGrpSpPr>
      <xdr:grpSpPr>
        <a:xfrm>
          <a:off x="12792721" y="678470"/>
          <a:ext cx="8192329" cy="1029219"/>
          <a:chOff x="7681917" y="789179"/>
          <a:chExt cx="7476228" cy="1021903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461E41F2-5C45-463E-88F8-E8609AE39122}"/>
              </a:ext>
            </a:extLst>
          </xdr:cNvPr>
          <xdr:cNvSpPr/>
        </xdr:nvSpPr>
        <xdr:spPr>
          <a:xfrm>
            <a:off x="11997236" y="997600"/>
            <a:ext cx="2505603" cy="813482"/>
          </a:xfrm>
          <a:prstGeom prst="roundRect">
            <a:avLst/>
          </a:prstGeom>
          <a:solidFill>
            <a:schemeClr val="bg1"/>
          </a:solidFill>
          <a:ln w="46326" cap="flat">
            <a:noFill/>
            <a:prstDash val="solid"/>
            <a:miter/>
          </a:ln>
          <a:effectLst>
            <a:outerShdw blurRad="127000" sx="102000" sy="102000" algn="ctr" rotWithShape="0">
              <a:prstClr val="black">
                <a:alpha val="10000"/>
              </a:prstClr>
            </a:outerShdw>
          </a:effectLst>
        </xdr:spPr>
        <xdr:txBody>
          <a:bodyPr wrap="square" rtlCol="0" anchor="ctr"/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 rtl="1"/>
            <a:endParaRPr lang="en-US"/>
          </a:p>
        </xdr:txBody>
      </xdr:sp>
      <xdr:sp macro="" textlink="">
        <xdr:nvSpPr>
          <xdr:cNvPr id="30" name="Прямоугольник с двумя скругленными противолежащими углами 134">
            <a:extLst>
              <a:ext uri="{FF2B5EF4-FFF2-40B4-BE49-F238E27FC236}">
                <a16:creationId xmlns:a16="http://schemas.microsoft.com/office/drawing/2014/main" id="{AE3DFB75-28DB-4C38-90AC-426E6E0AC406}"/>
              </a:ext>
            </a:extLst>
          </xdr:cNvPr>
          <xdr:cNvSpPr/>
        </xdr:nvSpPr>
        <xdr:spPr>
          <a:xfrm>
            <a:off x="7681917" y="789179"/>
            <a:ext cx="3110511" cy="570702"/>
          </a:xfrm>
          <a:prstGeom prst="round2DiagRect">
            <a:avLst>
              <a:gd name="adj1" fmla="val 44876"/>
              <a:gd name="adj2" fmla="val 12537"/>
            </a:avLst>
          </a:prstGeom>
          <a:gradFill flip="none" rotWithShape="1">
            <a:gsLst>
              <a:gs pos="0">
                <a:srgbClr val="004340"/>
              </a:gs>
              <a:gs pos="100000">
                <a:srgbClr val="227681"/>
              </a:gs>
            </a:gsLst>
            <a:lin ang="270000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2400" b="1">
                <a:latin typeface="+mn-lt"/>
                <a:cs typeface="Sakkal Majalla" panose="02000000000000000000" pitchFamily="2" charset="-78"/>
              </a:rPr>
              <a:t>نظرة</a:t>
            </a:r>
            <a:r>
              <a:rPr lang="ar-SA" sz="2400" b="1" baseline="0">
                <a:latin typeface="+mn-lt"/>
                <a:cs typeface="Sakkal Majalla" panose="02000000000000000000" pitchFamily="2" charset="-78"/>
              </a:rPr>
              <a:t> عامة</a:t>
            </a:r>
            <a:endParaRPr lang="ar-SA" sz="2400" b="1">
              <a:latin typeface="+mn-lt"/>
              <a:cs typeface="Sakkal Majalla" panose="02000000000000000000" pitchFamily="2" charset="-78"/>
            </a:endParaRPr>
          </a:p>
        </xdr:txBody>
      </xdr:sp>
      <xdr:sp macro="" textlink="">
        <xdr:nvSpPr>
          <xdr:cNvPr id="31" name="TextBox 76">
            <a:extLst>
              <a:ext uri="{FF2B5EF4-FFF2-40B4-BE49-F238E27FC236}">
                <a16:creationId xmlns:a16="http://schemas.microsoft.com/office/drawing/2014/main" id="{6C22593B-3D1A-4B69-96C0-4B1AF7D31427}"/>
              </a:ext>
            </a:extLst>
          </xdr:cNvPr>
          <xdr:cNvSpPr txBox="1"/>
        </xdr:nvSpPr>
        <xdr:spPr>
          <a:xfrm>
            <a:off x="11303497" y="1454123"/>
            <a:ext cx="3854648" cy="315599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200" b="0">
                <a:solidFill>
                  <a:sysClr val="windowText" lastClr="000000"/>
                </a:solidFill>
                <a:latin typeface="+mn-lt"/>
                <a:cs typeface="+mn-cs"/>
              </a:rPr>
              <a:t>الربع الأول لعام 2026</a:t>
            </a:r>
            <a:r>
              <a:rPr lang="ar-SA" sz="1200" b="0" baseline="0">
                <a:solidFill>
                  <a:sysClr val="windowText" lastClr="000000"/>
                </a:solidFill>
                <a:latin typeface="+mn-lt"/>
                <a:cs typeface="+mn-cs"/>
              </a:rPr>
              <a:t> </a:t>
            </a:r>
            <a:endParaRPr lang="ar-SA" sz="1400" b="1">
              <a:solidFill>
                <a:sysClr val="windowText" lastClr="000000"/>
              </a:solidFill>
              <a:latin typeface="Sakkal Majalla"/>
              <a:cs typeface="Sakkal Majalla"/>
            </a:endParaRPr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BF51195A-65B0-40F7-9727-922C1616A4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60669" y="1034814"/>
            <a:ext cx="149546" cy="153669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C2DC1CF-7DA0-46F1-8918-9B4EBB6289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40043" y="1163698"/>
            <a:ext cx="149546" cy="153671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449256B8-B5FA-43EE-BECA-B848B6FD96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90993" y="1213290"/>
            <a:ext cx="126677" cy="130802"/>
          </a:xfrm>
          <a:prstGeom prst="rect">
            <a:avLst/>
          </a:prstGeom>
        </xdr:spPr>
      </xdr:pic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D5753C23-52B8-437A-9242-6DB61A7FDE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43013" y="1017403"/>
            <a:ext cx="108792" cy="112915"/>
          </a:xfrm>
          <a:prstGeom prst="rect">
            <a:avLst/>
          </a:prstGeom>
        </xdr:spPr>
      </xdr:pic>
    </xdr:grpSp>
    <xdr:clientData/>
  </xdr:twoCellAnchor>
  <xdr:oneCellAnchor>
    <xdr:from>
      <xdr:col>15</xdr:col>
      <xdr:colOff>0</xdr:colOff>
      <xdr:row>16</xdr:row>
      <xdr:rowOff>0</xdr:rowOff>
    </xdr:from>
    <xdr:ext cx="855000" cy="264560"/>
    <xdr:sp macro="" textlink="$C$13">
      <xdr:nvSpPr>
        <xdr:cNvPr id="66" name="TextBox 65">
          <a:extLst>
            <a:ext uri="{FF2B5EF4-FFF2-40B4-BE49-F238E27FC236}">
              <a16:creationId xmlns:a16="http://schemas.microsoft.com/office/drawing/2014/main" id="{D8E9C7BD-401B-43CD-8151-189B1D27150C}"/>
            </a:ext>
          </a:extLst>
        </xdr:cNvPr>
        <xdr:cNvSpPr txBox="1"/>
      </xdr:nvSpPr>
      <xdr:spPr>
        <a:xfrm>
          <a:off x="9128125" y="3069167"/>
          <a:ext cx="855000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0A6C7CA6-6916-4176-AF19-785D5C9BCCE3}" type="TxLink">
            <a:rPr kumimoji="0" lang="en-US" sz="11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 </a:t>
          </a:fld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486603</xdr:colOff>
      <xdr:row>3</xdr:row>
      <xdr:rowOff>179118</xdr:rowOff>
    </xdr:from>
    <xdr:to>
      <xdr:col>18</xdr:col>
      <xdr:colOff>541248</xdr:colOff>
      <xdr:row>11</xdr:row>
      <xdr:rowOff>113885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0B91BA1F-8AEE-47EA-8881-901ED2828216}"/>
            </a:ext>
          </a:extLst>
        </xdr:cNvPr>
        <xdr:cNvGrpSpPr/>
      </xdr:nvGrpSpPr>
      <xdr:grpSpPr>
        <a:xfrm>
          <a:off x="9195174" y="765272"/>
          <a:ext cx="3404096" cy="1497844"/>
          <a:chOff x="8468967" y="2405069"/>
          <a:chExt cx="3108857" cy="1425637"/>
        </a:xfrm>
      </xdr:grpSpPr>
      <xdr:sp macro="" textlink="">
        <xdr:nvSpPr>
          <xdr:cNvPr id="132" name="Прямоугольник с двумя скругленными противолежащими углами 134">
            <a:extLst>
              <a:ext uri="{FF2B5EF4-FFF2-40B4-BE49-F238E27FC236}">
                <a16:creationId xmlns:a16="http://schemas.microsoft.com/office/drawing/2014/main" id="{E4591355-D8A8-40CC-A5D2-5E71F18CFF36}"/>
              </a:ext>
            </a:extLst>
          </xdr:cNvPr>
          <xdr:cNvSpPr/>
        </xdr:nvSpPr>
        <xdr:spPr>
          <a:xfrm>
            <a:off x="8468967" y="2405069"/>
            <a:ext cx="3108857" cy="454195"/>
          </a:xfrm>
          <a:prstGeom prst="round2DiagRect">
            <a:avLst>
              <a:gd name="adj1" fmla="val 44876"/>
              <a:gd name="adj2" fmla="val 12537"/>
            </a:avLst>
          </a:prstGeom>
          <a:gradFill flip="none" rotWithShape="1">
            <a:gsLst>
              <a:gs pos="0">
                <a:srgbClr val="004340"/>
              </a:gs>
              <a:gs pos="100000">
                <a:srgbClr val="227681"/>
              </a:gs>
            </a:gsLst>
            <a:lin ang="270000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600" b="1">
                <a:latin typeface="Sakkal Majalla" panose="02000000000000000000" pitchFamily="2" charset="-78"/>
                <a:cs typeface="+mj-cs"/>
              </a:rPr>
              <a:t>نسبة الرضا</a:t>
            </a:r>
            <a:endParaRPr lang="en-US" sz="1600" b="1">
              <a:latin typeface="Sakkal Majalla" panose="02000000000000000000" pitchFamily="2" charset="-78"/>
              <a:cs typeface="+mj-cs"/>
            </a:endParaRPr>
          </a:p>
        </xdr:txBody>
      </xdr:sp>
      <xdr:sp macro="" textlink="$C$5">
        <xdr:nvSpPr>
          <xdr:cNvPr id="77" name="TextBox 76">
            <a:extLst>
              <a:ext uri="{FF2B5EF4-FFF2-40B4-BE49-F238E27FC236}">
                <a16:creationId xmlns:a16="http://schemas.microsoft.com/office/drawing/2014/main" id="{EE5C615E-3F3F-478B-83A8-1CCEED82E479}"/>
              </a:ext>
            </a:extLst>
          </xdr:cNvPr>
          <xdr:cNvSpPr txBox="1"/>
        </xdr:nvSpPr>
        <xdr:spPr>
          <a:xfrm>
            <a:off x="9365027" y="3020251"/>
            <a:ext cx="1398946" cy="8104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F7F0013-5451-46CC-9EA3-031D01FA0570}" type="TxLink">
              <a:rPr lang="en-US" sz="4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</a:t>
            </a:fld>
            <a:endParaRPr lang="en-US" sz="8800"/>
          </a:p>
        </xdr:txBody>
      </xdr:sp>
    </xdr:grpSp>
    <xdr:clientData/>
  </xdr:twoCellAnchor>
  <xdr:twoCellAnchor>
    <xdr:from>
      <xdr:col>19</xdr:col>
      <xdr:colOff>315843</xdr:colOff>
      <xdr:row>24</xdr:row>
      <xdr:rowOff>139700</xdr:rowOff>
    </xdr:from>
    <xdr:to>
      <xdr:col>23</xdr:col>
      <xdr:colOff>432600</xdr:colOff>
      <xdr:row>28</xdr:row>
      <xdr:rowOff>52687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8A1057A5-0077-4537-8ECA-EB965F0EC65B}"/>
            </a:ext>
          </a:extLst>
        </xdr:cNvPr>
        <xdr:cNvGrpSpPr/>
      </xdr:nvGrpSpPr>
      <xdr:grpSpPr>
        <a:xfrm>
          <a:off x="13043755" y="4828931"/>
          <a:ext cx="2796318" cy="694525"/>
          <a:chOff x="6031117" y="2819620"/>
          <a:chExt cx="2557538" cy="686886"/>
        </a:xfrm>
      </xdr:grpSpPr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0B017F58-65E3-4F13-A0A4-40609E106826}"/>
              </a:ext>
            </a:extLst>
          </xdr:cNvPr>
          <xdr:cNvGrpSpPr/>
        </xdr:nvGrpSpPr>
        <xdr:grpSpPr>
          <a:xfrm flipH="1">
            <a:off x="6031117" y="2819620"/>
            <a:ext cx="2557538" cy="686886"/>
            <a:chOff x="1063136" y="1775313"/>
            <a:chExt cx="3641788" cy="673988"/>
          </a:xfrm>
        </xdr:grpSpPr>
        <xdr:sp macro="" textlink="">
          <xdr:nvSpPr>
            <xdr:cNvPr id="93" name="Freeform: Shape 92">
              <a:extLst>
                <a:ext uri="{FF2B5EF4-FFF2-40B4-BE49-F238E27FC236}">
                  <a16:creationId xmlns:a16="http://schemas.microsoft.com/office/drawing/2014/main" id="{2EA8AE9B-14A4-4182-84D4-77309520B938}"/>
                </a:ext>
              </a:extLst>
            </xdr:cNvPr>
            <xdr:cNvSpPr/>
          </xdr:nvSpPr>
          <xdr:spPr>
            <a:xfrm>
              <a:off x="1320311" y="1775313"/>
              <a:ext cx="211931" cy="673893"/>
            </a:xfrm>
            <a:custGeom>
              <a:avLst/>
              <a:gdLst>
                <a:gd name="connsiteX0" fmla="*/ 0 w 211931"/>
                <a:gd name="connsiteY0" fmla="*/ 0 h 673893"/>
                <a:gd name="connsiteX1" fmla="*/ 0 w 211931"/>
                <a:gd name="connsiteY1" fmla="*/ 673894 h 673893"/>
                <a:gd name="connsiteX2" fmla="*/ 211931 w 211931"/>
                <a:gd name="connsiteY2" fmla="*/ 336995 h 673893"/>
                <a:gd name="connsiteX3" fmla="*/ 0 w 211931"/>
                <a:gd name="connsiteY3" fmla="*/ 0 h 67389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1931" h="673893">
                  <a:moveTo>
                    <a:pt x="0" y="0"/>
                  </a:moveTo>
                  <a:lnTo>
                    <a:pt x="0" y="673894"/>
                  </a:lnTo>
                  <a:lnTo>
                    <a:pt x="211931" y="33699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94" name="Freeform: Shape 93">
              <a:extLst>
                <a:ext uri="{FF2B5EF4-FFF2-40B4-BE49-F238E27FC236}">
                  <a16:creationId xmlns:a16="http://schemas.microsoft.com/office/drawing/2014/main" id="{7EF1FB96-92FC-4072-899B-AC92880AF643}"/>
                </a:ext>
              </a:extLst>
            </xdr:cNvPr>
            <xdr:cNvSpPr/>
          </xdr:nvSpPr>
          <xdr:spPr>
            <a:xfrm>
              <a:off x="1398892" y="2285757"/>
              <a:ext cx="3306032" cy="163544"/>
            </a:xfrm>
            <a:custGeom>
              <a:avLst/>
              <a:gdLst>
                <a:gd name="connsiteX0" fmla="*/ 0 w 3306032"/>
                <a:gd name="connsiteY0" fmla="*/ 0 h 163544"/>
                <a:gd name="connsiteX1" fmla="*/ 3306032 w 3306032"/>
                <a:gd name="connsiteY1" fmla="*/ 0 h 163544"/>
                <a:gd name="connsiteX2" fmla="*/ 3306032 w 3306032"/>
                <a:gd name="connsiteY2" fmla="*/ 163544 h 163544"/>
                <a:gd name="connsiteX3" fmla="*/ 0 w 3306032"/>
                <a:gd name="connsiteY3" fmla="*/ 163544 h 16354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306032" h="163544">
                  <a:moveTo>
                    <a:pt x="0" y="0"/>
                  </a:moveTo>
                  <a:lnTo>
                    <a:pt x="3306032" y="0"/>
                  </a:lnTo>
                  <a:lnTo>
                    <a:pt x="3306032" y="163544"/>
                  </a:lnTo>
                  <a:lnTo>
                    <a:pt x="0" y="163544"/>
                  </a:lnTo>
                  <a:close/>
                </a:path>
              </a:pathLst>
            </a:custGeom>
            <a:solidFill>
              <a:srgbClr val="C0000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95" name="Freeform: Shape 94">
              <a:extLst>
                <a:ext uri="{FF2B5EF4-FFF2-40B4-BE49-F238E27FC236}">
                  <a16:creationId xmlns:a16="http://schemas.microsoft.com/office/drawing/2014/main" id="{65D2421D-5C9C-4561-929E-A7ADF5AB3A45}"/>
                </a:ext>
              </a:extLst>
            </xdr:cNvPr>
            <xdr:cNvSpPr/>
          </xdr:nvSpPr>
          <xdr:spPr>
            <a:xfrm>
              <a:off x="1063136" y="1832844"/>
              <a:ext cx="3584543" cy="558831"/>
            </a:xfrm>
            <a:custGeom>
              <a:avLst/>
              <a:gdLst>
                <a:gd name="connsiteX0" fmla="*/ 0 w 3584543"/>
                <a:gd name="connsiteY0" fmla="*/ 0 h 558831"/>
                <a:gd name="connsiteX1" fmla="*/ 3584543 w 3584543"/>
                <a:gd name="connsiteY1" fmla="*/ 0 h 558831"/>
                <a:gd name="connsiteX2" fmla="*/ 3584543 w 3584543"/>
                <a:gd name="connsiteY2" fmla="*/ 558832 h 558831"/>
                <a:gd name="connsiteX3" fmla="*/ 0 w 3584543"/>
                <a:gd name="connsiteY3" fmla="*/ 558832 h 5588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584543" h="558831">
                  <a:moveTo>
                    <a:pt x="0" y="0"/>
                  </a:moveTo>
                  <a:lnTo>
                    <a:pt x="3584543" y="0"/>
                  </a:lnTo>
                  <a:lnTo>
                    <a:pt x="3584543" y="558832"/>
                  </a:lnTo>
                  <a:lnTo>
                    <a:pt x="0" y="558832"/>
                  </a:ln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  <a:effectLst>
              <a:outerShdw blurRad="127000" sx="102000" sy="102000" algn="ctr" rotWithShape="0">
                <a:prstClr val="black">
                  <a:alpha val="10000"/>
                </a:prstClr>
              </a:outerShdw>
            </a:effectLst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96" name="Freeform: Shape 95">
              <a:extLst>
                <a:ext uri="{FF2B5EF4-FFF2-40B4-BE49-F238E27FC236}">
                  <a16:creationId xmlns:a16="http://schemas.microsoft.com/office/drawing/2014/main" id="{1BDAB13E-DF69-4126-A6F1-F53D2644D541}"/>
                </a:ext>
              </a:extLst>
            </xdr:cNvPr>
            <xdr:cNvSpPr/>
          </xdr:nvSpPr>
          <xdr:spPr>
            <a:xfrm>
              <a:off x="1320311" y="1775313"/>
              <a:ext cx="775946" cy="673988"/>
            </a:xfrm>
            <a:custGeom>
              <a:avLst/>
              <a:gdLst>
                <a:gd name="connsiteX0" fmla="*/ 673932 w 775946"/>
                <a:gd name="connsiteY0" fmla="*/ 673827 h 673988"/>
                <a:gd name="connsiteX1" fmla="*/ -57 w 775946"/>
                <a:gd name="connsiteY1" fmla="*/ 673827 h 673988"/>
                <a:gd name="connsiteX2" fmla="*/ 16421 w 775946"/>
                <a:gd name="connsiteY2" fmla="*/ 27555 h 673988"/>
                <a:gd name="connsiteX3" fmla="*/ -57 w 775946"/>
                <a:gd name="connsiteY3" fmla="*/ -162 h 673988"/>
                <a:gd name="connsiteX4" fmla="*/ 673932 w 775946"/>
                <a:gd name="connsiteY4" fmla="*/ -162 h 673988"/>
                <a:gd name="connsiteX5" fmla="*/ 682885 w 775946"/>
                <a:gd name="connsiteY5" fmla="*/ 14125 h 673988"/>
                <a:gd name="connsiteX6" fmla="*/ 682885 w 775946"/>
                <a:gd name="connsiteY6" fmla="*/ 659539 h 6739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775946" h="673988">
                  <a:moveTo>
                    <a:pt x="673932" y="673827"/>
                  </a:moveTo>
                  <a:lnTo>
                    <a:pt x="-57" y="673827"/>
                  </a:lnTo>
                  <a:cubicBezTo>
                    <a:pt x="129461" y="479564"/>
                    <a:pt x="135871" y="228171"/>
                    <a:pt x="16421" y="27555"/>
                  </a:cubicBezTo>
                  <a:lnTo>
                    <a:pt x="-57" y="-162"/>
                  </a:lnTo>
                  <a:lnTo>
                    <a:pt x="673932" y="-162"/>
                  </a:lnTo>
                  <a:lnTo>
                    <a:pt x="682885" y="14125"/>
                  </a:lnTo>
                  <a:cubicBezTo>
                    <a:pt x="806891" y="211397"/>
                    <a:pt x="806891" y="462267"/>
                    <a:pt x="682885" y="659539"/>
                  </a:cubicBezTo>
                  <a:close/>
                </a:path>
              </a:pathLst>
            </a:custGeom>
            <a:solidFill>
              <a:srgbClr val="C00000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</xdr:grpSp>
      <xdr:sp macro="" textlink="">
        <xdr:nvSpPr>
          <xdr:cNvPr id="90" name="TextBox 54">
            <a:extLst>
              <a:ext uri="{FF2B5EF4-FFF2-40B4-BE49-F238E27FC236}">
                <a16:creationId xmlns:a16="http://schemas.microsoft.com/office/drawing/2014/main" id="{6B8B6F71-974E-4278-B370-4CC0016226DA}"/>
              </a:ext>
            </a:extLst>
          </xdr:cNvPr>
          <xdr:cNvSpPr txBox="1"/>
        </xdr:nvSpPr>
        <xdr:spPr>
          <a:xfrm>
            <a:off x="6081083" y="2850707"/>
            <a:ext cx="1960747" cy="385565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600" b="1">
                <a:solidFill>
                  <a:sysClr val="windowText" lastClr="000000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الطلبات التالفة</a:t>
            </a:r>
            <a:endParaRPr lang="en-US" sz="16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4927AA-D48A-4FA2-8FB6-95F57FC1BD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29177" y="2961697"/>
            <a:ext cx="367732" cy="374009"/>
          </a:xfrm>
          <a:prstGeom prst="rect">
            <a:avLst/>
          </a:prstGeom>
        </xdr:spPr>
      </xdr:pic>
      <xdr:sp macro="" textlink="$C$19">
        <xdr:nvSpPr>
          <xdr:cNvPr id="92" name="TextBox 89">
            <a:extLst>
              <a:ext uri="{FF2B5EF4-FFF2-40B4-BE49-F238E27FC236}">
                <a16:creationId xmlns:a16="http://schemas.microsoft.com/office/drawing/2014/main" id="{91E50E44-7497-4F03-841B-E99265DCFA5F}"/>
              </a:ext>
            </a:extLst>
          </xdr:cNvPr>
          <xdr:cNvSpPr txBox="1"/>
        </xdr:nvSpPr>
        <xdr:spPr>
          <a:xfrm>
            <a:off x="6115861" y="3086225"/>
            <a:ext cx="1958775" cy="380737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fld id="{95D3B92F-528F-4623-B2B2-E578ED8B434C}" type="TxLink">
              <a:rPr lang="en-US" sz="1800" b="0" i="0" u="none" strike="noStrike">
                <a:solidFill>
                  <a:schemeClr val="accent3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 rtl="1"/>
              <a:t> </a:t>
            </a:fld>
            <a:endParaRPr lang="en-US" sz="3200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19</xdr:col>
      <xdr:colOff>326198</xdr:colOff>
      <xdr:row>19</xdr:row>
      <xdr:rowOff>91523</xdr:rowOff>
    </xdr:from>
    <xdr:to>
      <xdr:col>23</xdr:col>
      <xdr:colOff>442360</xdr:colOff>
      <xdr:row>23</xdr:row>
      <xdr:rowOff>8644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5FD63CE1-E3B6-4E7F-9BBA-69B8FAA935F8}"/>
            </a:ext>
          </a:extLst>
        </xdr:cNvPr>
        <xdr:cNvGrpSpPr/>
      </xdr:nvGrpSpPr>
      <xdr:grpSpPr>
        <a:xfrm>
          <a:off x="13054110" y="3803831"/>
          <a:ext cx="2795723" cy="698659"/>
          <a:chOff x="3832500" y="4747500"/>
          <a:chExt cx="2554562" cy="674979"/>
        </a:xfrm>
      </xdr:grpSpPr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8CBDE2BE-7F57-4762-91D3-AC789F1B88C3}"/>
              </a:ext>
            </a:extLst>
          </xdr:cNvPr>
          <xdr:cNvGrpSpPr/>
        </xdr:nvGrpSpPr>
        <xdr:grpSpPr>
          <a:xfrm flipH="1">
            <a:off x="3832500" y="4747500"/>
            <a:ext cx="2554562" cy="674979"/>
            <a:chOff x="1063136" y="1775313"/>
            <a:chExt cx="3641788" cy="673988"/>
          </a:xfrm>
        </xdr:grpSpPr>
        <xdr:sp macro="" textlink="">
          <xdr:nvSpPr>
            <xdr:cNvPr id="110" name="Freeform: Shape 109">
              <a:extLst>
                <a:ext uri="{FF2B5EF4-FFF2-40B4-BE49-F238E27FC236}">
                  <a16:creationId xmlns:a16="http://schemas.microsoft.com/office/drawing/2014/main" id="{C5330BB1-9DBA-47F0-84FC-621A5A931969}"/>
                </a:ext>
              </a:extLst>
            </xdr:cNvPr>
            <xdr:cNvSpPr/>
          </xdr:nvSpPr>
          <xdr:spPr>
            <a:xfrm>
              <a:off x="1320311" y="1775313"/>
              <a:ext cx="211931" cy="673893"/>
            </a:xfrm>
            <a:custGeom>
              <a:avLst/>
              <a:gdLst>
                <a:gd name="connsiteX0" fmla="*/ 0 w 211931"/>
                <a:gd name="connsiteY0" fmla="*/ 0 h 673893"/>
                <a:gd name="connsiteX1" fmla="*/ 0 w 211931"/>
                <a:gd name="connsiteY1" fmla="*/ 673894 h 673893"/>
                <a:gd name="connsiteX2" fmla="*/ 211931 w 211931"/>
                <a:gd name="connsiteY2" fmla="*/ 336995 h 673893"/>
                <a:gd name="connsiteX3" fmla="*/ 0 w 211931"/>
                <a:gd name="connsiteY3" fmla="*/ 0 h 67389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1931" h="673893">
                  <a:moveTo>
                    <a:pt x="0" y="0"/>
                  </a:moveTo>
                  <a:lnTo>
                    <a:pt x="0" y="673894"/>
                  </a:lnTo>
                  <a:lnTo>
                    <a:pt x="211931" y="33699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111" name="Freeform: Shape 110">
              <a:extLst>
                <a:ext uri="{FF2B5EF4-FFF2-40B4-BE49-F238E27FC236}">
                  <a16:creationId xmlns:a16="http://schemas.microsoft.com/office/drawing/2014/main" id="{6B983CF0-1605-447D-9872-A617A1FF1284}"/>
                </a:ext>
              </a:extLst>
            </xdr:cNvPr>
            <xdr:cNvSpPr/>
          </xdr:nvSpPr>
          <xdr:spPr>
            <a:xfrm>
              <a:off x="1398892" y="2285757"/>
              <a:ext cx="3306032" cy="163544"/>
            </a:xfrm>
            <a:custGeom>
              <a:avLst/>
              <a:gdLst>
                <a:gd name="connsiteX0" fmla="*/ 0 w 3306032"/>
                <a:gd name="connsiteY0" fmla="*/ 0 h 163544"/>
                <a:gd name="connsiteX1" fmla="*/ 3306032 w 3306032"/>
                <a:gd name="connsiteY1" fmla="*/ 0 h 163544"/>
                <a:gd name="connsiteX2" fmla="*/ 3306032 w 3306032"/>
                <a:gd name="connsiteY2" fmla="*/ 163544 h 163544"/>
                <a:gd name="connsiteX3" fmla="*/ 0 w 3306032"/>
                <a:gd name="connsiteY3" fmla="*/ 163544 h 16354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306032" h="163544">
                  <a:moveTo>
                    <a:pt x="0" y="0"/>
                  </a:moveTo>
                  <a:lnTo>
                    <a:pt x="3306032" y="0"/>
                  </a:lnTo>
                  <a:lnTo>
                    <a:pt x="3306032" y="163544"/>
                  </a:lnTo>
                  <a:lnTo>
                    <a:pt x="0" y="163544"/>
                  </a:lnTo>
                  <a:close/>
                </a:path>
              </a:pathLst>
            </a:custGeom>
            <a:solidFill>
              <a:schemeClr val="accent6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112" name="Freeform: Shape 111">
              <a:extLst>
                <a:ext uri="{FF2B5EF4-FFF2-40B4-BE49-F238E27FC236}">
                  <a16:creationId xmlns:a16="http://schemas.microsoft.com/office/drawing/2014/main" id="{45BEDF7E-A561-4E00-879E-9952298A2910}"/>
                </a:ext>
              </a:extLst>
            </xdr:cNvPr>
            <xdr:cNvSpPr/>
          </xdr:nvSpPr>
          <xdr:spPr>
            <a:xfrm>
              <a:off x="1063136" y="1832844"/>
              <a:ext cx="3584543" cy="558831"/>
            </a:xfrm>
            <a:custGeom>
              <a:avLst/>
              <a:gdLst>
                <a:gd name="connsiteX0" fmla="*/ 0 w 3584543"/>
                <a:gd name="connsiteY0" fmla="*/ 0 h 558831"/>
                <a:gd name="connsiteX1" fmla="*/ 3584543 w 3584543"/>
                <a:gd name="connsiteY1" fmla="*/ 0 h 558831"/>
                <a:gd name="connsiteX2" fmla="*/ 3584543 w 3584543"/>
                <a:gd name="connsiteY2" fmla="*/ 558832 h 558831"/>
                <a:gd name="connsiteX3" fmla="*/ 0 w 3584543"/>
                <a:gd name="connsiteY3" fmla="*/ 558832 h 5588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584543" h="558831">
                  <a:moveTo>
                    <a:pt x="0" y="0"/>
                  </a:moveTo>
                  <a:lnTo>
                    <a:pt x="3584543" y="0"/>
                  </a:lnTo>
                  <a:lnTo>
                    <a:pt x="3584543" y="558832"/>
                  </a:lnTo>
                  <a:lnTo>
                    <a:pt x="0" y="558832"/>
                  </a:ln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  <a:effectLst>
              <a:outerShdw blurRad="127000" sx="102000" sy="102000" algn="ctr" rotWithShape="0">
                <a:prstClr val="black">
                  <a:alpha val="10000"/>
                </a:prstClr>
              </a:outerShdw>
            </a:effectLst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113" name="Freeform: Shape 112">
              <a:extLst>
                <a:ext uri="{FF2B5EF4-FFF2-40B4-BE49-F238E27FC236}">
                  <a16:creationId xmlns:a16="http://schemas.microsoft.com/office/drawing/2014/main" id="{760B40FF-0437-458B-AC60-AC5359FDDDD6}"/>
                </a:ext>
              </a:extLst>
            </xdr:cNvPr>
            <xdr:cNvSpPr/>
          </xdr:nvSpPr>
          <xdr:spPr>
            <a:xfrm>
              <a:off x="1320311" y="1775313"/>
              <a:ext cx="775946" cy="673988"/>
            </a:xfrm>
            <a:custGeom>
              <a:avLst/>
              <a:gdLst>
                <a:gd name="connsiteX0" fmla="*/ 673932 w 775946"/>
                <a:gd name="connsiteY0" fmla="*/ 673827 h 673988"/>
                <a:gd name="connsiteX1" fmla="*/ -57 w 775946"/>
                <a:gd name="connsiteY1" fmla="*/ 673827 h 673988"/>
                <a:gd name="connsiteX2" fmla="*/ 16421 w 775946"/>
                <a:gd name="connsiteY2" fmla="*/ 27555 h 673988"/>
                <a:gd name="connsiteX3" fmla="*/ -57 w 775946"/>
                <a:gd name="connsiteY3" fmla="*/ -162 h 673988"/>
                <a:gd name="connsiteX4" fmla="*/ 673932 w 775946"/>
                <a:gd name="connsiteY4" fmla="*/ -162 h 673988"/>
                <a:gd name="connsiteX5" fmla="*/ 682885 w 775946"/>
                <a:gd name="connsiteY5" fmla="*/ 14125 h 673988"/>
                <a:gd name="connsiteX6" fmla="*/ 682885 w 775946"/>
                <a:gd name="connsiteY6" fmla="*/ 659539 h 6739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775946" h="673988">
                  <a:moveTo>
                    <a:pt x="673932" y="673827"/>
                  </a:moveTo>
                  <a:lnTo>
                    <a:pt x="-57" y="673827"/>
                  </a:lnTo>
                  <a:cubicBezTo>
                    <a:pt x="129461" y="479564"/>
                    <a:pt x="135871" y="228171"/>
                    <a:pt x="16421" y="27555"/>
                  </a:cubicBezTo>
                  <a:lnTo>
                    <a:pt x="-57" y="-162"/>
                  </a:lnTo>
                  <a:lnTo>
                    <a:pt x="673932" y="-162"/>
                  </a:lnTo>
                  <a:lnTo>
                    <a:pt x="682885" y="14125"/>
                  </a:lnTo>
                  <a:cubicBezTo>
                    <a:pt x="806891" y="211397"/>
                    <a:pt x="806891" y="462267"/>
                    <a:pt x="682885" y="659539"/>
                  </a:cubicBezTo>
                  <a:close/>
                </a:path>
              </a:pathLst>
            </a:custGeom>
            <a:solidFill>
              <a:schemeClr val="accent6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</xdr:grpSp>
      <xdr:sp macro="" textlink="">
        <xdr:nvSpPr>
          <xdr:cNvPr id="108" name="TextBox 57">
            <a:extLst>
              <a:ext uri="{FF2B5EF4-FFF2-40B4-BE49-F238E27FC236}">
                <a16:creationId xmlns:a16="http://schemas.microsoft.com/office/drawing/2014/main" id="{7B0FCDBE-1DB3-4323-B607-EA5AD6100ED8}"/>
              </a:ext>
            </a:extLst>
          </xdr:cNvPr>
          <xdr:cNvSpPr txBox="1"/>
        </xdr:nvSpPr>
        <xdr:spPr>
          <a:xfrm>
            <a:off x="3882466" y="4778587"/>
            <a:ext cx="1958366" cy="412200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800" b="1">
                <a:solidFill>
                  <a:sysClr val="windowText" lastClr="000000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الطلبات المتأخرة</a:t>
            </a:r>
            <a:endParaRPr lang="en-US" sz="18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  <xdr:sp macro="" textlink="$C$26">
        <xdr:nvSpPr>
          <xdr:cNvPr id="109" name="TextBox 90">
            <a:extLst>
              <a:ext uri="{FF2B5EF4-FFF2-40B4-BE49-F238E27FC236}">
                <a16:creationId xmlns:a16="http://schemas.microsoft.com/office/drawing/2014/main" id="{C699E29B-029A-4979-820A-42E328AB7919}"/>
              </a:ext>
            </a:extLst>
          </xdr:cNvPr>
          <xdr:cNvSpPr txBox="1"/>
        </xdr:nvSpPr>
        <xdr:spPr>
          <a:xfrm>
            <a:off x="3904461" y="5018813"/>
            <a:ext cx="1956989" cy="402959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fld id="{F7D2D80E-7C8E-435C-994A-7393AEA182D3}" type="TxLink">
              <a:rPr lang="en-US" sz="2000" b="0" i="0" u="none" strike="noStrike">
                <a:solidFill>
                  <a:schemeClr val="accent3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 rtl="1"/>
              <a:t> </a:t>
            </a:fld>
            <a:endParaRPr lang="en-US" sz="3600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19</xdr:col>
      <xdr:colOff>375064</xdr:colOff>
      <xdr:row>8</xdr:row>
      <xdr:rowOff>147153</xdr:rowOff>
    </xdr:from>
    <xdr:to>
      <xdr:col>23</xdr:col>
      <xdr:colOff>491821</xdr:colOff>
      <xdr:row>12</xdr:row>
      <xdr:rowOff>60140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33FA0C70-98AE-4879-A709-24D4EAE06ACE}"/>
            </a:ext>
          </a:extLst>
        </xdr:cNvPr>
        <xdr:cNvGrpSpPr/>
      </xdr:nvGrpSpPr>
      <xdr:grpSpPr>
        <a:xfrm>
          <a:off x="13102976" y="1710230"/>
          <a:ext cx="2796318" cy="694525"/>
          <a:chOff x="6031117" y="2819620"/>
          <a:chExt cx="2557538" cy="686886"/>
        </a:xfrm>
      </xdr:grpSpPr>
      <xdr:grpSp>
        <xdr:nvGrpSpPr>
          <xdr:cNvPr id="122" name="Group 121">
            <a:extLst>
              <a:ext uri="{FF2B5EF4-FFF2-40B4-BE49-F238E27FC236}">
                <a16:creationId xmlns:a16="http://schemas.microsoft.com/office/drawing/2014/main" id="{E0435E24-67BD-47B1-81BC-11A7EF433754}"/>
              </a:ext>
            </a:extLst>
          </xdr:cNvPr>
          <xdr:cNvGrpSpPr/>
        </xdr:nvGrpSpPr>
        <xdr:grpSpPr>
          <a:xfrm flipH="1">
            <a:off x="6031117" y="2819620"/>
            <a:ext cx="2557538" cy="686886"/>
            <a:chOff x="1063136" y="1775313"/>
            <a:chExt cx="3641788" cy="673988"/>
          </a:xfrm>
        </xdr:grpSpPr>
        <xdr:sp macro="" textlink="">
          <xdr:nvSpPr>
            <xdr:cNvPr id="126" name="Freeform: Shape 125">
              <a:extLst>
                <a:ext uri="{FF2B5EF4-FFF2-40B4-BE49-F238E27FC236}">
                  <a16:creationId xmlns:a16="http://schemas.microsoft.com/office/drawing/2014/main" id="{774872B0-28FE-43A5-90A6-C537C91117F2}"/>
                </a:ext>
              </a:extLst>
            </xdr:cNvPr>
            <xdr:cNvSpPr/>
          </xdr:nvSpPr>
          <xdr:spPr>
            <a:xfrm>
              <a:off x="1320311" y="1775313"/>
              <a:ext cx="211931" cy="673893"/>
            </a:xfrm>
            <a:custGeom>
              <a:avLst/>
              <a:gdLst>
                <a:gd name="connsiteX0" fmla="*/ 0 w 211931"/>
                <a:gd name="connsiteY0" fmla="*/ 0 h 673893"/>
                <a:gd name="connsiteX1" fmla="*/ 0 w 211931"/>
                <a:gd name="connsiteY1" fmla="*/ 673894 h 673893"/>
                <a:gd name="connsiteX2" fmla="*/ 211931 w 211931"/>
                <a:gd name="connsiteY2" fmla="*/ 336995 h 673893"/>
                <a:gd name="connsiteX3" fmla="*/ 0 w 211931"/>
                <a:gd name="connsiteY3" fmla="*/ 0 h 67389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211931" h="673893">
                  <a:moveTo>
                    <a:pt x="0" y="0"/>
                  </a:moveTo>
                  <a:lnTo>
                    <a:pt x="0" y="673894"/>
                  </a:lnTo>
                  <a:lnTo>
                    <a:pt x="211931" y="33699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2">
                <a:lumMod val="75000"/>
              </a:schemeClr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127" name="Freeform: Shape 126">
              <a:extLst>
                <a:ext uri="{FF2B5EF4-FFF2-40B4-BE49-F238E27FC236}">
                  <a16:creationId xmlns:a16="http://schemas.microsoft.com/office/drawing/2014/main" id="{70F4F10C-BAAA-481E-A143-5215465D0CFC}"/>
                </a:ext>
              </a:extLst>
            </xdr:cNvPr>
            <xdr:cNvSpPr/>
          </xdr:nvSpPr>
          <xdr:spPr>
            <a:xfrm>
              <a:off x="1398892" y="2285757"/>
              <a:ext cx="3306032" cy="163544"/>
            </a:xfrm>
            <a:custGeom>
              <a:avLst/>
              <a:gdLst>
                <a:gd name="connsiteX0" fmla="*/ 0 w 3306032"/>
                <a:gd name="connsiteY0" fmla="*/ 0 h 163544"/>
                <a:gd name="connsiteX1" fmla="*/ 3306032 w 3306032"/>
                <a:gd name="connsiteY1" fmla="*/ 0 h 163544"/>
                <a:gd name="connsiteX2" fmla="*/ 3306032 w 3306032"/>
                <a:gd name="connsiteY2" fmla="*/ 163544 h 163544"/>
                <a:gd name="connsiteX3" fmla="*/ 0 w 3306032"/>
                <a:gd name="connsiteY3" fmla="*/ 163544 h 16354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306032" h="163544">
                  <a:moveTo>
                    <a:pt x="0" y="0"/>
                  </a:moveTo>
                  <a:lnTo>
                    <a:pt x="3306032" y="0"/>
                  </a:lnTo>
                  <a:lnTo>
                    <a:pt x="3306032" y="163544"/>
                  </a:lnTo>
                  <a:lnTo>
                    <a:pt x="0" y="163544"/>
                  </a:lnTo>
                  <a:close/>
                </a:path>
              </a:pathLst>
            </a:custGeom>
            <a:solidFill>
              <a:schemeClr val="accent4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128" name="Freeform: Shape 127">
              <a:extLst>
                <a:ext uri="{FF2B5EF4-FFF2-40B4-BE49-F238E27FC236}">
                  <a16:creationId xmlns:a16="http://schemas.microsoft.com/office/drawing/2014/main" id="{32A2BAA7-276A-4E7B-B194-81F1C931F91B}"/>
                </a:ext>
              </a:extLst>
            </xdr:cNvPr>
            <xdr:cNvSpPr/>
          </xdr:nvSpPr>
          <xdr:spPr>
            <a:xfrm>
              <a:off x="1063136" y="1832844"/>
              <a:ext cx="3584543" cy="558831"/>
            </a:xfrm>
            <a:custGeom>
              <a:avLst/>
              <a:gdLst>
                <a:gd name="connsiteX0" fmla="*/ 0 w 3584543"/>
                <a:gd name="connsiteY0" fmla="*/ 0 h 558831"/>
                <a:gd name="connsiteX1" fmla="*/ 3584543 w 3584543"/>
                <a:gd name="connsiteY1" fmla="*/ 0 h 558831"/>
                <a:gd name="connsiteX2" fmla="*/ 3584543 w 3584543"/>
                <a:gd name="connsiteY2" fmla="*/ 558832 h 558831"/>
                <a:gd name="connsiteX3" fmla="*/ 0 w 3584543"/>
                <a:gd name="connsiteY3" fmla="*/ 558832 h 5588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3584543" h="558831">
                  <a:moveTo>
                    <a:pt x="0" y="0"/>
                  </a:moveTo>
                  <a:lnTo>
                    <a:pt x="3584543" y="0"/>
                  </a:lnTo>
                  <a:lnTo>
                    <a:pt x="3584543" y="558832"/>
                  </a:lnTo>
                  <a:lnTo>
                    <a:pt x="0" y="558832"/>
                  </a:lnTo>
                  <a:close/>
                </a:path>
              </a:pathLst>
            </a:custGeom>
            <a:solidFill>
              <a:srgbClr val="FFFFFF"/>
            </a:solidFill>
            <a:ln w="9525" cap="flat">
              <a:noFill/>
              <a:prstDash val="solid"/>
              <a:miter/>
            </a:ln>
            <a:effectLst>
              <a:outerShdw blurRad="127000" sx="102000" sy="102000" algn="ctr" rotWithShape="0">
                <a:prstClr val="black">
                  <a:alpha val="10000"/>
                </a:prstClr>
              </a:outerShdw>
            </a:effectLst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  <xdr:sp macro="" textlink="">
          <xdr:nvSpPr>
            <xdr:cNvPr id="129" name="Freeform: Shape 128">
              <a:extLst>
                <a:ext uri="{FF2B5EF4-FFF2-40B4-BE49-F238E27FC236}">
                  <a16:creationId xmlns:a16="http://schemas.microsoft.com/office/drawing/2014/main" id="{4C7D7713-78F8-4A5E-89E3-3FA07EDAE4A3}"/>
                </a:ext>
              </a:extLst>
            </xdr:cNvPr>
            <xdr:cNvSpPr/>
          </xdr:nvSpPr>
          <xdr:spPr>
            <a:xfrm>
              <a:off x="1320311" y="1775313"/>
              <a:ext cx="775946" cy="673988"/>
            </a:xfrm>
            <a:custGeom>
              <a:avLst/>
              <a:gdLst>
                <a:gd name="connsiteX0" fmla="*/ 673932 w 775946"/>
                <a:gd name="connsiteY0" fmla="*/ 673827 h 673988"/>
                <a:gd name="connsiteX1" fmla="*/ -57 w 775946"/>
                <a:gd name="connsiteY1" fmla="*/ 673827 h 673988"/>
                <a:gd name="connsiteX2" fmla="*/ 16421 w 775946"/>
                <a:gd name="connsiteY2" fmla="*/ 27555 h 673988"/>
                <a:gd name="connsiteX3" fmla="*/ -57 w 775946"/>
                <a:gd name="connsiteY3" fmla="*/ -162 h 673988"/>
                <a:gd name="connsiteX4" fmla="*/ 673932 w 775946"/>
                <a:gd name="connsiteY4" fmla="*/ -162 h 673988"/>
                <a:gd name="connsiteX5" fmla="*/ 682885 w 775946"/>
                <a:gd name="connsiteY5" fmla="*/ 14125 h 673988"/>
                <a:gd name="connsiteX6" fmla="*/ 682885 w 775946"/>
                <a:gd name="connsiteY6" fmla="*/ 659539 h 67398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775946" h="673988">
                  <a:moveTo>
                    <a:pt x="673932" y="673827"/>
                  </a:moveTo>
                  <a:lnTo>
                    <a:pt x="-57" y="673827"/>
                  </a:lnTo>
                  <a:cubicBezTo>
                    <a:pt x="129461" y="479564"/>
                    <a:pt x="135871" y="228171"/>
                    <a:pt x="16421" y="27555"/>
                  </a:cubicBezTo>
                  <a:lnTo>
                    <a:pt x="-57" y="-162"/>
                  </a:lnTo>
                  <a:lnTo>
                    <a:pt x="673932" y="-162"/>
                  </a:lnTo>
                  <a:lnTo>
                    <a:pt x="682885" y="14125"/>
                  </a:lnTo>
                  <a:cubicBezTo>
                    <a:pt x="806891" y="211397"/>
                    <a:pt x="806891" y="462267"/>
                    <a:pt x="682885" y="659539"/>
                  </a:cubicBezTo>
                  <a:close/>
                </a:path>
              </a:pathLst>
            </a:custGeom>
            <a:solidFill>
              <a:schemeClr val="accent4"/>
            </a:solidFill>
            <a:ln w="9525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ar-SA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1"/>
              <a:endParaRPr lang="en-US" sz="2400" b="1">
                <a:solidFill>
                  <a:schemeClr val="bg1"/>
                </a:solidFill>
                <a:latin typeface="Lora" pitchFamily="2" charset="0"/>
              </a:endParaRPr>
            </a:p>
          </xdr:txBody>
        </xdr:sp>
      </xdr:grpSp>
      <xdr:sp macro="" textlink="">
        <xdr:nvSpPr>
          <xdr:cNvPr id="123" name="TextBox 54">
            <a:extLst>
              <a:ext uri="{FF2B5EF4-FFF2-40B4-BE49-F238E27FC236}">
                <a16:creationId xmlns:a16="http://schemas.microsoft.com/office/drawing/2014/main" id="{C6B2C247-8052-4294-A2D3-2CD1B057ADA4}"/>
              </a:ext>
            </a:extLst>
          </xdr:cNvPr>
          <xdr:cNvSpPr txBox="1"/>
        </xdr:nvSpPr>
        <xdr:spPr>
          <a:xfrm>
            <a:off x="6081083" y="2850707"/>
            <a:ext cx="1960747" cy="385565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ar-SA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1"/>
            <a:r>
              <a:rPr lang="ar-SA" sz="1600" b="1">
                <a:solidFill>
                  <a:sysClr val="windowText" lastClr="000000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فترة</a:t>
            </a:r>
            <a:r>
              <a:rPr lang="ar-SA" sz="1600" b="1" baseline="0">
                <a:solidFill>
                  <a:sysClr val="windowText" lastClr="000000"/>
                </a:solidFill>
                <a:latin typeface="Sakkal Majalla" panose="02000000000000000000" pitchFamily="2" charset="-78"/>
                <a:cs typeface="Sakkal Majalla" panose="02000000000000000000" pitchFamily="2" charset="-78"/>
              </a:rPr>
              <a:t> التحليل</a:t>
            </a:r>
            <a:endParaRPr lang="en-US" sz="16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endParaRPr>
          </a:p>
        </xdr:txBody>
      </xdr:sp>
    </xdr:grpSp>
    <xdr:clientData/>
  </xdr:twoCellAnchor>
  <xdr:oneCellAnchor>
    <xdr:from>
      <xdr:col>20</xdr:col>
      <xdr:colOff>154921</xdr:colOff>
      <xdr:row>10</xdr:row>
      <xdr:rowOff>62119</xdr:rowOff>
    </xdr:from>
    <xdr:ext cx="1274003" cy="31149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BB5A5D1-174A-421E-8E92-C0C55AE0EE47}"/>
            </a:ext>
          </a:extLst>
        </xdr:cNvPr>
        <xdr:cNvSpPr txBox="1"/>
      </xdr:nvSpPr>
      <xdr:spPr>
        <a:xfrm>
          <a:off x="12277648" y="1967119"/>
          <a:ext cx="127400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ar-SA" sz="1400" b="0">
              <a:solidFill>
                <a:schemeClr val="accent3">
                  <a:lumMod val="50000"/>
                </a:schemeClr>
              </a:solidFill>
            </a:rPr>
            <a:t>الربع الاول 2026</a:t>
          </a:r>
          <a:endParaRPr lang="en-US" sz="1400" b="0">
            <a:solidFill>
              <a:schemeClr val="accent3">
                <a:lumMod val="50000"/>
              </a:schemeClr>
            </a:solidFill>
          </a:endParaRPr>
        </a:p>
      </xdr:txBody>
    </xdr:sp>
    <xdr:clientData/>
  </xdr:oneCellAnchor>
  <xdr:twoCellAnchor>
    <xdr:from>
      <xdr:col>1</xdr:col>
      <xdr:colOff>521790</xdr:colOff>
      <xdr:row>3</xdr:row>
      <xdr:rowOff>86683</xdr:rowOff>
    </xdr:from>
    <xdr:to>
      <xdr:col>5</xdr:col>
      <xdr:colOff>461926</xdr:colOff>
      <xdr:row>6</xdr:row>
      <xdr:rowOff>50827</xdr:rowOff>
    </xdr:to>
    <xdr:sp macro="" textlink="">
      <xdr:nvSpPr>
        <xdr:cNvPr id="140" name="TextBox 117">
          <a:extLst>
            <a:ext uri="{FF2B5EF4-FFF2-40B4-BE49-F238E27FC236}">
              <a16:creationId xmlns:a16="http://schemas.microsoft.com/office/drawing/2014/main" id="{ABC33E44-E597-41CF-9525-CAC956162883}"/>
            </a:ext>
          </a:extLst>
        </xdr:cNvPr>
        <xdr:cNvSpPr txBox="1"/>
      </xdr:nvSpPr>
      <xdr:spPr>
        <a:xfrm>
          <a:off x="1132632" y="645759"/>
          <a:ext cx="2383506" cy="523220"/>
        </a:xfrm>
        <a:prstGeom prst="rect">
          <a:avLst/>
        </a:prstGeom>
        <a:noFill/>
      </xdr:spPr>
      <xdr:txBody>
        <a:bodyPr wrap="square" lIns="91440" tIns="45720" rIns="91440" bIns="45720" rtlCol="0" anchor="t">
          <a:noAutofit/>
        </a:bodyPr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en-US"/>
        </a:p>
      </xdr:txBody>
    </xdr:sp>
    <xdr:clientData/>
  </xdr:twoCellAnchor>
  <xdr:twoCellAnchor>
    <xdr:from>
      <xdr:col>13</xdr:col>
      <xdr:colOff>496957</xdr:colOff>
      <xdr:row>15</xdr:row>
      <xdr:rowOff>149502</xdr:rowOff>
    </xdr:from>
    <xdr:to>
      <xdr:col>18</xdr:col>
      <xdr:colOff>575198</xdr:colOff>
      <xdr:row>29</xdr:row>
      <xdr:rowOff>82826</xdr:rowOff>
    </xdr:to>
    <xdr:sp macro="" textlink="">
      <xdr:nvSpPr>
        <xdr:cNvPr id="142" name="Rectangle: Rounded Corners 141">
          <a:extLst>
            <a:ext uri="{FF2B5EF4-FFF2-40B4-BE49-F238E27FC236}">
              <a16:creationId xmlns:a16="http://schemas.microsoft.com/office/drawing/2014/main" id="{853BD013-5211-4AFB-B651-819E025C30A6}"/>
            </a:ext>
          </a:extLst>
        </xdr:cNvPr>
        <xdr:cNvSpPr/>
      </xdr:nvSpPr>
      <xdr:spPr>
        <a:xfrm>
          <a:off x="8437908" y="2944882"/>
          <a:ext cx="3132453" cy="2542346"/>
        </a:xfrm>
        <a:prstGeom prst="roundRect">
          <a:avLst/>
        </a:prstGeom>
        <a:solidFill>
          <a:schemeClr val="bg1"/>
        </a:solidFill>
        <a:ln w="46326" cap="flat">
          <a:noFill/>
          <a:prstDash val="solid"/>
          <a:miter/>
        </a:ln>
        <a:effectLst>
          <a:outerShdw blurRad="127000" sx="102000" sy="102000" algn="ctr" rotWithShape="0">
            <a:prstClr val="black">
              <a:alpha val="10000"/>
            </a:prstClr>
          </a:outerShdw>
        </a:effectLst>
      </xdr:spPr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rtl="1"/>
          <a:endParaRPr lang="en-US"/>
        </a:p>
      </xdr:txBody>
    </xdr:sp>
    <xdr:clientData/>
  </xdr:twoCellAnchor>
  <xdr:twoCellAnchor>
    <xdr:from>
      <xdr:col>13</xdr:col>
      <xdr:colOff>507310</xdr:colOff>
      <xdr:row>15</xdr:row>
      <xdr:rowOff>20920</xdr:rowOff>
    </xdr:from>
    <xdr:to>
      <xdr:col>18</xdr:col>
      <xdr:colOff>548703</xdr:colOff>
      <xdr:row>17</xdr:row>
      <xdr:rowOff>102397</xdr:rowOff>
    </xdr:to>
    <xdr:sp macro="" textlink="">
      <xdr:nvSpPr>
        <xdr:cNvPr id="144" name="Прямоугольник с двумя скругленными противолежащими углами 134">
          <a:extLst>
            <a:ext uri="{FF2B5EF4-FFF2-40B4-BE49-F238E27FC236}">
              <a16:creationId xmlns:a16="http://schemas.microsoft.com/office/drawing/2014/main" id="{F92BFB76-77EF-4657-A832-43C60EC4E188}"/>
            </a:ext>
          </a:extLst>
        </xdr:cNvPr>
        <xdr:cNvSpPr/>
      </xdr:nvSpPr>
      <xdr:spPr>
        <a:xfrm>
          <a:off x="8448261" y="2816300"/>
          <a:ext cx="3095605" cy="454195"/>
        </a:xfrm>
        <a:prstGeom prst="round2DiagRect">
          <a:avLst>
            <a:gd name="adj1" fmla="val 44876"/>
            <a:gd name="adj2" fmla="val 12537"/>
          </a:avLst>
        </a:prstGeom>
        <a:gradFill flip="none" rotWithShape="1">
          <a:gsLst>
            <a:gs pos="0">
              <a:srgbClr val="004340"/>
            </a:gs>
            <a:gs pos="100000">
              <a:srgbClr val="227681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ar-SA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ar-SA" sz="1600" b="1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ملاحظات العميل السلبية</a:t>
          </a:r>
          <a:r>
            <a:rPr lang="ar-SA" sz="1600" b="1" kern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حسب النوع</a:t>
          </a:r>
          <a:endParaRPr lang="en-US" sz="1200">
            <a:effectLst/>
            <a:latin typeface="+mn-lt"/>
          </a:endParaRPr>
        </a:p>
      </xdr:txBody>
    </xdr:sp>
    <xdr:clientData/>
  </xdr:twoCellAnchor>
  <xdr:twoCellAnchor>
    <xdr:from>
      <xdr:col>13</xdr:col>
      <xdr:colOff>600489</xdr:colOff>
      <xdr:row>17</xdr:row>
      <xdr:rowOff>155301</xdr:rowOff>
    </xdr:from>
    <xdr:to>
      <xdr:col>18</xdr:col>
      <xdr:colOff>511271</xdr:colOff>
      <xdr:row>28</xdr:row>
      <xdr:rowOff>82827</xdr:rowOff>
    </xdr:to>
    <xdr:graphicFrame macro="">
      <xdr:nvGraphicFramePr>
        <xdr:cNvPr id="119" name="Chart 118">
          <a:extLst>
            <a:ext uri="{FF2B5EF4-FFF2-40B4-BE49-F238E27FC236}">
              <a16:creationId xmlns:a16="http://schemas.microsoft.com/office/drawing/2014/main" id="{45225C85-50ED-4131-AA25-7DE862BB5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0</xdr:colOff>
      <xdr:row>4</xdr:row>
      <xdr:rowOff>0</xdr:rowOff>
    </xdr:from>
    <xdr:to>
      <xdr:col>13</xdr:col>
      <xdr:colOff>335458</xdr:colOff>
      <xdr:row>13</xdr:row>
      <xdr:rowOff>127344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499115FF-A467-4301-81E3-AA12BEADF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86739" y="745435"/>
          <a:ext cx="3389670" cy="1804572"/>
        </a:xfrm>
        <a:prstGeom prst="rect">
          <a:avLst/>
        </a:prstGeom>
      </xdr:spPr>
    </xdr:pic>
    <xdr:clientData/>
  </xdr:twoCellAnchor>
  <xdr:twoCellAnchor>
    <xdr:from>
      <xdr:col>15</xdr:col>
      <xdr:colOff>523038</xdr:colOff>
      <xdr:row>11</xdr:row>
      <xdr:rowOff>66239</xdr:rowOff>
    </xdr:from>
    <xdr:to>
      <xdr:col>16</xdr:col>
      <xdr:colOff>48022</xdr:colOff>
      <xdr:row>12</xdr:row>
      <xdr:rowOff>4943</xdr:rowOff>
    </xdr:to>
    <xdr:sp macro="" textlink="">
      <xdr:nvSpPr>
        <xdr:cNvPr id="174" name="Star: 5 Points 173">
          <a:extLst>
            <a:ext uri="{FF2B5EF4-FFF2-40B4-BE49-F238E27FC236}">
              <a16:creationId xmlns:a16="http://schemas.microsoft.com/office/drawing/2014/main" id="{7CA7A3F3-4088-47B7-BF8A-75D929806124}"/>
            </a:ext>
          </a:extLst>
        </xdr:cNvPr>
        <xdr:cNvSpPr/>
      </xdr:nvSpPr>
      <xdr:spPr>
        <a:xfrm>
          <a:off x="9669429" y="2170507"/>
          <a:ext cx="134744" cy="130001"/>
        </a:xfrm>
        <a:prstGeom prst="star5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161097</xdr:colOff>
      <xdr:row>11</xdr:row>
      <xdr:rowOff>70244</xdr:rowOff>
    </xdr:from>
    <xdr:to>
      <xdr:col>16</xdr:col>
      <xdr:colOff>295681</xdr:colOff>
      <xdr:row>12</xdr:row>
      <xdr:rowOff>8948</xdr:rowOff>
    </xdr:to>
    <xdr:sp macro="" textlink="">
      <xdr:nvSpPr>
        <xdr:cNvPr id="175" name="Star: 5 Points 174">
          <a:extLst>
            <a:ext uri="{FF2B5EF4-FFF2-40B4-BE49-F238E27FC236}">
              <a16:creationId xmlns:a16="http://schemas.microsoft.com/office/drawing/2014/main" id="{8AC785ED-F16A-4E60-A899-1A34382E1D7E}"/>
            </a:ext>
          </a:extLst>
        </xdr:cNvPr>
        <xdr:cNvSpPr/>
      </xdr:nvSpPr>
      <xdr:spPr>
        <a:xfrm>
          <a:off x="9914697" y="2165744"/>
          <a:ext cx="134584" cy="129204"/>
        </a:xfrm>
        <a:prstGeom prst="star5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419100</xdr:colOff>
      <xdr:row>11</xdr:row>
      <xdr:rowOff>69057</xdr:rowOff>
    </xdr:from>
    <xdr:to>
      <xdr:col>16</xdr:col>
      <xdr:colOff>553684</xdr:colOff>
      <xdr:row>12</xdr:row>
      <xdr:rowOff>7761</xdr:rowOff>
    </xdr:to>
    <xdr:sp macro="" textlink="">
      <xdr:nvSpPr>
        <xdr:cNvPr id="178" name="Star: 5 Points 177">
          <a:extLst>
            <a:ext uri="{FF2B5EF4-FFF2-40B4-BE49-F238E27FC236}">
              <a16:creationId xmlns:a16="http://schemas.microsoft.com/office/drawing/2014/main" id="{D628DDE0-80D4-4B7A-AB19-F6F74184A5E1}"/>
            </a:ext>
          </a:extLst>
        </xdr:cNvPr>
        <xdr:cNvSpPr/>
      </xdr:nvSpPr>
      <xdr:spPr>
        <a:xfrm>
          <a:off x="10172700" y="2164557"/>
          <a:ext cx="134584" cy="129204"/>
        </a:xfrm>
        <a:prstGeom prst="star5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57159</xdr:colOff>
      <xdr:row>11</xdr:row>
      <xdr:rowOff>73062</xdr:rowOff>
    </xdr:from>
    <xdr:to>
      <xdr:col>17</xdr:col>
      <xdr:colOff>191743</xdr:colOff>
      <xdr:row>12</xdr:row>
      <xdr:rowOff>11766</xdr:rowOff>
    </xdr:to>
    <xdr:sp macro="" textlink="">
      <xdr:nvSpPr>
        <xdr:cNvPr id="179" name="Star: 5 Points 178">
          <a:extLst>
            <a:ext uri="{FF2B5EF4-FFF2-40B4-BE49-F238E27FC236}">
              <a16:creationId xmlns:a16="http://schemas.microsoft.com/office/drawing/2014/main" id="{60D391C7-07EF-482E-8A0B-122BE460C7DB}"/>
            </a:ext>
          </a:extLst>
        </xdr:cNvPr>
        <xdr:cNvSpPr/>
      </xdr:nvSpPr>
      <xdr:spPr>
        <a:xfrm>
          <a:off x="10420359" y="2168562"/>
          <a:ext cx="134584" cy="129204"/>
        </a:xfrm>
        <a:prstGeom prst="star5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280160</xdr:colOff>
      <xdr:row>11</xdr:row>
      <xdr:rowOff>67863</xdr:rowOff>
    </xdr:from>
    <xdr:to>
      <xdr:col>15</xdr:col>
      <xdr:colOff>414744</xdr:colOff>
      <xdr:row>12</xdr:row>
      <xdr:rowOff>6567</xdr:rowOff>
    </xdr:to>
    <xdr:sp macro="" textlink="">
      <xdr:nvSpPr>
        <xdr:cNvPr id="182" name="Star: 5 Points 181">
          <a:extLst>
            <a:ext uri="{FF2B5EF4-FFF2-40B4-BE49-F238E27FC236}">
              <a16:creationId xmlns:a16="http://schemas.microsoft.com/office/drawing/2014/main" id="{62507B01-945C-4C6B-B211-9D3BE9D745DC}"/>
            </a:ext>
          </a:extLst>
        </xdr:cNvPr>
        <xdr:cNvSpPr/>
      </xdr:nvSpPr>
      <xdr:spPr>
        <a:xfrm>
          <a:off x="9424160" y="2163363"/>
          <a:ext cx="134584" cy="129204"/>
        </a:xfrm>
        <a:prstGeom prst="star5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22</xdr:col>
      <xdr:colOff>372961</xdr:colOff>
      <xdr:row>20</xdr:row>
      <xdr:rowOff>34038</xdr:rowOff>
    </xdr:from>
    <xdr:to>
      <xdr:col>23</xdr:col>
      <xdr:colOff>132585</xdr:colOff>
      <xdr:row>22</xdr:row>
      <xdr:rowOff>18798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F5D121E6-AD9D-4678-B8C7-E820EAEF1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7961" y="3844038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389659</xdr:colOff>
      <xdr:row>9</xdr:row>
      <xdr:rowOff>34637</xdr:rowOff>
    </xdr:from>
    <xdr:to>
      <xdr:col>23</xdr:col>
      <xdr:colOff>240723</xdr:colOff>
      <xdr:row>11</xdr:row>
      <xdr:rowOff>110837</xdr:rowOff>
    </xdr:to>
    <xdr:pic>
      <xdr:nvPicPr>
        <xdr:cNvPr id="185" name="Graphic 184" descr="Stopwatch">
          <a:extLst>
            <a:ext uri="{FF2B5EF4-FFF2-40B4-BE49-F238E27FC236}">
              <a16:creationId xmlns:a16="http://schemas.microsoft.com/office/drawing/2014/main" id="{60B672E4-613E-4C0D-AC90-C85DD82C2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724659" y="1749137"/>
          <a:ext cx="457200" cy="457200"/>
        </a:xfrm>
        <a:prstGeom prst="rect">
          <a:avLst/>
        </a:prstGeom>
      </xdr:spPr>
    </xdr:pic>
    <xdr:clientData/>
  </xdr:twoCellAnchor>
  <xdr:twoCellAnchor>
    <xdr:from>
      <xdr:col>14</xdr:col>
      <xdr:colOff>288576</xdr:colOff>
      <xdr:row>11</xdr:row>
      <xdr:rowOff>14132</xdr:rowOff>
    </xdr:from>
    <xdr:to>
      <xdr:col>14</xdr:col>
      <xdr:colOff>483450</xdr:colOff>
      <xdr:row>11</xdr:row>
      <xdr:rowOff>148220</xdr:rowOff>
    </xdr:to>
    <xdr:sp macro="" textlink="">
      <xdr:nvSpPr>
        <xdr:cNvPr id="2" name="Star: 5 Points 173">
          <a:extLst>
            <a:ext uri="{FF2B5EF4-FFF2-40B4-BE49-F238E27FC236}">
              <a16:creationId xmlns:a16="http://schemas.microsoft.com/office/drawing/2014/main" id="{CB03841C-79F3-6549-8CDD-24048289CA19}"/>
            </a:ext>
          </a:extLst>
        </xdr:cNvPr>
        <xdr:cNvSpPr/>
      </xdr:nvSpPr>
      <xdr:spPr>
        <a:xfrm>
          <a:off x="9667038" y="2163363"/>
          <a:ext cx="194874" cy="134088"/>
        </a:xfrm>
        <a:prstGeom prst="star5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596525</xdr:colOff>
      <xdr:row>11</xdr:row>
      <xdr:rowOff>18137</xdr:rowOff>
    </xdr:from>
    <xdr:to>
      <xdr:col>15</xdr:col>
      <xdr:colOff>61219</xdr:colOff>
      <xdr:row>11</xdr:row>
      <xdr:rowOff>152225</xdr:rowOff>
    </xdr:to>
    <xdr:sp macro="" textlink="">
      <xdr:nvSpPr>
        <xdr:cNvPr id="3" name="Star: 5 Points 174">
          <a:extLst>
            <a:ext uri="{FF2B5EF4-FFF2-40B4-BE49-F238E27FC236}">
              <a16:creationId xmlns:a16="http://schemas.microsoft.com/office/drawing/2014/main" id="{16FABCFF-E3D0-EE4B-BC10-01B609045D97}"/>
            </a:ext>
          </a:extLst>
        </xdr:cNvPr>
        <xdr:cNvSpPr/>
      </xdr:nvSpPr>
      <xdr:spPr>
        <a:xfrm>
          <a:off x="9974987" y="2167368"/>
          <a:ext cx="134584" cy="134088"/>
        </a:xfrm>
        <a:prstGeom prst="star5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184638</xdr:colOff>
      <xdr:row>11</xdr:row>
      <xdr:rowOff>16950</xdr:rowOff>
    </xdr:from>
    <xdr:to>
      <xdr:col>15</xdr:col>
      <xdr:colOff>319222</xdr:colOff>
      <xdr:row>11</xdr:row>
      <xdr:rowOff>151038</xdr:rowOff>
    </xdr:to>
    <xdr:sp macro="" textlink="">
      <xdr:nvSpPr>
        <xdr:cNvPr id="4" name="Star: 5 Points 177">
          <a:extLst>
            <a:ext uri="{FF2B5EF4-FFF2-40B4-BE49-F238E27FC236}">
              <a16:creationId xmlns:a16="http://schemas.microsoft.com/office/drawing/2014/main" id="{215C8430-8197-454D-9854-537F22CC22DF}"/>
            </a:ext>
          </a:extLst>
        </xdr:cNvPr>
        <xdr:cNvSpPr/>
      </xdr:nvSpPr>
      <xdr:spPr>
        <a:xfrm>
          <a:off x="10232990" y="2166181"/>
          <a:ext cx="134584" cy="134088"/>
        </a:xfrm>
        <a:prstGeom prst="star5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492587</xdr:colOff>
      <xdr:row>11</xdr:row>
      <xdr:rowOff>20955</xdr:rowOff>
    </xdr:from>
    <xdr:to>
      <xdr:col>15</xdr:col>
      <xdr:colOff>627171</xdr:colOff>
      <xdr:row>11</xdr:row>
      <xdr:rowOff>155043</xdr:rowOff>
    </xdr:to>
    <xdr:sp macro="" textlink="">
      <xdr:nvSpPr>
        <xdr:cNvPr id="5" name="Star: 5 Points 178">
          <a:extLst>
            <a:ext uri="{FF2B5EF4-FFF2-40B4-BE49-F238E27FC236}">
              <a16:creationId xmlns:a16="http://schemas.microsoft.com/office/drawing/2014/main" id="{1910A62E-77E6-564F-BA13-D677B82AF08E}"/>
            </a:ext>
          </a:extLst>
        </xdr:cNvPr>
        <xdr:cNvSpPr/>
      </xdr:nvSpPr>
      <xdr:spPr>
        <a:xfrm>
          <a:off x="10540939" y="2170186"/>
          <a:ext cx="134584" cy="134088"/>
        </a:xfrm>
        <a:prstGeom prst="star5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45698</xdr:colOff>
      <xdr:row>11</xdr:row>
      <xdr:rowOff>15756</xdr:rowOff>
    </xdr:from>
    <xdr:to>
      <xdr:col>14</xdr:col>
      <xdr:colOff>180282</xdr:colOff>
      <xdr:row>11</xdr:row>
      <xdr:rowOff>149844</xdr:rowOff>
    </xdr:to>
    <xdr:sp macro="" textlink="">
      <xdr:nvSpPr>
        <xdr:cNvPr id="8" name="Star: 5 Points 181">
          <a:extLst>
            <a:ext uri="{FF2B5EF4-FFF2-40B4-BE49-F238E27FC236}">
              <a16:creationId xmlns:a16="http://schemas.microsoft.com/office/drawing/2014/main" id="{D1168A12-B50E-B941-A3C7-076CC8312F80}"/>
            </a:ext>
          </a:extLst>
        </xdr:cNvPr>
        <xdr:cNvSpPr/>
      </xdr:nvSpPr>
      <xdr:spPr>
        <a:xfrm>
          <a:off x="9424160" y="2164987"/>
          <a:ext cx="134584" cy="134088"/>
        </a:xfrm>
        <a:prstGeom prst="star5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l-najem" refreshedDate="46146.514538078707" createdVersion="6" refreshedVersion="6" minRefreshableVersion="3" recordCount="1000" xr:uid="{587D53BF-5FEA-4332-98B1-4C921521655C}">
  <cacheSource type="worksheet">
    <worksheetSource name="بيانات_الشحنات"/>
  </cacheSource>
  <cacheFields count="26">
    <cacheField name="رقم الطلب" numFmtId="0">
      <sharedItems/>
    </cacheField>
    <cacheField name="معرف العميل" numFmtId="0">
      <sharedItems/>
    </cacheField>
    <cacheField name="تاريخ الطلب" numFmtId="22">
      <sharedItems containsSemiMixedTypes="0" containsNonDate="0" containsDate="1" containsString="0" minDate="2026-01-01T00:00:00" maxDate="2026-04-01T00:00:00"/>
    </cacheField>
    <cacheField name="معرف السائق" numFmtId="0">
      <sharedItems/>
    </cacheField>
    <cacheField name="عدد الشحنات المسندة" numFmtId="0">
      <sharedItems containsSemiMixedTypes="0" containsString="0" containsNumber="1" containsInteger="1" minValue="5" maxValue="40"/>
    </cacheField>
    <cacheField name="عدد ساعات العمل" numFmtId="0">
      <sharedItems containsSemiMixedTypes="0" containsString="0" containsNumber="1" minValue="4" maxValue="12"/>
    </cacheField>
    <cacheField name="نوع السيارة" numFmtId="0">
      <sharedItems/>
    </cacheField>
    <cacheField name="الوقت المختار للتسليم" numFmtId="0">
      <sharedItems/>
    </cacheField>
    <cacheField name="وقت استلام الطلب" numFmtId="22">
      <sharedItems containsSemiMixedTypes="0" containsNonDate="0" containsDate="1" containsString="0" minDate="2026-01-01T06:15:00" maxDate="2026-03-31T09:08:00"/>
    </cacheField>
    <cacheField name="وقت بدء التجهيز" numFmtId="22">
      <sharedItems containsSemiMixedTypes="0" containsNonDate="0" containsDate="1" containsString="0" minDate="2026-01-01T06:31:00" maxDate="2026-03-31T09:37:00"/>
    </cacheField>
    <cacheField name="وقت انتهاء التجهيز (الجهوزية)" numFmtId="22">
      <sharedItems containsSemiMixedTypes="0" containsNonDate="0" containsDate="1" containsString="0" minDate="2026-01-01T07:27:00" maxDate="2026-03-31T10:28:00"/>
    </cacheField>
    <cacheField name="وقت الإرسال (مغادرة المستودع)" numFmtId="22">
      <sharedItems containsSemiMixedTypes="0" containsNonDate="0" containsDate="1" containsString="0" minDate="2026-01-01T07:36:00" maxDate="2026-03-31T10:47:00"/>
    </cacheField>
    <cacheField name="وقت أول تواصل مع العميل" numFmtId="22">
      <sharedItems containsSemiMixedTypes="0" containsNonDate="0" containsDate="1" containsString="0" minDate="2026-01-01T08:04:00" maxDate="2026-03-31T11:07:00"/>
    </cacheField>
    <cacheField name="وقت آخر تواصل مع العميل" numFmtId="22">
      <sharedItems containsSemiMixedTypes="0" containsNonDate="0" containsDate="1" containsString="0" minDate="2026-01-01T08:38:00" maxDate="2026-03-31T11:29:00"/>
    </cacheField>
    <cacheField name="عدد مرات التواصل مع العميل" numFmtId="0">
      <sharedItems containsSemiMixedTypes="0" containsString="0" containsNumber="1" containsInteger="1" minValue="1" maxValue="7"/>
    </cacheField>
    <cacheField name="تصنيف التأخر" numFmtId="0">
      <sharedItems count="7">
        <s v="تأخر بسبب ظروف جوية"/>
        <s v="لا يوجد"/>
        <s v="تأخر بسبب ضغط الطلبات"/>
        <s v="تأخر بسبب خطأ في العنوان"/>
        <s v="تأخر بسبب مشكلة في المركبة"/>
        <s v="تأخر بسبب غياب المستلم"/>
        <s v="تأخر بسبب الازدحام"/>
      </sharedItems>
    </cacheField>
    <cacheField name="المنطقة" numFmtId="0">
      <sharedItems/>
    </cacheField>
    <cacheField name="اسم الحي" numFmtId="0">
      <sharedItems/>
    </cacheField>
    <cacheField name="موقع المستودع" numFmtId="0">
      <sharedItems/>
    </cacheField>
    <cacheField name="سعة المستودع القصوى" numFmtId="0">
      <sharedItems containsSemiMixedTypes="0" containsString="0" containsNumber="1" containsInteger="1" minValue="2000" maxValue="5000"/>
    </cacheField>
    <cacheField name="حالة الطلب" numFmtId="0">
      <sharedItems count="2">
        <s v="سليم"/>
        <s v="تالف"/>
      </sharedItems>
    </cacheField>
    <cacheField name="حالة الاستلام" numFmtId="0">
      <sharedItems count="2">
        <s v="مستلم"/>
        <s v="مسترد"/>
      </sharedItems>
    </cacheField>
    <cacheField name="عدد مرات خروج الطلب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سبب الاسترداد" numFmtId="0">
      <sharedItems count="7">
        <s v="لا يوجد"/>
        <s v="تأخر التسليم"/>
        <s v="رفض الاستلام"/>
        <s v="العميل غير موجود"/>
        <s v="طلب العميل الإلغاء"/>
        <s v="عنوان خاطئ"/>
        <s v="منتج تالف"/>
      </sharedItems>
    </cacheField>
    <cacheField name="تقييم العميل (1-5)" numFmtId="0">
      <sharedItems containsSemiMixedTypes="0" containsString="0" containsNumber="1" containsInteger="1" minValue="1" maxValue="5" count="5">
        <n v="5"/>
        <n v="2"/>
        <n v="4"/>
        <n v="3"/>
        <n v="1"/>
      </sharedItems>
    </cacheField>
    <cacheField name="ملاحظات العميل" numFmtId="0">
      <sharedItems count="15">
        <s v="وصل في الوقت المحدد"/>
        <s v="لا توجد ملاحظات"/>
        <s v="تأخر التسليم قليلاً"/>
        <s v="التغليف كان ضعيفاً"/>
        <s v="شكراً على الخدمة"/>
        <s v="سيتم إعادة الطلب لاحقاً"/>
        <s v="المنتج وصل بحالة جيدة"/>
        <s v="خدمة ممتازة وسريعة"/>
        <s v="السائق كان محترماً"/>
        <s v="يحتاج تحسين في التواصل"/>
        <s v="السائق لم يتصل مسبقاً"/>
        <s v="لم يتم التواصل قبل التسليم"/>
        <s v="أرجو الالتزام بالموعد المحدد"/>
        <s v="تجربة جيدة بشكل عام"/>
        <s v="التغليف كان جيداً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2026-100001"/>
    <s v="CUS81426"/>
    <d v="2026-03-23T00:00:00"/>
    <s v="D004"/>
    <n v="20"/>
    <n v="5.8"/>
    <s v="شاحنة صغيرة"/>
    <s v="18:00-20:00"/>
    <d v="2026-03-23T09:09:00"/>
    <d v="2026-03-23T09:31:00"/>
    <d v="2026-03-23T09:52:00"/>
    <d v="2026-03-23T10:10:00"/>
    <d v="2026-03-23T10:22:00"/>
    <d v="2026-03-23T10:28:00"/>
    <n v="1"/>
    <x v="0"/>
    <s v="الرياض"/>
    <s v="الروضة"/>
    <s v="مستودع الرياض الرئيسي"/>
    <n v="5000"/>
    <x v="0"/>
    <x v="0"/>
    <x v="0"/>
    <x v="0"/>
    <x v="0"/>
    <x v="0"/>
  </r>
  <r>
    <s v="ORD-2026-100002"/>
    <s v="CUS55082"/>
    <d v="2026-02-23T00:00:00"/>
    <s v="D008"/>
    <n v="22"/>
    <n v="10.5"/>
    <s v="شاحنة صغيرة"/>
    <s v="20:00-22:00"/>
    <d v="2026-02-23T09:26:00"/>
    <d v="2026-02-23T09:36:00"/>
    <d v="2026-02-23T10:40:00"/>
    <d v="2026-02-23T10:55:00"/>
    <d v="2026-02-23T11:22:00"/>
    <d v="2026-02-23T11:36:00"/>
    <n v="2"/>
    <x v="1"/>
    <s v="مكة المكرمة"/>
    <s v="المسفلة"/>
    <s v="مستودع مكة المكرمة"/>
    <n v="2500"/>
    <x v="0"/>
    <x v="0"/>
    <x v="0"/>
    <x v="0"/>
    <x v="1"/>
    <x v="1"/>
  </r>
  <r>
    <s v="ORD-2026-100003"/>
    <s v="CUS23238"/>
    <d v="2026-03-19T00:00:00"/>
    <s v="D009"/>
    <n v="39"/>
    <n v="5"/>
    <s v="فان"/>
    <s v="08:00-10:00"/>
    <d v="2026-03-19T08:21:00"/>
    <d v="2026-03-19T08:35:00"/>
    <d v="2026-03-19T10:05:00"/>
    <d v="2026-03-19T10:21:00"/>
    <d v="2026-03-19T11:07:00"/>
    <d v="2026-03-19T11:24:00"/>
    <n v="6"/>
    <x v="2"/>
    <s v="الرياض"/>
    <s v="الربوة"/>
    <s v="مستودع الرياض الرئيسي"/>
    <n v="5000"/>
    <x v="0"/>
    <x v="0"/>
    <x v="0"/>
    <x v="0"/>
    <x v="1"/>
    <x v="2"/>
  </r>
  <r>
    <s v="ORD-2026-100004"/>
    <s v="CUS17331"/>
    <d v="2026-02-18T00:00:00"/>
    <s v="D009"/>
    <n v="15"/>
    <n v="7"/>
    <s v="دراجة نارية"/>
    <s v="18:00-20:00"/>
    <d v="2026-02-18T07:08:00"/>
    <d v="2026-02-18T07:35:00"/>
    <d v="2026-02-18T07:54:00"/>
    <d v="2026-02-18T08:04:00"/>
    <d v="2026-02-18T08:48:00"/>
    <d v="2026-02-18T09:08:00"/>
    <n v="2"/>
    <x v="1"/>
    <s v="مكة المكرمة"/>
    <s v="الزاهر"/>
    <s v="مستودع مكة المكرمة"/>
    <n v="2500"/>
    <x v="0"/>
    <x v="1"/>
    <x v="1"/>
    <x v="1"/>
    <x v="2"/>
    <x v="3"/>
  </r>
  <r>
    <s v="ORD-2026-100005"/>
    <s v="CUS83579"/>
    <d v="2026-01-30T00:00:00"/>
    <s v="D027"/>
    <n v="30"/>
    <n v="6.1"/>
    <s v="دراجة نارية"/>
    <s v="16:00-18:00"/>
    <d v="2026-01-30T09:44:00"/>
    <d v="2026-01-30T10:11:00"/>
    <d v="2026-01-30T11:01:00"/>
    <d v="2026-01-30T11:12:00"/>
    <d v="2026-01-30T12:03:00"/>
    <d v="2026-01-30T12:39:00"/>
    <n v="4"/>
    <x v="1"/>
    <s v="الرياض"/>
    <s v="الورود"/>
    <s v="مستودع الرياض الرئيسي"/>
    <n v="5000"/>
    <x v="0"/>
    <x v="0"/>
    <x v="0"/>
    <x v="0"/>
    <x v="3"/>
    <x v="0"/>
  </r>
  <r>
    <s v="ORD-2026-100006"/>
    <s v="CUS79352"/>
    <d v="2026-03-10T00:00:00"/>
    <s v="D009"/>
    <n v="30"/>
    <n v="6.9"/>
    <s v="دراجة نارية"/>
    <s v="16:00-18:00"/>
    <d v="2026-03-10T08:06:00"/>
    <d v="2026-03-10T08:13:00"/>
    <d v="2026-03-10T08:29:00"/>
    <d v="2026-03-10T08:37:00"/>
    <d v="2026-03-10T08:56:00"/>
    <d v="2026-03-10T09:41:00"/>
    <n v="2"/>
    <x v="1"/>
    <s v="المدينة المنورة"/>
    <s v="العنابس"/>
    <s v="مستودع المدينة المنورة"/>
    <n v="2000"/>
    <x v="0"/>
    <x v="0"/>
    <x v="0"/>
    <x v="0"/>
    <x v="2"/>
    <x v="4"/>
  </r>
  <r>
    <s v="ORD-2026-100007"/>
    <s v="CUS93748"/>
    <d v="2026-02-02T00:00:00"/>
    <s v="D018"/>
    <n v="39"/>
    <n v="10"/>
    <s v="سيارة سيدان"/>
    <s v="08:00-10:00"/>
    <d v="2026-02-02T07:15:00"/>
    <d v="2026-02-02T07:33:00"/>
    <d v="2026-02-02T08:03:00"/>
    <d v="2026-02-02T08:22:00"/>
    <d v="2026-02-02T08:32:00"/>
    <d v="2026-02-02T08:53:00"/>
    <n v="5"/>
    <x v="1"/>
    <s v="الرياض"/>
    <s v="النزهة"/>
    <s v="مستودع الرياض الرئيسي"/>
    <n v="5000"/>
    <x v="0"/>
    <x v="0"/>
    <x v="0"/>
    <x v="0"/>
    <x v="2"/>
    <x v="1"/>
  </r>
  <r>
    <s v="ORD-2026-100008"/>
    <s v="CUS84364"/>
    <d v="2026-03-06T00:00:00"/>
    <s v="D020"/>
    <n v="28"/>
    <n v="10.1"/>
    <s v="شاحنة متوسطة"/>
    <s v="20:00-22:00"/>
    <d v="2026-03-06T09:56:00"/>
    <d v="2026-03-06T10:17:00"/>
    <d v="2026-03-06T10:27:00"/>
    <d v="2026-03-06T10:42:00"/>
    <d v="2026-03-06T11:23:00"/>
    <d v="2026-03-06T11:29:00"/>
    <n v="1"/>
    <x v="1"/>
    <s v="جدة"/>
    <s v="الزهراء"/>
    <s v="مستودع جدة الرئيسي"/>
    <n v="4000"/>
    <x v="0"/>
    <x v="1"/>
    <x v="2"/>
    <x v="2"/>
    <x v="1"/>
    <x v="5"/>
  </r>
  <r>
    <s v="ORD-2026-100009"/>
    <s v="CUS50857"/>
    <d v="2026-01-11T00:00:00"/>
    <s v="D003"/>
    <n v="39"/>
    <n v="10.1"/>
    <s v="دراجة نارية"/>
    <s v="18:00-20:00"/>
    <d v="2026-01-11T08:01:00"/>
    <d v="2026-01-11T08:23:00"/>
    <d v="2026-01-11T08:54:00"/>
    <d v="2026-01-11T09:07:00"/>
    <d v="2026-01-11T09:50:00"/>
    <d v="2026-01-11T10:33:00"/>
    <n v="4"/>
    <x v="1"/>
    <s v="مكة المكرمة"/>
    <s v="العزيزية"/>
    <s v="مستودع مكة المكرمة"/>
    <n v="2500"/>
    <x v="1"/>
    <x v="0"/>
    <x v="0"/>
    <x v="0"/>
    <x v="0"/>
    <x v="0"/>
  </r>
  <r>
    <s v="ORD-2026-100010"/>
    <s v="CUS19287"/>
    <d v="2026-02-21T00:00:00"/>
    <s v="D022"/>
    <n v="38"/>
    <n v="7.6"/>
    <s v="دراجة نارية"/>
    <s v="10:00-12:00"/>
    <d v="2026-02-21T06:16:00"/>
    <d v="2026-02-21T06:31:00"/>
    <d v="2026-02-21T06:43:00"/>
    <d v="2026-02-21T06:55:00"/>
    <d v="2026-02-21T07:42:00"/>
    <d v="2026-02-21T08:01:00"/>
    <n v="1"/>
    <x v="2"/>
    <s v="الدمام"/>
    <s v="الجلوية"/>
    <s v="مستودع الدمام"/>
    <n v="3000"/>
    <x v="0"/>
    <x v="0"/>
    <x v="0"/>
    <x v="0"/>
    <x v="4"/>
    <x v="6"/>
  </r>
  <r>
    <s v="ORD-2026-100011"/>
    <s v="CUS98259"/>
    <d v="2026-03-07T00:00:00"/>
    <s v="D008"/>
    <n v="18"/>
    <n v="8.3000000000000007"/>
    <s v="شاحنة متوسطة"/>
    <s v="16:00-18:00"/>
    <d v="2026-03-07T08:01:00"/>
    <d v="2026-03-07T08:13:00"/>
    <d v="2026-03-07T09:23:00"/>
    <d v="2026-03-07T09:41:00"/>
    <d v="2026-03-07T10:03:00"/>
    <d v="2026-03-07T10:14:00"/>
    <n v="1"/>
    <x v="1"/>
    <s v="الدمام"/>
    <s v="الجلوية"/>
    <s v="مستودع الدمام"/>
    <n v="3000"/>
    <x v="0"/>
    <x v="0"/>
    <x v="0"/>
    <x v="0"/>
    <x v="0"/>
    <x v="7"/>
  </r>
  <r>
    <s v="ORD-2026-100012"/>
    <s v="CUS82132"/>
    <d v="2026-03-25T00:00:00"/>
    <s v="D021"/>
    <n v="30"/>
    <n v="9.8000000000000007"/>
    <s v="شاحنة صغيرة"/>
    <s v="10:00-12:00"/>
    <d v="2026-03-25T06:49:00"/>
    <d v="2026-03-25T07:00:00"/>
    <d v="2026-03-25T08:18:00"/>
    <d v="2026-03-25T08:37:00"/>
    <d v="2026-03-25T08:55:00"/>
    <d v="2026-03-25T09:27:00"/>
    <n v="2"/>
    <x v="3"/>
    <s v="الرياض"/>
    <s v="العليا"/>
    <s v="مستودع الرياض الرئيسي"/>
    <n v="5000"/>
    <x v="0"/>
    <x v="0"/>
    <x v="0"/>
    <x v="0"/>
    <x v="0"/>
    <x v="1"/>
  </r>
  <r>
    <s v="ORD-2026-100013"/>
    <s v="CUS47388"/>
    <d v="2026-01-13T00:00:00"/>
    <s v="D002"/>
    <n v="10"/>
    <n v="11.4"/>
    <s v="دراجة نارية"/>
    <s v="10:00-12:00"/>
    <d v="2026-01-13T07:44:00"/>
    <d v="2026-01-13T08:04:00"/>
    <d v="2026-01-13T09:15:00"/>
    <d v="2026-01-13T09:26:00"/>
    <d v="2026-01-13T10:01:00"/>
    <d v="2026-01-13T10:09:00"/>
    <n v="2"/>
    <x v="1"/>
    <s v="المدينة المنورة"/>
    <s v="العوالي"/>
    <s v="مستودع المدينة المنورة"/>
    <n v="2000"/>
    <x v="1"/>
    <x v="0"/>
    <x v="0"/>
    <x v="0"/>
    <x v="0"/>
    <x v="4"/>
  </r>
  <r>
    <s v="ORD-2026-100014"/>
    <s v="CUS34356"/>
    <d v="2026-02-24T00:00:00"/>
    <s v="D023"/>
    <n v="14"/>
    <n v="5.5"/>
    <s v="دراجة نارية"/>
    <s v="08:00-10:00"/>
    <d v="2026-02-24T08:28:00"/>
    <d v="2026-02-24T08:56:00"/>
    <d v="2026-02-24T10:15:00"/>
    <d v="2026-02-24T10:21:00"/>
    <d v="2026-02-24T11:18:00"/>
    <d v="2026-02-24T11:43:00"/>
    <n v="1"/>
    <x v="4"/>
    <s v="المدينة المنورة"/>
    <s v="العنابس"/>
    <s v="مستودع المدينة المنورة"/>
    <n v="2000"/>
    <x v="0"/>
    <x v="1"/>
    <x v="1"/>
    <x v="3"/>
    <x v="0"/>
    <x v="8"/>
  </r>
  <r>
    <s v="ORD-2026-100015"/>
    <s v="CUS44814"/>
    <d v="2026-01-09T00:00:00"/>
    <s v="D020"/>
    <n v="30"/>
    <n v="5"/>
    <s v="شاحنة متوسطة"/>
    <s v="10:00-12:00"/>
    <d v="2026-01-09T08:28:00"/>
    <d v="2026-01-09T08:52:00"/>
    <d v="2026-01-09T09:07:00"/>
    <d v="2026-01-09T09:14:00"/>
    <d v="2026-01-09T09:50:00"/>
    <d v="2026-01-09T10:32:00"/>
    <n v="5"/>
    <x v="1"/>
    <s v="الرياض"/>
    <s v="حطين"/>
    <s v="مستودع الرياض الرئيسي"/>
    <n v="5000"/>
    <x v="1"/>
    <x v="0"/>
    <x v="0"/>
    <x v="0"/>
    <x v="0"/>
    <x v="2"/>
  </r>
  <r>
    <s v="ORD-2026-100016"/>
    <s v="CUS58434"/>
    <d v="2026-02-20T00:00:00"/>
    <s v="D005"/>
    <n v="25"/>
    <n v="11.4"/>
    <s v="شاحنة صغيرة"/>
    <s v="08:00-10:00"/>
    <d v="2026-02-20T07:57:00"/>
    <d v="2026-02-20T08:21:00"/>
    <d v="2026-02-20T09:43:00"/>
    <d v="2026-02-20T09:51:00"/>
    <d v="2026-02-20T10:05:00"/>
    <d v="2026-02-20T10:44:00"/>
    <n v="2"/>
    <x v="1"/>
    <s v="الدمام"/>
    <s v="الجلوية"/>
    <s v="مستودع الدمام"/>
    <n v="3000"/>
    <x v="0"/>
    <x v="0"/>
    <x v="0"/>
    <x v="0"/>
    <x v="1"/>
    <x v="2"/>
  </r>
  <r>
    <s v="ORD-2026-100017"/>
    <s v="CUS54942"/>
    <d v="2026-02-06T00:00:00"/>
    <s v="D006"/>
    <n v="24"/>
    <n v="8.9"/>
    <s v="شاحنة متوسطة"/>
    <s v="08:00-10:00"/>
    <d v="2026-02-06T08:50:00"/>
    <d v="2026-02-06T09:12:00"/>
    <d v="2026-02-06T10:00:00"/>
    <d v="2026-02-06T10:08:00"/>
    <d v="2026-02-06T10:26:00"/>
    <d v="2026-02-06T10:47:00"/>
    <n v="1"/>
    <x v="1"/>
    <s v="مكة المكرمة"/>
    <s v="المسفلة"/>
    <s v="مستودع مكة المكرمة"/>
    <n v="2500"/>
    <x v="0"/>
    <x v="0"/>
    <x v="0"/>
    <x v="0"/>
    <x v="2"/>
    <x v="2"/>
  </r>
  <r>
    <s v="ORD-2026-100018"/>
    <s v="CUS11267"/>
    <d v="2026-01-27T00:00:00"/>
    <s v="D022"/>
    <n v="36"/>
    <n v="6"/>
    <s v="شاحنة صغيرة"/>
    <s v="08:00-10:00"/>
    <d v="2026-01-27T08:42:00"/>
    <d v="2026-01-27T09:00:00"/>
    <d v="2026-01-27T09:45:00"/>
    <d v="2026-01-27T09:51:00"/>
    <d v="2026-01-27T10:01:00"/>
    <d v="2026-01-27T10:27:00"/>
    <n v="7"/>
    <x v="5"/>
    <s v="الدمام"/>
    <s v="المزروعية"/>
    <s v="مستودع الدمام"/>
    <n v="3000"/>
    <x v="0"/>
    <x v="0"/>
    <x v="0"/>
    <x v="0"/>
    <x v="0"/>
    <x v="9"/>
  </r>
  <r>
    <s v="ORD-2026-100019"/>
    <s v="CUS23473"/>
    <d v="2026-01-15T00:00:00"/>
    <s v="D003"/>
    <n v="7"/>
    <n v="10.7"/>
    <s v="شاحنة متوسطة"/>
    <s v="16:00-18:00"/>
    <d v="2026-01-15T06:37:00"/>
    <d v="2026-01-15T06:55:00"/>
    <d v="2026-01-15T07:21:00"/>
    <d v="2026-01-15T07:27:00"/>
    <d v="2026-01-15T07:56:00"/>
    <d v="2026-01-15T08:24:00"/>
    <n v="7"/>
    <x v="1"/>
    <s v="جدة"/>
    <s v="النزهة"/>
    <s v="مستودع جدة الرئيسي"/>
    <n v="4000"/>
    <x v="0"/>
    <x v="0"/>
    <x v="0"/>
    <x v="0"/>
    <x v="0"/>
    <x v="10"/>
  </r>
  <r>
    <s v="ORD-2026-100020"/>
    <s v="CUS42527"/>
    <d v="2026-02-15T00:00:00"/>
    <s v="D025"/>
    <n v="14"/>
    <n v="11.4"/>
    <s v="دراجة نارية"/>
    <s v="20:00-22:00"/>
    <d v="2026-02-15T06:41:00"/>
    <d v="2026-02-15T07:11:00"/>
    <d v="2026-02-15T07:43:00"/>
    <d v="2026-02-15T08:01:00"/>
    <d v="2026-02-15T08:12:00"/>
    <d v="2026-02-15T08:28:00"/>
    <n v="6"/>
    <x v="1"/>
    <s v="المدينة المنورة"/>
    <s v="العنابس"/>
    <s v="مستودع المدينة المنورة"/>
    <n v="2000"/>
    <x v="0"/>
    <x v="0"/>
    <x v="0"/>
    <x v="0"/>
    <x v="0"/>
    <x v="0"/>
  </r>
  <r>
    <s v="ORD-2026-100021"/>
    <s v="CUS46585"/>
    <d v="2026-02-04T00:00:00"/>
    <s v="D006"/>
    <n v="7"/>
    <n v="10.9"/>
    <s v="دراجة نارية"/>
    <s v="10:00-12:00"/>
    <d v="2026-02-04T09:29:00"/>
    <d v="2026-02-04T09:48:00"/>
    <d v="2026-02-04T10:42:00"/>
    <d v="2026-02-04T10:56:00"/>
    <d v="2026-02-04T11:56:00"/>
    <d v="2026-02-04T12:15:00"/>
    <n v="2"/>
    <x v="3"/>
    <s v="الرياض"/>
    <s v="السليمانية"/>
    <s v="مستودع الرياض الرئيسي"/>
    <n v="5000"/>
    <x v="0"/>
    <x v="0"/>
    <x v="0"/>
    <x v="0"/>
    <x v="1"/>
    <x v="3"/>
  </r>
  <r>
    <s v="ORD-2026-100022"/>
    <s v="CUS25157"/>
    <d v="2026-02-14T00:00:00"/>
    <s v="D021"/>
    <n v="39"/>
    <n v="6.6"/>
    <s v="شاحنة صغيرة"/>
    <s v="08:00-10:00"/>
    <d v="2026-02-14T09:44:00"/>
    <d v="2026-02-14T09:57:00"/>
    <d v="2026-02-14T10:29:00"/>
    <d v="2026-02-14T10:42:00"/>
    <d v="2026-02-14T10:54:00"/>
    <d v="2026-02-14T11:05:00"/>
    <n v="5"/>
    <x v="1"/>
    <s v="المدينة المنورة"/>
    <s v="العنابس"/>
    <s v="مستودع المدينة المنورة"/>
    <n v="2000"/>
    <x v="0"/>
    <x v="0"/>
    <x v="0"/>
    <x v="0"/>
    <x v="2"/>
    <x v="9"/>
  </r>
  <r>
    <s v="ORD-2026-100023"/>
    <s v="CUS49363"/>
    <d v="2026-02-19T00:00:00"/>
    <s v="D029"/>
    <n v="21"/>
    <n v="4.4000000000000004"/>
    <s v="فان"/>
    <s v="08:00-10:00"/>
    <d v="2026-02-19T08:13:00"/>
    <d v="2026-02-19T08:43:00"/>
    <d v="2026-02-19T10:01:00"/>
    <d v="2026-02-19T10:12:00"/>
    <d v="2026-02-19T10:45:00"/>
    <d v="2026-02-19T11:17:00"/>
    <n v="1"/>
    <x v="1"/>
    <s v="المدينة المنورة"/>
    <s v="قباء"/>
    <s v="مستودع المدينة المنورة"/>
    <n v="2000"/>
    <x v="1"/>
    <x v="0"/>
    <x v="0"/>
    <x v="0"/>
    <x v="0"/>
    <x v="8"/>
  </r>
  <r>
    <s v="ORD-2026-100024"/>
    <s v="CUS86019"/>
    <d v="2026-03-06T00:00:00"/>
    <s v="D010"/>
    <n v="30"/>
    <n v="9.6"/>
    <s v="شاحنة متوسطة"/>
    <s v="10:00-12:00"/>
    <d v="2026-03-06T06:49:00"/>
    <d v="2026-03-06T07:07:00"/>
    <d v="2026-03-06T08:05:00"/>
    <d v="2026-03-06T08:15:00"/>
    <d v="2026-03-06T09:04:00"/>
    <d v="2026-03-06T09:45:00"/>
    <n v="3"/>
    <x v="1"/>
    <s v="مكة المكرمة"/>
    <s v="الزاهر"/>
    <s v="مستودع مكة المكرمة"/>
    <n v="2500"/>
    <x v="0"/>
    <x v="0"/>
    <x v="0"/>
    <x v="0"/>
    <x v="3"/>
    <x v="3"/>
  </r>
  <r>
    <s v="ORD-2026-100025"/>
    <s v="CUS50687"/>
    <d v="2026-03-19T00:00:00"/>
    <s v="D021"/>
    <n v="33"/>
    <n v="7.5"/>
    <s v="دراجة نارية"/>
    <s v="16:00-18:00"/>
    <d v="2026-03-19T08:01:00"/>
    <d v="2026-03-19T08:31:00"/>
    <d v="2026-03-19T09:02:00"/>
    <d v="2026-03-19T09:09:00"/>
    <d v="2026-03-19T09:37:00"/>
    <d v="2026-03-19T10:14:00"/>
    <n v="6"/>
    <x v="1"/>
    <s v="الدمام"/>
    <s v="الجلوية"/>
    <s v="مستودع الدمام"/>
    <n v="3000"/>
    <x v="0"/>
    <x v="0"/>
    <x v="0"/>
    <x v="0"/>
    <x v="0"/>
    <x v="10"/>
  </r>
  <r>
    <s v="ORD-2026-100026"/>
    <s v="CUS10726"/>
    <d v="2026-01-29T00:00:00"/>
    <s v="D026"/>
    <n v="6"/>
    <n v="4.4000000000000004"/>
    <s v="فان"/>
    <s v="16:00-18:00"/>
    <d v="2026-01-29T09:37:00"/>
    <d v="2026-01-29T10:06:00"/>
    <d v="2026-01-29T10:25:00"/>
    <d v="2026-01-29T10:44:00"/>
    <d v="2026-01-29T11:20:00"/>
    <d v="2026-01-29T12:05:00"/>
    <n v="5"/>
    <x v="2"/>
    <s v="جدة"/>
    <s v="الزهراء"/>
    <s v="مستودع جدة الرئيسي"/>
    <n v="4000"/>
    <x v="0"/>
    <x v="0"/>
    <x v="0"/>
    <x v="0"/>
    <x v="3"/>
    <x v="0"/>
  </r>
  <r>
    <s v="ORD-2026-100027"/>
    <s v="CUS68008"/>
    <d v="2026-01-14T00:00:00"/>
    <s v="D025"/>
    <n v="16"/>
    <n v="10.4"/>
    <s v="شاحنة متوسطة"/>
    <s v="14:00-16:00"/>
    <d v="2026-01-14T06:12:00"/>
    <d v="2026-01-14T06:34:00"/>
    <d v="2026-01-14T07:15:00"/>
    <d v="2026-01-14T07:23:00"/>
    <d v="2026-01-14T08:02:00"/>
    <d v="2026-01-14T08:15:00"/>
    <n v="7"/>
    <x v="1"/>
    <s v="مكة المكرمة"/>
    <s v="الشوقية"/>
    <s v="مستودع مكة المكرمة"/>
    <n v="2500"/>
    <x v="0"/>
    <x v="0"/>
    <x v="0"/>
    <x v="0"/>
    <x v="2"/>
    <x v="3"/>
  </r>
  <r>
    <s v="ORD-2026-100028"/>
    <s v="CUS67654"/>
    <d v="2026-03-20T00:00:00"/>
    <s v="D027"/>
    <n v="40"/>
    <n v="7.6"/>
    <s v="دراجة نارية"/>
    <s v="18:00-20:00"/>
    <d v="2026-03-20T09:40:00"/>
    <d v="2026-03-20T10:00:00"/>
    <d v="2026-03-20T11:07:00"/>
    <d v="2026-03-20T11:20:00"/>
    <d v="2026-03-20T12:18:00"/>
    <d v="2026-03-20T12:38:00"/>
    <n v="7"/>
    <x v="1"/>
    <s v="المدينة المنورة"/>
    <s v="العنابس"/>
    <s v="مستودع المدينة المنورة"/>
    <n v="2000"/>
    <x v="0"/>
    <x v="0"/>
    <x v="0"/>
    <x v="0"/>
    <x v="2"/>
    <x v="11"/>
  </r>
  <r>
    <s v="ORD-2026-100029"/>
    <s v="CUS65069"/>
    <d v="2026-01-10T00:00:00"/>
    <s v="D023"/>
    <n v="22"/>
    <n v="6.7"/>
    <s v="شاحنة متوسطة"/>
    <s v="08:00-10:00"/>
    <d v="2026-01-10T06:35:00"/>
    <d v="2026-01-10T06:44:00"/>
    <d v="2026-01-10T07:23:00"/>
    <d v="2026-01-10T07:40:00"/>
    <d v="2026-01-10T08:34:00"/>
    <d v="2026-01-10T08:48:00"/>
    <n v="6"/>
    <x v="4"/>
    <s v="الدمام"/>
    <s v="الفيصلية"/>
    <s v="مستودع الدمام"/>
    <n v="3000"/>
    <x v="0"/>
    <x v="0"/>
    <x v="0"/>
    <x v="0"/>
    <x v="2"/>
    <x v="2"/>
  </r>
  <r>
    <s v="ORD-2026-100030"/>
    <s v="CUS31632"/>
    <d v="2026-02-19T00:00:00"/>
    <s v="D029"/>
    <n v="29"/>
    <n v="7.8"/>
    <s v="سيارة سيدان"/>
    <s v="12:00-14:00"/>
    <d v="2026-02-19T09:12:00"/>
    <d v="2026-02-19T09:29:00"/>
    <d v="2026-02-19T10:32:00"/>
    <d v="2026-02-19T10:44:00"/>
    <d v="2026-02-19T11:25:00"/>
    <d v="2026-02-19T11:44:00"/>
    <n v="3"/>
    <x v="1"/>
    <s v="المدينة المنورة"/>
    <s v="العوالي"/>
    <s v="مستودع المدينة المنورة"/>
    <n v="2000"/>
    <x v="0"/>
    <x v="0"/>
    <x v="0"/>
    <x v="0"/>
    <x v="0"/>
    <x v="12"/>
  </r>
  <r>
    <s v="ORD-2026-100031"/>
    <s v="CUS52840"/>
    <d v="2026-03-01T00:00:00"/>
    <s v="D030"/>
    <n v="39"/>
    <n v="4.2"/>
    <s v="فان"/>
    <s v="16:00-18:00"/>
    <d v="2026-03-01T08:24:00"/>
    <d v="2026-03-01T08:50:00"/>
    <d v="2026-03-01T09:03:00"/>
    <d v="2026-03-01T09:10:00"/>
    <d v="2026-03-01T10:01:00"/>
    <d v="2026-03-01T10:33:00"/>
    <n v="2"/>
    <x v="1"/>
    <s v="جدة"/>
    <s v="النزهة"/>
    <s v="مستودع جدة الرئيسي"/>
    <n v="4000"/>
    <x v="0"/>
    <x v="0"/>
    <x v="0"/>
    <x v="0"/>
    <x v="2"/>
    <x v="4"/>
  </r>
  <r>
    <s v="ORD-2026-100032"/>
    <s v="CUS12671"/>
    <d v="2026-02-13T00:00:00"/>
    <s v="D025"/>
    <n v="31"/>
    <n v="6"/>
    <s v="شاحنة صغيرة"/>
    <s v="14:00-16:00"/>
    <d v="2026-02-13T06:04:00"/>
    <d v="2026-02-13T06:32:00"/>
    <d v="2026-02-13T07:51:00"/>
    <d v="2026-02-13T07:57:00"/>
    <d v="2026-02-13T08:29:00"/>
    <d v="2026-02-13T08:48:00"/>
    <n v="6"/>
    <x v="2"/>
    <s v="مكة المكرمة"/>
    <s v="الزاهر"/>
    <s v="مستودع مكة المكرمة"/>
    <n v="2500"/>
    <x v="0"/>
    <x v="0"/>
    <x v="0"/>
    <x v="0"/>
    <x v="3"/>
    <x v="1"/>
  </r>
  <r>
    <s v="ORD-2026-100033"/>
    <s v="CUS24168"/>
    <d v="2026-03-21T00:00:00"/>
    <s v="D005"/>
    <n v="35"/>
    <n v="9.4"/>
    <s v="شاحنة متوسطة"/>
    <s v="10:00-12:00"/>
    <d v="2026-03-21T07:59:00"/>
    <d v="2026-03-21T08:26:00"/>
    <d v="2026-03-21T09:08:00"/>
    <d v="2026-03-21T09:24:00"/>
    <d v="2026-03-21T09:44:00"/>
    <d v="2026-03-21T10:27:00"/>
    <n v="5"/>
    <x v="1"/>
    <s v="جدة"/>
    <s v="الزهراء"/>
    <s v="مستودع جدة الرئيسي"/>
    <n v="4000"/>
    <x v="0"/>
    <x v="0"/>
    <x v="0"/>
    <x v="0"/>
    <x v="3"/>
    <x v="11"/>
  </r>
  <r>
    <s v="ORD-2026-100034"/>
    <s v="CUS55508"/>
    <d v="2026-03-16T00:00:00"/>
    <s v="D001"/>
    <n v="29"/>
    <n v="7.2"/>
    <s v="دراجة نارية"/>
    <s v="08:00-10:00"/>
    <d v="2026-03-16T08:31:00"/>
    <d v="2026-03-16T08:58:00"/>
    <d v="2026-03-16T10:28:00"/>
    <d v="2026-03-16T10:40:00"/>
    <d v="2026-03-16T10:56:00"/>
    <d v="2026-03-16T11:20:00"/>
    <n v="7"/>
    <x v="1"/>
    <s v="الدمام"/>
    <s v="المزروعية"/>
    <s v="مستودع الدمام"/>
    <n v="3000"/>
    <x v="0"/>
    <x v="0"/>
    <x v="0"/>
    <x v="0"/>
    <x v="2"/>
    <x v="7"/>
  </r>
  <r>
    <s v="ORD-2026-100035"/>
    <s v="CUS45400"/>
    <d v="2026-03-10T00:00:00"/>
    <s v="D014"/>
    <n v="37"/>
    <n v="9.1999999999999993"/>
    <s v="شاحنة صغيرة"/>
    <s v="20:00-22:00"/>
    <d v="2026-03-10T07:47:00"/>
    <d v="2026-03-10T08:07:00"/>
    <d v="2026-03-10T08:30:00"/>
    <d v="2026-03-10T08:48:00"/>
    <d v="2026-03-10T09:21:00"/>
    <d v="2026-03-10T10:06:00"/>
    <n v="7"/>
    <x v="1"/>
    <s v="الدمام"/>
    <s v="العزيزية"/>
    <s v="مستودع الدمام"/>
    <n v="3000"/>
    <x v="0"/>
    <x v="0"/>
    <x v="0"/>
    <x v="0"/>
    <x v="2"/>
    <x v="10"/>
  </r>
  <r>
    <s v="ORD-2026-100036"/>
    <s v="CUS52600"/>
    <d v="2026-03-20T00:00:00"/>
    <s v="D026"/>
    <n v="34"/>
    <n v="7.5"/>
    <s v="شاحنة متوسطة"/>
    <s v="12:00-14:00"/>
    <d v="2026-03-20T07:22:00"/>
    <d v="2026-03-20T07:34:00"/>
    <d v="2026-03-20T07:55:00"/>
    <d v="2026-03-20T08:08:00"/>
    <d v="2026-03-20T08:46:00"/>
    <d v="2026-03-20T09:06:00"/>
    <n v="7"/>
    <x v="1"/>
    <s v="المدينة المنورة"/>
    <s v="العنابس"/>
    <s v="مستودع المدينة المنورة"/>
    <n v="2000"/>
    <x v="0"/>
    <x v="0"/>
    <x v="0"/>
    <x v="0"/>
    <x v="4"/>
    <x v="1"/>
  </r>
  <r>
    <s v="ORD-2026-100037"/>
    <s v="CUS74332"/>
    <d v="2026-01-24T00:00:00"/>
    <s v="D016"/>
    <n v="21"/>
    <n v="6.7"/>
    <s v="شاحنة متوسطة"/>
    <s v="18:00-20:00"/>
    <d v="2026-01-24T09:45:00"/>
    <d v="2026-01-24T09:58:00"/>
    <d v="2026-01-24T11:19:00"/>
    <d v="2026-01-24T11:24:00"/>
    <d v="2026-01-24T12:07:00"/>
    <d v="2026-01-24T12:24:00"/>
    <n v="1"/>
    <x v="4"/>
    <s v="جدة"/>
    <s v="الروضة"/>
    <s v="مستودع جدة الرئيسي"/>
    <n v="4000"/>
    <x v="0"/>
    <x v="0"/>
    <x v="0"/>
    <x v="0"/>
    <x v="0"/>
    <x v="10"/>
  </r>
  <r>
    <s v="ORD-2026-100038"/>
    <s v="CUS50189"/>
    <d v="2026-02-27T00:00:00"/>
    <s v="D026"/>
    <n v="23"/>
    <n v="5.8"/>
    <s v="دراجة نارية"/>
    <s v="12:00-14:00"/>
    <d v="2026-02-27T08:49:00"/>
    <d v="2026-02-27T09:12:00"/>
    <d v="2026-02-27T10:09:00"/>
    <d v="2026-02-27T10:29:00"/>
    <d v="2026-02-27T11:14:00"/>
    <d v="2026-02-27T11:52:00"/>
    <n v="3"/>
    <x v="1"/>
    <s v="الرياض"/>
    <s v="النزهة"/>
    <s v="مستودع الرياض الرئيسي"/>
    <n v="5000"/>
    <x v="0"/>
    <x v="0"/>
    <x v="0"/>
    <x v="0"/>
    <x v="0"/>
    <x v="11"/>
  </r>
  <r>
    <s v="ORD-2026-100039"/>
    <s v="CUS35443"/>
    <d v="2026-02-02T00:00:00"/>
    <s v="D008"/>
    <n v="25"/>
    <n v="5"/>
    <s v="شاحنة متوسطة"/>
    <s v="20:00-22:00"/>
    <d v="2026-02-02T08:56:00"/>
    <d v="2026-02-02T09:06:00"/>
    <d v="2026-02-02T09:40:00"/>
    <d v="2026-02-02T09:51:00"/>
    <d v="2026-02-02T10:48:00"/>
    <d v="2026-02-02T11:23:00"/>
    <n v="3"/>
    <x v="1"/>
    <s v="الرياض"/>
    <s v="حطين"/>
    <s v="مستودع الرياض الرئيسي"/>
    <n v="5000"/>
    <x v="1"/>
    <x v="0"/>
    <x v="0"/>
    <x v="0"/>
    <x v="2"/>
    <x v="8"/>
  </r>
  <r>
    <s v="ORD-2026-100040"/>
    <s v="CUS34164"/>
    <d v="2026-02-07T00:00:00"/>
    <s v="D008"/>
    <n v="24"/>
    <n v="4.0999999999999996"/>
    <s v="شاحنة متوسطة"/>
    <s v="10:00-12:00"/>
    <d v="2026-02-07T07:10:00"/>
    <d v="2026-02-07T07:16:00"/>
    <d v="2026-02-07T07:32:00"/>
    <d v="2026-02-07T07:46:00"/>
    <d v="2026-02-07T08:40:00"/>
    <d v="2026-02-07T08:53:00"/>
    <n v="6"/>
    <x v="1"/>
    <s v="الدمام"/>
    <s v="الفيصلية"/>
    <s v="مستودع الدمام"/>
    <n v="3000"/>
    <x v="0"/>
    <x v="1"/>
    <x v="2"/>
    <x v="4"/>
    <x v="2"/>
    <x v="6"/>
  </r>
  <r>
    <s v="ORD-2026-100041"/>
    <s v="CUS91057"/>
    <d v="2026-01-07T00:00:00"/>
    <s v="D009"/>
    <n v="9"/>
    <n v="7.2"/>
    <s v="شاحنة صغيرة"/>
    <s v="16:00-18:00"/>
    <d v="2026-01-07T08:41:00"/>
    <d v="2026-01-07T09:07:00"/>
    <d v="2026-01-07T09:23:00"/>
    <d v="2026-01-07T09:32:00"/>
    <d v="2026-01-07T09:51:00"/>
    <d v="2026-01-07T10:32:00"/>
    <n v="3"/>
    <x v="3"/>
    <s v="مكة المكرمة"/>
    <s v="العزيزية"/>
    <s v="مستودع مكة المكرمة"/>
    <n v="2500"/>
    <x v="0"/>
    <x v="0"/>
    <x v="0"/>
    <x v="0"/>
    <x v="2"/>
    <x v="3"/>
  </r>
  <r>
    <s v="ORD-2026-100042"/>
    <s v="CUS19838"/>
    <d v="2026-01-29T00:00:00"/>
    <s v="D025"/>
    <n v="33"/>
    <n v="11.3"/>
    <s v="سيارة سيدان"/>
    <s v="20:00-22:00"/>
    <d v="2026-01-29T08:30:00"/>
    <d v="2026-01-29T08:48:00"/>
    <d v="2026-01-29T09:37:00"/>
    <d v="2026-01-29T09:43:00"/>
    <d v="2026-01-29T10:32:00"/>
    <d v="2026-01-29T10:43:00"/>
    <n v="7"/>
    <x v="3"/>
    <s v="المدينة المنورة"/>
    <s v="العنابس"/>
    <s v="مستودع المدينة المنورة"/>
    <n v="2000"/>
    <x v="0"/>
    <x v="0"/>
    <x v="0"/>
    <x v="0"/>
    <x v="3"/>
    <x v="9"/>
  </r>
  <r>
    <s v="ORD-2026-100043"/>
    <s v="CUS25043"/>
    <d v="2026-01-21T00:00:00"/>
    <s v="D001"/>
    <n v="35"/>
    <n v="6.3"/>
    <s v="دراجة نارية"/>
    <s v="12:00-14:00"/>
    <d v="2026-01-21T09:00:00"/>
    <d v="2026-01-21T09:14:00"/>
    <d v="2026-01-21T10:22:00"/>
    <d v="2026-01-21T10:29:00"/>
    <d v="2026-01-21T11:22:00"/>
    <d v="2026-01-21T11:41:00"/>
    <n v="3"/>
    <x v="1"/>
    <s v="مكة المكرمة"/>
    <s v="أجياد"/>
    <s v="مستودع مكة المكرمة"/>
    <n v="2500"/>
    <x v="0"/>
    <x v="0"/>
    <x v="0"/>
    <x v="0"/>
    <x v="0"/>
    <x v="12"/>
  </r>
  <r>
    <s v="ORD-2026-100044"/>
    <s v="CUS66626"/>
    <d v="2026-03-11T00:00:00"/>
    <s v="D008"/>
    <n v="14"/>
    <n v="4.5999999999999996"/>
    <s v="دراجة نارية"/>
    <s v="20:00-22:00"/>
    <d v="2026-03-11T07:18:00"/>
    <d v="2026-03-11T07:42:00"/>
    <d v="2026-03-11T09:04:00"/>
    <d v="2026-03-11T09:18:00"/>
    <d v="2026-03-11T09:56:00"/>
    <d v="2026-03-11T10:08:00"/>
    <n v="4"/>
    <x v="1"/>
    <s v="جدة"/>
    <s v="الروضة"/>
    <s v="مستودع جدة الرئيسي"/>
    <n v="4000"/>
    <x v="0"/>
    <x v="1"/>
    <x v="3"/>
    <x v="4"/>
    <x v="1"/>
    <x v="7"/>
  </r>
  <r>
    <s v="ORD-2026-100045"/>
    <s v="CUS93202"/>
    <d v="2026-02-11T00:00:00"/>
    <s v="D020"/>
    <n v="10"/>
    <n v="5.8"/>
    <s v="شاحنة متوسطة"/>
    <s v="16:00-18:00"/>
    <d v="2026-02-11T06:05:00"/>
    <d v="2026-02-11T06:34:00"/>
    <d v="2026-02-11T07:18:00"/>
    <d v="2026-02-11T07:24:00"/>
    <d v="2026-02-11T08:22:00"/>
    <d v="2026-02-11T08:38:00"/>
    <n v="4"/>
    <x v="1"/>
    <s v="الدمام"/>
    <s v="العزيزية"/>
    <s v="مستودع الدمام"/>
    <n v="3000"/>
    <x v="0"/>
    <x v="0"/>
    <x v="0"/>
    <x v="0"/>
    <x v="0"/>
    <x v="12"/>
  </r>
  <r>
    <s v="ORD-2026-100046"/>
    <s v="CUS62976"/>
    <d v="2026-03-04T00:00:00"/>
    <s v="D003"/>
    <n v="31"/>
    <n v="6.7"/>
    <s v="شاحنة صغيرة"/>
    <s v="20:00-22:00"/>
    <d v="2026-03-04T06:41:00"/>
    <d v="2026-03-04T06:56:00"/>
    <d v="2026-03-04T07:58:00"/>
    <d v="2026-03-04T08:18:00"/>
    <d v="2026-03-04T08:46:00"/>
    <d v="2026-03-04T09:16:00"/>
    <n v="7"/>
    <x v="1"/>
    <s v="مكة المكرمة"/>
    <s v="الزاهر"/>
    <s v="مستودع مكة المكرمة"/>
    <n v="2500"/>
    <x v="0"/>
    <x v="0"/>
    <x v="0"/>
    <x v="0"/>
    <x v="3"/>
    <x v="8"/>
  </r>
  <r>
    <s v="ORD-2026-100047"/>
    <s v="CUS13783"/>
    <d v="2026-03-07T00:00:00"/>
    <s v="D027"/>
    <n v="31"/>
    <n v="4.4000000000000004"/>
    <s v="شاحنة متوسطة"/>
    <s v="12:00-14:00"/>
    <d v="2026-03-07T08:39:00"/>
    <d v="2026-03-07T09:08:00"/>
    <d v="2026-03-07T10:21:00"/>
    <d v="2026-03-07T10:40:00"/>
    <d v="2026-03-07T11:38:00"/>
    <d v="2026-03-07T11:46:00"/>
    <n v="2"/>
    <x v="3"/>
    <s v="الرياض"/>
    <s v="الربوة"/>
    <s v="مستودع الرياض الرئيسي"/>
    <n v="5000"/>
    <x v="1"/>
    <x v="0"/>
    <x v="0"/>
    <x v="0"/>
    <x v="0"/>
    <x v="8"/>
  </r>
  <r>
    <s v="ORD-2026-100048"/>
    <s v="CUS64459"/>
    <d v="2026-03-22T00:00:00"/>
    <s v="D020"/>
    <n v="15"/>
    <n v="6.5"/>
    <s v="شاحنة صغيرة"/>
    <s v="16:00-18:00"/>
    <d v="2026-03-22T07:44:00"/>
    <d v="2026-03-22T07:51:00"/>
    <d v="2026-03-22T08:29:00"/>
    <d v="2026-03-22T08:37:00"/>
    <d v="2026-03-22T09:16:00"/>
    <d v="2026-03-22T09:28:00"/>
    <n v="6"/>
    <x v="1"/>
    <s v="جدة"/>
    <s v="الصفا"/>
    <s v="مستودع جدة الرئيسي"/>
    <n v="4000"/>
    <x v="0"/>
    <x v="0"/>
    <x v="0"/>
    <x v="0"/>
    <x v="2"/>
    <x v="11"/>
  </r>
  <r>
    <s v="ORD-2026-100049"/>
    <s v="CUS86011"/>
    <d v="2026-03-03T00:00:00"/>
    <s v="D016"/>
    <n v="40"/>
    <n v="5.2"/>
    <s v="دراجة نارية"/>
    <s v="16:00-18:00"/>
    <d v="2026-03-03T08:10:00"/>
    <d v="2026-03-03T08:38:00"/>
    <d v="2026-03-03T09:05:00"/>
    <d v="2026-03-03T09:12:00"/>
    <d v="2026-03-03T09:39:00"/>
    <d v="2026-03-03T10:10:00"/>
    <n v="3"/>
    <x v="1"/>
    <s v="جدة"/>
    <s v="الشاطئ"/>
    <s v="مستودع جدة الرئيسي"/>
    <n v="4000"/>
    <x v="0"/>
    <x v="1"/>
    <x v="2"/>
    <x v="1"/>
    <x v="2"/>
    <x v="13"/>
  </r>
  <r>
    <s v="ORD-2026-100050"/>
    <s v="CUS71993"/>
    <d v="2026-03-26T00:00:00"/>
    <s v="D016"/>
    <n v="39"/>
    <n v="7.9"/>
    <s v="سيارة سيدان"/>
    <s v="16:00-18:00"/>
    <d v="2026-03-26T09:15:00"/>
    <d v="2026-03-26T09:37:00"/>
    <d v="2026-03-26T10:35:00"/>
    <d v="2026-03-26T10:54:00"/>
    <d v="2026-03-26T11:24:00"/>
    <d v="2026-03-26T11:41:00"/>
    <n v="6"/>
    <x v="4"/>
    <s v="جدة"/>
    <s v="الشاطئ"/>
    <s v="مستودع جدة الرئيسي"/>
    <n v="4000"/>
    <x v="0"/>
    <x v="0"/>
    <x v="0"/>
    <x v="0"/>
    <x v="4"/>
    <x v="0"/>
  </r>
  <r>
    <s v="ORD-2026-100051"/>
    <s v="CUS44737"/>
    <d v="2026-02-18T00:00:00"/>
    <s v="D013"/>
    <n v="7"/>
    <n v="5"/>
    <s v="شاحنة متوسطة"/>
    <s v="12:00-14:00"/>
    <d v="2026-02-18T09:42:00"/>
    <d v="2026-02-18T09:50:00"/>
    <d v="2026-02-18T10:56:00"/>
    <d v="2026-02-18T11:04:00"/>
    <d v="2026-02-18T11:47:00"/>
    <d v="2026-02-18T12:21:00"/>
    <n v="1"/>
    <x v="1"/>
    <s v="جدة"/>
    <s v="الشاطئ"/>
    <s v="مستودع جدة الرئيسي"/>
    <n v="4000"/>
    <x v="0"/>
    <x v="0"/>
    <x v="0"/>
    <x v="0"/>
    <x v="3"/>
    <x v="4"/>
  </r>
  <r>
    <s v="ORD-2026-100052"/>
    <s v="CUS93066"/>
    <d v="2026-02-13T00:00:00"/>
    <s v="D020"/>
    <n v="26"/>
    <n v="10.8"/>
    <s v="شاحنة متوسطة"/>
    <s v="14:00-16:00"/>
    <d v="2026-02-13T07:21:00"/>
    <d v="2026-02-13T07:46:00"/>
    <d v="2026-02-13T08:58:00"/>
    <d v="2026-02-13T09:04:00"/>
    <d v="2026-02-13T09:53:00"/>
    <d v="2026-02-13T10:02:00"/>
    <n v="2"/>
    <x v="1"/>
    <s v="مكة المكرمة"/>
    <s v="العزيزية"/>
    <s v="مستودع مكة المكرمة"/>
    <n v="2500"/>
    <x v="1"/>
    <x v="1"/>
    <x v="0"/>
    <x v="4"/>
    <x v="0"/>
    <x v="3"/>
  </r>
  <r>
    <s v="ORD-2026-100053"/>
    <s v="CUS89887"/>
    <d v="2026-01-13T00:00:00"/>
    <s v="D015"/>
    <n v="24"/>
    <n v="11.2"/>
    <s v="شاحنة صغيرة"/>
    <s v="12:00-14:00"/>
    <d v="2026-01-13T09:23:00"/>
    <d v="2026-01-13T09:29:00"/>
    <d v="2026-01-13T10:16:00"/>
    <d v="2026-01-13T10:32:00"/>
    <d v="2026-01-13T11:05:00"/>
    <d v="2026-01-13T11:37:00"/>
    <n v="2"/>
    <x v="4"/>
    <s v="جدة"/>
    <s v="الصفا"/>
    <s v="مستودع جدة الرئيسي"/>
    <n v="4000"/>
    <x v="0"/>
    <x v="0"/>
    <x v="0"/>
    <x v="0"/>
    <x v="3"/>
    <x v="8"/>
  </r>
  <r>
    <s v="ORD-2026-100054"/>
    <s v="CUS42780"/>
    <d v="2026-02-18T00:00:00"/>
    <s v="D020"/>
    <n v="14"/>
    <n v="5.9"/>
    <s v="سيارة سيدان"/>
    <s v="14:00-16:00"/>
    <d v="2026-02-18T07:05:00"/>
    <d v="2026-02-18T07:31:00"/>
    <d v="2026-02-18T07:42:00"/>
    <d v="2026-02-18T08:01:00"/>
    <d v="2026-02-18T08:29:00"/>
    <d v="2026-02-18T09:08:00"/>
    <n v="2"/>
    <x v="5"/>
    <s v="جدة"/>
    <s v="الشاطئ"/>
    <s v="مستودع جدة الرئيسي"/>
    <n v="4000"/>
    <x v="1"/>
    <x v="0"/>
    <x v="0"/>
    <x v="0"/>
    <x v="0"/>
    <x v="0"/>
  </r>
  <r>
    <s v="ORD-2026-100055"/>
    <s v="CUS16428"/>
    <d v="2026-02-28T00:00:00"/>
    <s v="D028"/>
    <n v="29"/>
    <n v="10.8"/>
    <s v="شاحنة صغيرة"/>
    <s v="10:00-12:00"/>
    <d v="2026-02-28T07:37:00"/>
    <d v="2026-02-28T08:00:00"/>
    <d v="2026-02-28T08:55:00"/>
    <d v="2026-02-28T09:09:00"/>
    <d v="2026-02-28T10:03:00"/>
    <d v="2026-02-28T10:26:00"/>
    <n v="1"/>
    <x v="1"/>
    <s v="الدمام"/>
    <s v="الفيصلية"/>
    <s v="مستودع الدمام"/>
    <n v="3000"/>
    <x v="0"/>
    <x v="0"/>
    <x v="0"/>
    <x v="0"/>
    <x v="2"/>
    <x v="10"/>
  </r>
  <r>
    <s v="ORD-2026-100056"/>
    <s v="CUS57823"/>
    <d v="2026-03-19T00:00:00"/>
    <s v="D024"/>
    <n v="19"/>
    <n v="8.9"/>
    <s v="سيارة سيدان"/>
    <s v="10:00-12:00"/>
    <d v="2026-03-19T08:42:00"/>
    <d v="2026-03-19T08:53:00"/>
    <d v="2026-03-19T10:22:00"/>
    <d v="2026-03-19T10:35:00"/>
    <d v="2026-03-19T11:28:00"/>
    <d v="2026-03-19T11:41:00"/>
    <n v="6"/>
    <x v="2"/>
    <s v="مكة المكرمة"/>
    <s v="الزاهر"/>
    <s v="مستودع مكة المكرمة"/>
    <n v="2500"/>
    <x v="0"/>
    <x v="0"/>
    <x v="0"/>
    <x v="0"/>
    <x v="2"/>
    <x v="13"/>
  </r>
  <r>
    <s v="ORD-2026-100057"/>
    <s v="CUS25095"/>
    <d v="2026-01-17T00:00:00"/>
    <s v="D003"/>
    <n v="31"/>
    <n v="5.4"/>
    <s v="دراجة نارية"/>
    <s v="20:00-22:00"/>
    <d v="2026-01-17T08:18:00"/>
    <d v="2026-01-17T08:34:00"/>
    <d v="2026-01-17T09:51:00"/>
    <d v="2026-01-17T10:04:00"/>
    <d v="2026-01-17T10:24:00"/>
    <d v="2026-01-17T10:45:00"/>
    <n v="7"/>
    <x v="1"/>
    <s v="الدمام"/>
    <s v="الشاطئ"/>
    <s v="مستودع الدمام"/>
    <n v="3000"/>
    <x v="1"/>
    <x v="0"/>
    <x v="0"/>
    <x v="0"/>
    <x v="0"/>
    <x v="3"/>
  </r>
  <r>
    <s v="ORD-2026-100058"/>
    <s v="CUS59941"/>
    <d v="2026-03-01T00:00:00"/>
    <s v="D003"/>
    <n v="19"/>
    <n v="10.9"/>
    <s v="فان"/>
    <s v="20:00-22:00"/>
    <d v="2026-03-01T09:25:00"/>
    <d v="2026-03-01T09:47:00"/>
    <d v="2026-03-01T10:43:00"/>
    <d v="2026-03-01T10:50:00"/>
    <d v="2026-03-01T11:50:00"/>
    <d v="2026-03-01T12:20:00"/>
    <n v="1"/>
    <x v="6"/>
    <s v="جدة"/>
    <s v="الأندلس"/>
    <s v="مستودع جدة الرئيسي"/>
    <n v="4000"/>
    <x v="0"/>
    <x v="0"/>
    <x v="0"/>
    <x v="0"/>
    <x v="0"/>
    <x v="13"/>
  </r>
  <r>
    <s v="ORD-2026-100059"/>
    <s v="CUS74569"/>
    <d v="2026-03-23T00:00:00"/>
    <s v="D012"/>
    <n v="35"/>
    <n v="4.2"/>
    <s v="شاحنة متوسطة"/>
    <s v="12:00-14:00"/>
    <d v="2026-03-23T09:54:00"/>
    <d v="2026-03-23T10:18:00"/>
    <d v="2026-03-23T10:56:00"/>
    <d v="2026-03-23T11:03:00"/>
    <d v="2026-03-23T11:53:00"/>
    <d v="2026-03-23T12:27:00"/>
    <n v="6"/>
    <x v="1"/>
    <s v="الرياض"/>
    <s v="حطين"/>
    <s v="مستودع الرياض الرئيسي"/>
    <n v="5000"/>
    <x v="0"/>
    <x v="0"/>
    <x v="0"/>
    <x v="0"/>
    <x v="0"/>
    <x v="11"/>
  </r>
  <r>
    <s v="ORD-2026-100060"/>
    <s v="CUS14288"/>
    <d v="2026-01-15T00:00:00"/>
    <s v="D004"/>
    <n v="13"/>
    <n v="7.1"/>
    <s v="سيارة سيدان"/>
    <s v="18:00-20:00"/>
    <d v="2026-01-15T09:10:00"/>
    <d v="2026-01-15T09:37:00"/>
    <d v="2026-01-15T10:56:00"/>
    <d v="2026-01-15T11:14:00"/>
    <d v="2026-01-15T12:01:00"/>
    <d v="2026-01-15T12:15:00"/>
    <n v="4"/>
    <x v="1"/>
    <s v="جدة"/>
    <s v="النزهة"/>
    <s v="مستودع جدة الرئيسي"/>
    <n v="4000"/>
    <x v="0"/>
    <x v="0"/>
    <x v="0"/>
    <x v="0"/>
    <x v="0"/>
    <x v="11"/>
  </r>
  <r>
    <s v="ORD-2026-100061"/>
    <s v="CUS88269"/>
    <d v="2026-03-30T00:00:00"/>
    <s v="D012"/>
    <n v="33"/>
    <n v="11.6"/>
    <s v="سيارة سيدان"/>
    <s v="08:00-10:00"/>
    <d v="2026-03-30T08:55:00"/>
    <d v="2026-03-30T09:11:00"/>
    <d v="2026-03-30T10:30:00"/>
    <d v="2026-03-30T10:46:00"/>
    <d v="2026-03-30T10:59:00"/>
    <d v="2026-03-30T11:29:00"/>
    <n v="3"/>
    <x v="6"/>
    <s v="جدة"/>
    <s v="الشاطئ"/>
    <s v="مستودع جدة الرئيسي"/>
    <n v="4000"/>
    <x v="1"/>
    <x v="1"/>
    <x v="0"/>
    <x v="1"/>
    <x v="3"/>
    <x v="10"/>
  </r>
  <r>
    <s v="ORD-2026-100062"/>
    <s v="CUS46342"/>
    <d v="2026-01-03T00:00:00"/>
    <s v="D002"/>
    <n v="13"/>
    <n v="10.3"/>
    <s v="دراجة نارية"/>
    <s v="08:00-10:00"/>
    <d v="2026-01-03T09:32:00"/>
    <d v="2026-01-03T10:01:00"/>
    <d v="2026-01-03T11:21:00"/>
    <d v="2026-01-03T11:32:00"/>
    <d v="2026-01-03T12:19:00"/>
    <d v="2026-01-03T12:37:00"/>
    <n v="7"/>
    <x v="1"/>
    <s v="الدمام"/>
    <s v="الفيصلية"/>
    <s v="مستودع الدمام"/>
    <n v="3000"/>
    <x v="0"/>
    <x v="0"/>
    <x v="0"/>
    <x v="0"/>
    <x v="0"/>
    <x v="7"/>
  </r>
  <r>
    <s v="ORD-2026-100063"/>
    <s v="CUS57453"/>
    <d v="2026-01-19T00:00:00"/>
    <s v="D005"/>
    <n v="16"/>
    <n v="4.9000000000000004"/>
    <s v="شاحنة صغيرة"/>
    <s v="10:00-12:00"/>
    <d v="2026-01-19T06:03:00"/>
    <d v="2026-01-19T06:19:00"/>
    <d v="2026-01-19T06:59:00"/>
    <d v="2026-01-19T07:14:00"/>
    <d v="2026-01-19T07:25:00"/>
    <d v="2026-01-19T07:41:00"/>
    <n v="3"/>
    <x v="2"/>
    <s v="المدينة المنورة"/>
    <s v="الحرة الغربية"/>
    <s v="مستودع المدينة المنورة"/>
    <n v="2000"/>
    <x v="0"/>
    <x v="0"/>
    <x v="0"/>
    <x v="0"/>
    <x v="1"/>
    <x v="4"/>
  </r>
  <r>
    <s v="ORD-2026-100064"/>
    <s v="CUS68138"/>
    <d v="2026-03-07T00:00:00"/>
    <s v="D019"/>
    <n v="37"/>
    <n v="5.8"/>
    <s v="شاحنة متوسطة"/>
    <s v="08:00-10:00"/>
    <d v="2026-03-07T09:06:00"/>
    <d v="2026-03-07T09:36:00"/>
    <d v="2026-03-07T10:52:00"/>
    <d v="2026-03-07T11:06:00"/>
    <d v="2026-03-07T11:45:00"/>
    <d v="2026-03-07T11:51:00"/>
    <n v="1"/>
    <x v="1"/>
    <s v="الرياض"/>
    <s v="الربوة"/>
    <s v="مستودع الرياض الرئيسي"/>
    <n v="5000"/>
    <x v="0"/>
    <x v="0"/>
    <x v="0"/>
    <x v="0"/>
    <x v="1"/>
    <x v="0"/>
  </r>
  <r>
    <s v="ORD-2026-100065"/>
    <s v="CUS95814"/>
    <d v="2026-01-10T00:00:00"/>
    <s v="D029"/>
    <n v="14"/>
    <n v="4.5"/>
    <s v="سيارة سيدان"/>
    <s v="16:00-18:00"/>
    <d v="2026-01-10T08:42:00"/>
    <d v="2026-01-10T09:05:00"/>
    <d v="2026-01-10T10:25:00"/>
    <d v="2026-01-10T10:40:00"/>
    <d v="2026-01-10T11:14:00"/>
    <d v="2026-01-10T11:57:00"/>
    <n v="5"/>
    <x v="1"/>
    <s v="الرياض"/>
    <s v="الورود"/>
    <s v="مستودع الرياض الرئيسي"/>
    <n v="5000"/>
    <x v="0"/>
    <x v="0"/>
    <x v="0"/>
    <x v="0"/>
    <x v="0"/>
    <x v="8"/>
  </r>
  <r>
    <s v="ORD-2026-100066"/>
    <s v="CUS72163"/>
    <d v="2026-03-25T00:00:00"/>
    <s v="D029"/>
    <n v="32"/>
    <n v="7.6"/>
    <s v="دراجة نارية"/>
    <s v="14:00-16:00"/>
    <d v="2026-03-25T07:26:00"/>
    <d v="2026-03-25T07:45:00"/>
    <d v="2026-03-25T08:46:00"/>
    <d v="2026-03-25T09:04:00"/>
    <d v="2026-03-25T10:00:00"/>
    <d v="2026-03-25T10:11:00"/>
    <n v="3"/>
    <x v="1"/>
    <s v="المدينة المنورة"/>
    <s v="قباء"/>
    <s v="مستودع المدينة المنورة"/>
    <n v="2000"/>
    <x v="0"/>
    <x v="0"/>
    <x v="0"/>
    <x v="0"/>
    <x v="3"/>
    <x v="5"/>
  </r>
  <r>
    <s v="ORD-2026-100067"/>
    <s v="CUS16743"/>
    <d v="2026-01-09T00:00:00"/>
    <s v="D003"/>
    <n v="32"/>
    <n v="4.8"/>
    <s v="سيارة سيدان"/>
    <s v="20:00-22:00"/>
    <d v="2026-01-09T06:33:00"/>
    <d v="2026-01-09T06:55:00"/>
    <d v="2026-01-09T07:12:00"/>
    <d v="2026-01-09T07:27:00"/>
    <d v="2026-01-09T08:19:00"/>
    <d v="2026-01-09T08:31:00"/>
    <n v="4"/>
    <x v="1"/>
    <s v="الرياض"/>
    <s v="النزهة"/>
    <s v="مستودع الرياض الرئيسي"/>
    <n v="5000"/>
    <x v="0"/>
    <x v="0"/>
    <x v="0"/>
    <x v="0"/>
    <x v="0"/>
    <x v="0"/>
  </r>
  <r>
    <s v="ORD-2026-100068"/>
    <s v="CUS91490"/>
    <d v="2026-02-06T00:00:00"/>
    <s v="D020"/>
    <n v="11"/>
    <n v="8.6"/>
    <s v="دراجة نارية"/>
    <s v="10:00-12:00"/>
    <d v="2026-02-06T08:48:00"/>
    <d v="2026-02-06T09:08:00"/>
    <d v="2026-02-06T09:46:00"/>
    <d v="2026-02-06T09:54:00"/>
    <d v="2026-02-06T10:26:00"/>
    <d v="2026-02-06T11:06:00"/>
    <n v="3"/>
    <x v="5"/>
    <s v="الدمام"/>
    <s v="الشاطئ"/>
    <s v="مستودع الدمام"/>
    <n v="3000"/>
    <x v="0"/>
    <x v="0"/>
    <x v="0"/>
    <x v="0"/>
    <x v="0"/>
    <x v="3"/>
  </r>
  <r>
    <s v="ORD-2026-100069"/>
    <s v="CUS22026"/>
    <d v="2026-03-20T00:00:00"/>
    <s v="D022"/>
    <n v="22"/>
    <n v="4.2"/>
    <s v="سيارة سيدان"/>
    <s v="18:00-20:00"/>
    <d v="2026-03-20T09:15:00"/>
    <d v="2026-03-20T09:29:00"/>
    <d v="2026-03-20T10:22:00"/>
    <d v="2026-03-20T10:38:00"/>
    <d v="2026-03-20T10:48:00"/>
    <d v="2026-03-20T11:04:00"/>
    <n v="7"/>
    <x v="2"/>
    <s v="المدينة المنورة"/>
    <s v="العوالي"/>
    <s v="مستودع المدينة المنورة"/>
    <n v="2000"/>
    <x v="0"/>
    <x v="0"/>
    <x v="0"/>
    <x v="0"/>
    <x v="0"/>
    <x v="7"/>
  </r>
  <r>
    <s v="ORD-2026-100070"/>
    <s v="CUS73656"/>
    <d v="2026-03-09T00:00:00"/>
    <s v="D007"/>
    <n v="34"/>
    <n v="6.7"/>
    <s v="سيارة سيدان"/>
    <s v="12:00-14:00"/>
    <d v="2026-03-09T09:04:00"/>
    <d v="2026-03-09T09:19:00"/>
    <d v="2026-03-09T10:41:00"/>
    <d v="2026-03-09T10:48:00"/>
    <d v="2026-03-09T11:01:00"/>
    <d v="2026-03-09T11:15:00"/>
    <n v="2"/>
    <x v="1"/>
    <s v="مكة المكرمة"/>
    <s v="أجياد"/>
    <s v="مستودع مكة المكرمة"/>
    <n v="2500"/>
    <x v="0"/>
    <x v="0"/>
    <x v="0"/>
    <x v="0"/>
    <x v="2"/>
    <x v="12"/>
  </r>
  <r>
    <s v="ORD-2026-100071"/>
    <s v="CUS27987"/>
    <d v="2026-03-19T00:00:00"/>
    <s v="D015"/>
    <n v="18"/>
    <n v="10"/>
    <s v="شاحنة صغيرة"/>
    <s v="12:00-14:00"/>
    <d v="2026-03-19T07:50:00"/>
    <d v="2026-03-19T07:58:00"/>
    <d v="2026-03-19T08:44:00"/>
    <d v="2026-03-19T09:04:00"/>
    <d v="2026-03-19T09:47:00"/>
    <d v="2026-03-19T10:11:00"/>
    <n v="1"/>
    <x v="0"/>
    <s v="مكة المكرمة"/>
    <s v="الزاهر"/>
    <s v="مستودع مكة المكرمة"/>
    <n v="2500"/>
    <x v="0"/>
    <x v="0"/>
    <x v="0"/>
    <x v="0"/>
    <x v="0"/>
    <x v="3"/>
  </r>
  <r>
    <s v="ORD-2026-100072"/>
    <s v="CUS12456"/>
    <d v="2026-02-02T00:00:00"/>
    <s v="D010"/>
    <n v="5"/>
    <n v="8"/>
    <s v="فان"/>
    <s v="10:00-12:00"/>
    <d v="2026-02-02T06:33:00"/>
    <d v="2026-02-02T06:50:00"/>
    <d v="2026-02-02T08:08:00"/>
    <d v="2026-02-02T08:20:00"/>
    <d v="2026-02-02T09:02:00"/>
    <d v="2026-02-02T09:42:00"/>
    <n v="7"/>
    <x v="1"/>
    <s v="الدمام"/>
    <s v="العزيزية"/>
    <s v="مستودع الدمام"/>
    <n v="3000"/>
    <x v="0"/>
    <x v="0"/>
    <x v="0"/>
    <x v="0"/>
    <x v="0"/>
    <x v="12"/>
  </r>
  <r>
    <s v="ORD-2026-100073"/>
    <s v="CUS67104"/>
    <d v="2026-02-28T00:00:00"/>
    <s v="D030"/>
    <n v="32"/>
    <n v="8.6"/>
    <s v="فان"/>
    <s v="12:00-14:00"/>
    <d v="2026-02-28T06:29:00"/>
    <d v="2026-02-28T06:46:00"/>
    <d v="2026-02-28T06:58:00"/>
    <d v="2026-02-28T07:13:00"/>
    <d v="2026-02-28T07:33:00"/>
    <d v="2026-02-28T08:17:00"/>
    <n v="4"/>
    <x v="1"/>
    <s v="الرياض"/>
    <s v="الورود"/>
    <s v="مستودع الرياض الرئيسي"/>
    <n v="5000"/>
    <x v="0"/>
    <x v="0"/>
    <x v="0"/>
    <x v="0"/>
    <x v="0"/>
    <x v="2"/>
  </r>
  <r>
    <s v="ORD-2026-100074"/>
    <s v="CUS94599"/>
    <d v="2026-03-17T00:00:00"/>
    <s v="D013"/>
    <n v="30"/>
    <n v="11"/>
    <s v="سيارة سيدان"/>
    <s v="10:00-12:00"/>
    <d v="2026-03-17T07:25:00"/>
    <d v="2026-03-17T07:54:00"/>
    <d v="2026-03-17T08:25:00"/>
    <d v="2026-03-17T08:32:00"/>
    <d v="2026-03-17T09:14:00"/>
    <d v="2026-03-17T09:59:00"/>
    <n v="1"/>
    <x v="1"/>
    <s v="المدينة المنورة"/>
    <s v="العوالي"/>
    <s v="مستودع المدينة المنورة"/>
    <n v="2000"/>
    <x v="0"/>
    <x v="0"/>
    <x v="0"/>
    <x v="0"/>
    <x v="2"/>
    <x v="1"/>
  </r>
  <r>
    <s v="ORD-2026-100075"/>
    <s v="CUS83989"/>
    <d v="2026-01-19T00:00:00"/>
    <s v="D008"/>
    <n v="21"/>
    <n v="5.6"/>
    <s v="شاحنة متوسطة"/>
    <s v="10:00-12:00"/>
    <d v="2026-01-19T09:14:00"/>
    <d v="2026-01-19T09:43:00"/>
    <d v="2026-01-19T10:02:00"/>
    <d v="2026-01-19T10:12:00"/>
    <d v="2026-01-19T11:11:00"/>
    <d v="2026-01-19T11:56:00"/>
    <n v="4"/>
    <x v="1"/>
    <s v="الرياض"/>
    <s v="الملقا"/>
    <s v="مستودع الرياض الرئيسي"/>
    <n v="5000"/>
    <x v="0"/>
    <x v="0"/>
    <x v="0"/>
    <x v="0"/>
    <x v="0"/>
    <x v="5"/>
  </r>
  <r>
    <s v="ORD-2026-100076"/>
    <s v="CUS47627"/>
    <d v="2026-03-24T00:00:00"/>
    <s v="D021"/>
    <n v="25"/>
    <n v="5.2"/>
    <s v="شاحنة صغيرة"/>
    <s v="14:00-16:00"/>
    <d v="2026-03-24T07:53:00"/>
    <d v="2026-03-24T08:18:00"/>
    <d v="2026-03-24T09:06:00"/>
    <d v="2026-03-24T09:19:00"/>
    <d v="2026-03-24T10:06:00"/>
    <d v="2026-03-24T10:14:00"/>
    <n v="3"/>
    <x v="1"/>
    <s v="المدينة المنورة"/>
    <s v="الحرة الغربية"/>
    <s v="مستودع المدينة المنورة"/>
    <n v="2000"/>
    <x v="0"/>
    <x v="0"/>
    <x v="0"/>
    <x v="0"/>
    <x v="1"/>
    <x v="1"/>
  </r>
  <r>
    <s v="ORD-2026-100077"/>
    <s v="CUS55015"/>
    <d v="2026-01-10T00:00:00"/>
    <s v="D021"/>
    <n v="34"/>
    <n v="8.6"/>
    <s v="شاحنة صغيرة"/>
    <s v="14:00-16:00"/>
    <d v="2026-01-10T09:52:00"/>
    <d v="2026-01-10T10:22:00"/>
    <d v="2026-01-10T11:45:00"/>
    <d v="2026-01-10T11:56:00"/>
    <d v="2026-01-10T12:26:00"/>
    <d v="2026-01-10T13:09:00"/>
    <n v="4"/>
    <x v="1"/>
    <s v="الرياض"/>
    <s v="السليمانية"/>
    <s v="مستودع الرياض الرئيسي"/>
    <n v="5000"/>
    <x v="1"/>
    <x v="0"/>
    <x v="0"/>
    <x v="0"/>
    <x v="0"/>
    <x v="1"/>
  </r>
  <r>
    <s v="ORD-2026-100078"/>
    <s v="CUS53863"/>
    <d v="2026-01-11T00:00:00"/>
    <s v="D017"/>
    <n v="20"/>
    <n v="9.6999999999999993"/>
    <s v="فان"/>
    <s v="16:00-18:00"/>
    <d v="2026-01-11T08:13:00"/>
    <d v="2026-01-11T08:37:00"/>
    <d v="2026-01-11T09:07:00"/>
    <d v="2026-01-11T09:23:00"/>
    <d v="2026-01-11T09:56:00"/>
    <d v="2026-01-11T10:19:00"/>
    <n v="4"/>
    <x v="1"/>
    <s v="جدة"/>
    <s v="الحمراء"/>
    <s v="مستودع جدة الرئيسي"/>
    <n v="4000"/>
    <x v="0"/>
    <x v="0"/>
    <x v="0"/>
    <x v="0"/>
    <x v="0"/>
    <x v="10"/>
  </r>
  <r>
    <s v="ORD-2026-100079"/>
    <s v="CUS83259"/>
    <d v="2026-01-09T00:00:00"/>
    <s v="D011"/>
    <n v="23"/>
    <n v="6"/>
    <s v="شاحنة متوسطة"/>
    <s v="20:00-22:00"/>
    <d v="2026-01-09T06:38:00"/>
    <d v="2026-01-09T06:53:00"/>
    <d v="2026-01-09T07:13:00"/>
    <d v="2026-01-09T07:22:00"/>
    <d v="2026-01-09T07:54:00"/>
    <d v="2026-01-09T08:18:00"/>
    <n v="6"/>
    <x v="1"/>
    <s v="الرياض"/>
    <s v="السليمانية"/>
    <s v="مستودع الرياض الرئيسي"/>
    <n v="5000"/>
    <x v="0"/>
    <x v="0"/>
    <x v="0"/>
    <x v="0"/>
    <x v="0"/>
    <x v="11"/>
  </r>
  <r>
    <s v="ORD-2026-100080"/>
    <s v="CUS48770"/>
    <d v="2026-02-18T00:00:00"/>
    <s v="D021"/>
    <n v="38"/>
    <n v="4.7"/>
    <s v="فان"/>
    <s v="16:00-18:00"/>
    <d v="2026-02-18T07:32:00"/>
    <d v="2026-02-18T07:37:00"/>
    <d v="2026-02-18T08:33:00"/>
    <d v="2026-02-18T08:47:00"/>
    <d v="2026-02-18T09:08:00"/>
    <d v="2026-02-18T09:26:00"/>
    <n v="3"/>
    <x v="1"/>
    <s v="الدمام"/>
    <s v="الفيصلية"/>
    <s v="مستودع الدمام"/>
    <n v="3000"/>
    <x v="0"/>
    <x v="0"/>
    <x v="0"/>
    <x v="0"/>
    <x v="3"/>
    <x v="8"/>
  </r>
  <r>
    <s v="ORD-2026-100081"/>
    <s v="CUS41133"/>
    <d v="2026-01-13T00:00:00"/>
    <s v="D017"/>
    <n v="26"/>
    <n v="11"/>
    <s v="شاحنة متوسطة"/>
    <s v="10:00-12:00"/>
    <d v="2026-01-13T08:32:00"/>
    <d v="2026-01-13T08:49:00"/>
    <d v="2026-01-13T09:18:00"/>
    <d v="2026-01-13T09:28:00"/>
    <d v="2026-01-13T09:49:00"/>
    <d v="2026-01-13T10:33:00"/>
    <n v="7"/>
    <x v="1"/>
    <s v="المدينة المنورة"/>
    <s v="العوالي"/>
    <s v="مستودع المدينة المنورة"/>
    <n v="2000"/>
    <x v="0"/>
    <x v="0"/>
    <x v="0"/>
    <x v="0"/>
    <x v="2"/>
    <x v="0"/>
  </r>
  <r>
    <s v="ORD-2026-100082"/>
    <s v="CUS36174"/>
    <d v="2026-02-26T00:00:00"/>
    <s v="D020"/>
    <n v="19"/>
    <n v="8.3000000000000007"/>
    <s v="سيارة سيدان"/>
    <s v="20:00-22:00"/>
    <d v="2026-02-26T09:20:00"/>
    <d v="2026-02-26T09:40:00"/>
    <d v="2026-02-26T10:14:00"/>
    <d v="2026-02-26T10:30:00"/>
    <d v="2026-02-26T11:23:00"/>
    <d v="2026-02-26T12:04:00"/>
    <n v="4"/>
    <x v="1"/>
    <s v="الدمام"/>
    <s v="الجلوية"/>
    <s v="مستودع الدمام"/>
    <n v="3000"/>
    <x v="0"/>
    <x v="0"/>
    <x v="0"/>
    <x v="0"/>
    <x v="2"/>
    <x v="14"/>
  </r>
  <r>
    <s v="ORD-2026-100083"/>
    <s v="CUS55820"/>
    <d v="2026-03-19T00:00:00"/>
    <s v="D005"/>
    <n v="35"/>
    <n v="11"/>
    <s v="شاحنة متوسطة"/>
    <s v="08:00-10:00"/>
    <d v="2026-03-19T09:02:00"/>
    <d v="2026-03-19T09:23:00"/>
    <d v="2026-03-19T09:48:00"/>
    <d v="2026-03-19T10:02:00"/>
    <d v="2026-03-19T10:17:00"/>
    <d v="2026-03-19T10:32:00"/>
    <n v="3"/>
    <x v="1"/>
    <s v="الدمام"/>
    <s v="العزيزية"/>
    <s v="مستودع الدمام"/>
    <n v="3000"/>
    <x v="0"/>
    <x v="1"/>
    <x v="0"/>
    <x v="2"/>
    <x v="0"/>
    <x v="5"/>
  </r>
  <r>
    <s v="ORD-2026-100084"/>
    <s v="CUS10688"/>
    <d v="2026-01-04T00:00:00"/>
    <s v="D014"/>
    <n v="37"/>
    <n v="7"/>
    <s v="فان"/>
    <s v="08:00-10:00"/>
    <d v="2026-01-04T07:35:00"/>
    <d v="2026-01-04T07:47:00"/>
    <d v="2026-01-04T08:00:00"/>
    <d v="2026-01-04T08:15:00"/>
    <d v="2026-01-04T08:31:00"/>
    <d v="2026-01-04T08:57:00"/>
    <n v="7"/>
    <x v="6"/>
    <s v="الرياض"/>
    <s v="السليمانية"/>
    <s v="مستودع الرياض الرئيسي"/>
    <n v="5000"/>
    <x v="0"/>
    <x v="1"/>
    <x v="1"/>
    <x v="1"/>
    <x v="2"/>
    <x v="13"/>
  </r>
  <r>
    <s v="ORD-2026-100085"/>
    <s v="CUS75513"/>
    <d v="2026-01-11T00:00:00"/>
    <s v="D001"/>
    <n v="14"/>
    <n v="8.4"/>
    <s v="شاحنة متوسطة"/>
    <s v="16:00-18:00"/>
    <d v="2026-01-11T07:48:00"/>
    <d v="2026-01-11T07:56:00"/>
    <d v="2026-01-11T08:42:00"/>
    <d v="2026-01-11T08:54:00"/>
    <d v="2026-01-11T09:23:00"/>
    <d v="2026-01-11T09:35:00"/>
    <n v="1"/>
    <x v="2"/>
    <s v="الدمام"/>
    <s v="الفيصلية"/>
    <s v="مستودع الدمام"/>
    <n v="3000"/>
    <x v="0"/>
    <x v="0"/>
    <x v="0"/>
    <x v="0"/>
    <x v="1"/>
    <x v="5"/>
  </r>
  <r>
    <s v="ORD-2026-100086"/>
    <s v="CUS82633"/>
    <d v="2026-03-18T00:00:00"/>
    <s v="D018"/>
    <n v="14"/>
    <n v="6.3"/>
    <s v="شاحنة صغيرة"/>
    <s v="16:00-18:00"/>
    <d v="2026-03-18T07:30:00"/>
    <d v="2026-03-18T07:42:00"/>
    <d v="2026-03-18T09:05:00"/>
    <d v="2026-03-18T09:23:00"/>
    <d v="2026-03-18T09:44:00"/>
    <d v="2026-03-18T09:54:00"/>
    <n v="5"/>
    <x v="1"/>
    <s v="الرياض"/>
    <s v="حطين"/>
    <s v="مستودع الرياض الرئيسي"/>
    <n v="5000"/>
    <x v="0"/>
    <x v="0"/>
    <x v="0"/>
    <x v="0"/>
    <x v="2"/>
    <x v="9"/>
  </r>
  <r>
    <s v="ORD-2026-100087"/>
    <s v="CUS54374"/>
    <d v="2026-01-03T00:00:00"/>
    <s v="D013"/>
    <n v="29"/>
    <n v="11.8"/>
    <s v="سيارة سيدان"/>
    <s v="18:00-20:00"/>
    <d v="2026-01-03T06:04:00"/>
    <d v="2026-01-03T06:20:00"/>
    <d v="2026-01-03T06:38:00"/>
    <d v="2026-01-03T06:54:00"/>
    <d v="2026-01-03T07:19:00"/>
    <d v="2026-01-03T08:04:00"/>
    <n v="1"/>
    <x v="1"/>
    <s v="مكة المكرمة"/>
    <s v="العزيزية"/>
    <s v="مستودع مكة المكرمة"/>
    <n v="2500"/>
    <x v="0"/>
    <x v="0"/>
    <x v="0"/>
    <x v="0"/>
    <x v="4"/>
    <x v="9"/>
  </r>
  <r>
    <s v="ORD-2026-100088"/>
    <s v="CUS81176"/>
    <d v="2026-03-24T00:00:00"/>
    <s v="D006"/>
    <n v="16"/>
    <n v="10.5"/>
    <s v="شاحنة صغيرة"/>
    <s v="18:00-20:00"/>
    <d v="2026-03-24T09:18:00"/>
    <d v="2026-03-24T09:37:00"/>
    <d v="2026-03-24T09:51:00"/>
    <d v="2026-03-24T10:05:00"/>
    <d v="2026-03-24T10:27:00"/>
    <d v="2026-03-24T10:34:00"/>
    <n v="7"/>
    <x v="6"/>
    <s v="مكة المكرمة"/>
    <s v="أجياد"/>
    <s v="مستودع مكة المكرمة"/>
    <n v="2500"/>
    <x v="0"/>
    <x v="0"/>
    <x v="0"/>
    <x v="0"/>
    <x v="2"/>
    <x v="1"/>
  </r>
  <r>
    <s v="ORD-2026-100089"/>
    <s v="CUS75211"/>
    <d v="2026-03-02T00:00:00"/>
    <s v="D009"/>
    <n v="23"/>
    <n v="6.9"/>
    <s v="شاحنة صغيرة"/>
    <s v="20:00-22:00"/>
    <d v="2026-03-02T08:47:00"/>
    <d v="2026-03-02T09:02:00"/>
    <d v="2026-03-02T09:46:00"/>
    <d v="2026-03-02T09:54:00"/>
    <d v="2026-03-02T10:27:00"/>
    <d v="2026-03-02T10:59:00"/>
    <n v="4"/>
    <x v="1"/>
    <s v="الرياض"/>
    <s v="حطين"/>
    <s v="مستودع الرياض الرئيسي"/>
    <n v="5000"/>
    <x v="0"/>
    <x v="0"/>
    <x v="0"/>
    <x v="0"/>
    <x v="0"/>
    <x v="4"/>
  </r>
  <r>
    <s v="ORD-2026-100090"/>
    <s v="CUS68183"/>
    <d v="2026-02-17T00:00:00"/>
    <s v="D030"/>
    <n v="10"/>
    <n v="9.8000000000000007"/>
    <s v="شاحنة صغيرة"/>
    <s v="14:00-16:00"/>
    <d v="2026-02-17T08:34:00"/>
    <d v="2026-02-17T08:44:00"/>
    <d v="2026-02-17T10:03:00"/>
    <d v="2026-02-17T10:17:00"/>
    <d v="2026-02-17T10:47:00"/>
    <d v="2026-02-17T10:58:00"/>
    <n v="1"/>
    <x v="1"/>
    <s v="المدينة المنورة"/>
    <s v="الحرة الغربية"/>
    <s v="مستودع المدينة المنورة"/>
    <n v="2000"/>
    <x v="0"/>
    <x v="0"/>
    <x v="0"/>
    <x v="0"/>
    <x v="0"/>
    <x v="14"/>
  </r>
  <r>
    <s v="ORD-2026-100091"/>
    <s v="CUS94562"/>
    <d v="2026-02-14T00:00:00"/>
    <s v="D015"/>
    <n v="32"/>
    <n v="6.2"/>
    <s v="شاحنة صغيرة"/>
    <s v="08:00-10:00"/>
    <d v="2026-02-14T08:51:00"/>
    <d v="2026-02-14T09:16:00"/>
    <d v="2026-02-14T10:17:00"/>
    <d v="2026-02-14T10:33:00"/>
    <d v="2026-02-14T11:15:00"/>
    <d v="2026-02-14T11:30:00"/>
    <n v="1"/>
    <x v="0"/>
    <s v="الرياض"/>
    <s v="الورود"/>
    <s v="مستودع الرياض الرئيسي"/>
    <n v="5000"/>
    <x v="0"/>
    <x v="0"/>
    <x v="0"/>
    <x v="0"/>
    <x v="1"/>
    <x v="2"/>
  </r>
  <r>
    <s v="ORD-2026-100092"/>
    <s v="CUS60723"/>
    <d v="2026-02-16T00:00:00"/>
    <s v="D012"/>
    <n v="7"/>
    <n v="8.8000000000000007"/>
    <s v="فان"/>
    <s v="12:00-14:00"/>
    <d v="2026-02-16T07:35:00"/>
    <d v="2026-02-16T07:54:00"/>
    <d v="2026-02-16T08:13:00"/>
    <d v="2026-02-16T08:22:00"/>
    <d v="2026-02-16T09:05:00"/>
    <d v="2026-02-16T09:33:00"/>
    <n v="4"/>
    <x v="1"/>
    <s v="مكة المكرمة"/>
    <s v="المسفلة"/>
    <s v="مستودع مكة المكرمة"/>
    <n v="2500"/>
    <x v="0"/>
    <x v="1"/>
    <x v="0"/>
    <x v="1"/>
    <x v="3"/>
    <x v="9"/>
  </r>
  <r>
    <s v="ORD-2026-100093"/>
    <s v="CUS51889"/>
    <d v="2026-03-13T00:00:00"/>
    <s v="D004"/>
    <n v="33"/>
    <n v="5.7"/>
    <s v="شاحنة متوسطة"/>
    <s v="12:00-14:00"/>
    <d v="2026-03-13T08:57:00"/>
    <d v="2026-03-13T09:17:00"/>
    <d v="2026-03-13T09:52:00"/>
    <d v="2026-03-13T10:00:00"/>
    <d v="2026-03-13T10:18:00"/>
    <d v="2026-03-13T10:27:00"/>
    <n v="4"/>
    <x v="2"/>
    <s v="الدمام"/>
    <s v="الشاطئ"/>
    <s v="مستودع الدمام"/>
    <n v="3000"/>
    <x v="0"/>
    <x v="0"/>
    <x v="0"/>
    <x v="0"/>
    <x v="0"/>
    <x v="1"/>
  </r>
  <r>
    <s v="ORD-2026-100094"/>
    <s v="CUS82305"/>
    <d v="2026-03-27T00:00:00"/>
    <s v="D012"/>
    <n v="24"/>
    <n v="10.8"/>
    <s v="دراجة نارية"/>
    <s v="20:00-22:00"/>
    <d v="2026-03-27T07:32:00"/>
    <d v="2026-03-27T07:53:00"/>
    <d v="2026-03-27T08:31:00"/>
    <d v="2026-03-27T08:39:00"/>
    <d v="2026-03-27T09:01:00"/>
    <d v="2026-03-27T09:14:00"/>
    <n v="2"/>
    <x v="1"/>
    <s v="الرياض"/>
    <s v="الروضة"/>
    <s v="مستودع الرياض الرئيسي"/>
    <n v="5000"/>
    <x v="0"/>
    <x v="0"/>
    <x v="0"/>
    <x v="0"/>
    <x v="2"/>
    <x v="3"/>
  </r>
  <r>
    <s v="ORD-2026-100095"/>
    <s v="CUS82260"/>
    <d v="2026-01-17T00:00:00"/>
    <s v="D020"/>
    <n v="24"/>
    <n v="7.2"/>
    <s v="فان"/>
    <s v="16:00-18:00"/>
    <d v="2026-01-17T07:45:00"/>
    <d v="2026-01-17T08:14:00"/>
    <d v="2026-01-17T09:16:00"/>
    <d v="2026-01-17T09:23:00"/>
    <d v="2026-01-17T09:41:00"/>
    <d v="2026-01-17T10:06:00"/>
    <n v="6"/>
    <x v="4"/>
    <s v="الرياض"/>
    <s v="النزهة"/>
    <s v="مستودع الرياض الرئيسي"/>
    <n v="5000"/>
    <x v="0"/>
    <x v="0"/>
    <x v="0"/>
    <x v="0"/>
    <x v="0"/>
    <x v="3"/>
  </r>
  <r>
    <s v="ORD-2026-100096"/>
    <s v="CUS82199"/>
    <d v="2026-03-23T00:00:00"/>
    <s v="D019"/>
    <n v="13"/>
    <n v="7.5"/>
    <s v="شاحنة صغيرة"/>
    <s v="20:00-22:00"/>
    <d v="2026-03-23T06:31:00"/>
    <d v="2026-03-23T06:52:00"/>
    <d v="2026-03-23T07:21:00"/>
    <d v="2026-03-23T07:35:00"/>
    <d v="2026-03-23T07:55:00"/>
    <d v="2026-03-23T08:10:00"/>
    <n v="3"/>
    <x v="1"/>
    <s v="جدة"/>
    <s v="الأندلس"/>
    <s v="مستودع جدة الرئيسي"/>
    <n v="4000"/>
    <x v="0"/>
    <x v="1"/>
    <x v="2"/>
    <x v="3"/>
    <x v="3"/>
    <x v="10"/>
  </r>
  <r>
    <s v="ORD-2026-100097"/>
    <s v="CUS64602"/>
    <d v="2026-02-05T00:00:00"/>
    <s v="D005"/>
    <n v="39"/>
    <n v="4.7"/>
    <s v="دراجة نارية"/>
    <s v="16:00-18:00"/>
    <d v="2026-02-05T08:28:00"/>
    <d v="2026-02-05T08:37:00"/>
    <d v="2026-02-05T09:08:00"/>
    <d v="2026-02-05T09:23:00"/>
    <d v="2026-02-05T10:09:00"/>
    <d v="2026-02-05T10:16:00"/>
    <n v="7"/>
    <x v="1"/>
    <s v="الدمام"/>
    <s v="المزروعية"/>
    <s v="مستودع الدمام"/>
    <n v="3000"/>
    <x v="0"/>
    <x v="1"/>
    <x v="2"/>
    <x v="1"/>
    <x v="3"/>
    <x v="13"/>
  </r>
  <r>
    <s v="ORD-2026-100098"/>
    <s v="CUS50970"/>
    <d v="2026-03-21T00:00:00"/>
    <s v="D021"/>
    <n v="39"/>
    <n v="6.3"/>
    <s v="سيارة سيدان"/>
    <s v="14:00-16:00"/>
    <d v="2026-03-21T07:02:00"/>
    <d v="2026-03-21T07:32:00"/>
    <d v="2026-03-21T08:33:00"/>
    <d v="2026-03-21T08:47:00"/>
    <d v="2026-03-21T09:26:00"/>
    <d v="2026-03-21T09:35:00"/>
    <n v="6"/>
    <x v="4"/>
    <s v="الرياض"/>
    <s v="الربوة"/>
    <s v="مستودع الرياض الرئيسي"/>
    <n v="5000"/>
    <x v="0"/>
    <x v="0"/>
    <x v="0"/>
    <x v="0"/>
    <x v="2"/>
    <x v="14"/>
  </r>
  <r>
    <s v="ORD-2026-100099"/>
    <s v="CUS30932"/>
    <d v="2026-02-10T00:00:00"/>
    <s v="D024"/>
    <n v="13"/>
    <n v="10.1"/>
    <s v="شاحنة متوسطة"/>
    <s v="16:00-18:00"/>
    <d v="2026-02-10T06:27:00"/>
    <d v="2026-02-10T06:42:00"/>
    <d v="2026-02-10T07:22:00"/>
    <d v="2026-02-10T07:41:00"/>
    <d v="2026-02-10T07:58:00"/>
    <d v="2026-02-10T08:20:00"/>
    <n v="4"/>
    <x v="6"/>
    <s v="الدمام"/>
    <s v="الجلوية"/>
    <s v="مستودع الدمام"/>
    <n v="3000"/>
    <x v="0"/>
    <x v="1"/>
    <x v="3"/>
    <x v="2"/>
    <x v="0"/>
    <x v="5"/>
  </r>
  <r>
    <s v="ORD-2026-100100"/>
    <s v="CUS46877"/>
    <d v="2026-02-11T00:00:00"/>
    <s v="D030"/>
    <n v="17"/>
    <n v="10.1"/>
    <s v="فان"/>
    <s v="16:00-18:00"/>
    <d v="2026-02-11T07:59:00"/>
    <d v="2026-02-11T08:19:00"/>
    <d v="2026-02-11T09:08:00"/>
    <d v="2026-02-11T09:28:00"/>
    <d v="2026-02-11T09:39:00"/>
    <d v="2026-02-11T09:49:00"/>
    <n v="4"/>
    <x v="1"/>
    <s v="المدينة المنورة"/>
    <s v="الحرة الغربية"/>
    <s v="مستودع المدينة المنورة"/>
    <n v="2000"/>
    <x v="1"/>
    <x v="0"/>
    <x v="0"/>
    <x v="0"/>
    <x v="2"/>
    <x v="7"/>
  </r>
  <r>
    <s v="ORD-2026-100101"/>
    <s v="CUS69028"/>
    <d v="2026-03-05T00:00:00"/>
    <s v="D020"/>
    <n v="39"/>
    <n v="4.0999999999999996"/>
    <s v="شاحنة صغيرة"/>
    <s v="14:00-16:00"/>
    <d v="2026-03-05T06:34:00"/>
    <d v="2026-03-05T06:47:00"/>
    <d v="2026-03-05T07:43:00"/>
    <d v="2026-03-05T08:00:00"/>
    <d v="2026-03-05T08:33:00"/>
    <d v="2026-03-05T08:40:00"/>
    <n v="4"/>
    <x v="0"/>
    <s v="مكة المكرمة"/>
    <s v="الزاهر"/>
    <s v="مستودع مكة المكرمة"/>
    <n v="2500"/>
    <x v="0"/>
    <x v="0"/>
    <x v="0"/>
    <x v="0"/>
    <x v="1"/>
    <x v="9"/>
  </r>
  <r>
    <s v="ORD-2026-100102"/>
    <s v="CUS53652"/>
    <d v="2026-03-12T00:00:00"/>
    <s v="D009"/>
    <n v="13"/>
    <n v="11.8"/>
    <s v="فان"/>
    <s v="12:00-14:00"/>
    <d v="2026-03-12T09:23:00"/>
    <d v="2026-03-12T09:38:00"/>
    <d v="2026-03-12T10:59:00"/>
    <d v="2026-03-12T11:15:00"/>
    <d v="2026-03-12T12:13:00"/>
    <d v="2026-03-12T12:27:00"/>
    <n v="2"/>
    <x v="1"/>
    <s v="المدينة المنورة"/>
    <s v="العوالي"/>
    <s v="مستودع المدينة المنورة"/>
    <n v="2000"/>
    <x v="0"/>
    <x v="0"/>
    <x v="0"/>
    <x v="0"/>
    <x v="4"/>
    <x v="0"/>
  </r>
  <r>
    <s v="ORD-2026-100103"/>
    <s v="CUS12180"/>
    <d v="2026-03-02T00:00:00"/>
    <s v="D017"/>
    <n v="37"/>
    <n v="5.0999999999999996"/>
    <s v="شاحنة متوسطة"/>
    <s v="12:00-14:00"/>
    <d v="2026-03-02T06:41:00"/>
    <d v="2026-03-02T06:58:00"/>
    <d v="2026-03-02T08:26:00"/>
    <d v="2026-03-02T08:40:00"/>
    <d v="2026-03-02T09:27:00"/>
    <d v="2026-03-02T09:53:00"/>
    <n v="5"/>
    <x v="1"/>
    <s v="مكة المكرمة"/>
    <s v="الشوقية"/>
    <s v="مستودع مكة المكرمة"/>
    <n v="2500"/>
    <x v="0"/>
    <x v="0"/>
    <x v="0"/>
    <x v="0"/>
    <x v="2"/>
    <x v="1"/>
  </r>
  <r>
    <s v="ORD-2026-100104"/>
    <s v="CUS29369"/>
    <d v="2026-02-17T00:00:00"/>
    <s v="D011"/>
    <n v="24"/>
    <n v="10.4"/>
    <s v="شاحنة صغيرة"/>
    <s v="16:00-18:00"/>
    <d v="2026-02-17T08:01:00"/>
    <d v="2026-02-17T08:14:00"/>
    <d v="2026-02-17T09:38:00"/>
    <d v="2026-02-17T09:50:00"/>
    <d v="2026-02-17T10:46:00"/>
    <d v="2026-02-17T10:54:00"/>
    <n v="5"/>
    <x v="1"/>
    <s v="الرياض"/>
    <s v="السليمانية"/>
    <s v="مستودع الرياض الرئيسي"/>
    <n v="5000"/>
    <x v="0"/>
    <x v="0"/>
    <x v="0"/>
    <x v="0"/>
    <x v="0"/>
    <x v="12"/>
  </r>
  <r>
    <s v="ORD-2026-100105"/>
    <s v="CUS83516"/>
    <d v="2026-03-29T00:00:00"/>
    <s v="D008"/>
    <n v="17"/>
    <n v="4.2"/>
    <s v="سيارة سيدان"/>
    <s v="14:00-16:00"/>
    <d v="2026-03-29T06:38:00"/>
    <d v="2026-03-29T06:56:00"/>
    <d v="2026-03-29T07:32:00"/>
    <d v="2026-03-29T07:50:00"/>
    <d v="2026-03-29T08:32:00"/>
    <d v="2026-03-29T09:16:00"/>
    <n v="4"/>
    <x v="1"/>
    <s v="الرياض"/>
    <s v="النزهة"/>
    <s v="مستودع الرياض الرئيسي"/>
    <n v="5000"/>
    <x v="0"/>
    <x v="0"/>
    <x v="0"/>
    <x v="0"/>
    <x v="3"/>
    <x v="2"/>
  </r>
  <r>
    <s v="ORD-2026-100106"/>
    <s v="CUS47880"/>
    <d v="2026-02-11T00:00:00"/>
    <s v="D022"/>
    <n v="29"/>
    <n v="6.5"/>
    <s v="دراجة نارية"/>
    <s v="14:00-16:00"/>
    <d v="2026-02-11T09:53:00"/>
    <d v="2026-02-11T10:15:00"/>
    <d v="2026-02-11T11:08:00"/>
    <d v="2026-02-11T11:24:00"/>
    <d v="2026-02-11T12:17:00"/>
    <d v="2026-02-11T12:38:00"/>
    <n v="5"/>
    <x v="1"/>
    <s v="مكة المكرمة"/>
    <s v="المسفلة"/>
    <s v="مستودع مكة المكرمة"/>
    <n v="2500"/>
    <x v="1"/>
    <x v="0"/>
    <x v="0"/>
    <x v="0"/>
    <x v="2"/>
    <x v="11"/>
  </r>
  <r>
    <s v="ORD-2026-100107"/>
    <s v="CUS67983"/>
    <d v="2026-01-27T00:00:00"/>
    <s v="D023"/>
    <n v="35"/>
    <n v="6.8"/>
    <s v="سيارة سيدان"/>
    <s v="12:00-14:00"/>
    <d v="2026-01-27T06:31:00"/>
    <d v="2026-01-27T06:54:00"/>
    <d v="2026-01-27T08:13:00"/>
    <d v="2026-01-27T08:30:00"/>
    <d v="2026-01-27T09:05:00"/>
    <d v="2026-01-27T09:32:00"/>
    <n v="7"/>
    <x v="1"/>
    <s v="مكة المكرمة"/>
    <s v="الزاهر"/>
    <s v="مستودع مكة المكرمة"/>
    <n v="2500"/>
    <x v="0"/>
    <x v="0"/>
    <x v="0"/>
    <x v="0"/>
    <x v="0"/>
    <x v="6"/>
  </r>
  <r>
    <s v="ORD-2026-100108"/>
    <s v="CUS64172"/>
    <d v="2026-03-25T00:00:00"/>
    <s v="D009"/>
    <n v="17"/>
    <n v="10.6"/>
    <s v="سيارة سيدان"/>
    <s v="16:00-18:00"/>
    <d v="2026-03-25T08:58:00"/>
    <d v="2026-03-25T09:11:00"/>
    <d v="2026-03-25T09:38:00"/>
    <d v="2026-03-25T09:46:00"/>
    <d v="2026-03-25T10:35:00"/>
    <d v="2026-03-25T11:17:00"/>
    <n v="2"/>
    <x v="2"/>
    <s v="مكة المكرمة"/>
    <s v="الشوقية"/>
    <s v="مستودع مكة المكرمة"/>
    <n v="2500"/>
    <x v="0"/>
    <x v="0"/>
    <x v="0"/>
    <x v="0"/>
    <x v="3"/>
    <x v="8"/>
  </r>
  <r>
    <s v="ORD-2026-100109"/>
    <s v="CUS95498"/>
    <d v="2026-02-12T00:00:00"/>
    <s v="D023"/>
    <n v="13"/>
    <n v="4"/>
    <s v="شاحنة متوسطة"/>
    <s v="10:00-12:00"/>
    <d v="2026-02-12T07:44:00"/>
    <d v="2026-02-12T08:09:00"/>
    <d v="2026-02-12T09:19:00"/>
    <d v="2026-02-12T09:39:00"/>
    <d v="2026-02-12T10:30:00"/>
    <d v="2026-02-12T10:47:00"/>
    <n v="7"/>
    <x v="1"/>
    <s v="مكة المكرمة"/>
    <s v="العزيزية"/>
    <s v="مستودع مكة المكرمة"/>
    <n v="2500"/>
    <x v="0"/>
    <x v="0"/>
    <x v="0"/>
    <x v="0"/>
    <x v="0"/>
    <x v="8"/>
  </r>
  <r>
    <s v="ORD-2026-100110"/>
    <s v="CUS81211"/>
    <d v="2026-03-15T00:00:00"/>
    <s v="D008"/>
    <n v="16"/>
    <n v="7.3"/>
    <s v="دراجة نارية"/>
    <s v="08:00-10:00"/>
    <d v="2026-03-15T09:34:00"/>
    <d v="2026-03-15T09:51:00"/>
    <d v="2026-03-15T11:04:00"/>
    <d v="2026-03-15T11:14:00"/>
    <d v="2026-03-15T12:11:00"/>
    <d v="2026-03-15T12:34:00"/>
    <n v="1"/>
    <x v="0"/>
    <s v="المدينة المنورة"/>
    <s v="العوالي"/>
    <s v="مستودع المدينة المنورة"/>
    <n v="2000"/>
    <x v="0"/>
    <x v="1"/>
    <x v="2"/>
    <x v="5"/>
    <x v="2"/>
    <x v="10"/>
  </r>
  <r>
    <s v="ORD-2026-100111"/>
    <s v="CUS33002"/>
    <d v="2026-03-09T00:00:00"/>
    <s v="D016"/>
    <n v="37"/>
    <n v="7.7"/>
    <s v="دراجة نارية"/>
    <s v="20:00-22:00"/>
    <d v="2026-03-09T06:28:00"/>
    <d v="2026-03-09T06:43:00"/>
    <d v="2026-03-09T07:13:00"/>
    <d v="2026-03-09T07:32:00"/>
    <d v="2026-03-09T08:23:00"/>
    <d v="2026-03-09T08:44:00"/>
    <n v="6"/>
    <x v="2"/>
    <s v="جدة"/>
    <s v="الأندلس"/>
    <s v="مستودع جدة الرئيسي"/>
    <n v="4000"/>
    <x v="0"/>
    <x v="0"/>
    <x v="0"/>
    <x v="0"/>
    <x v="0"/>
    <x v="2"/>
  </r>
  <r>
    <s v="ORD-2026-100112"/>
    <s v="CUS85088"/>
    <d v="2026-03-20T00:00:00"/>
    <s v="D028"/>
    <n v="37"/>
    <n v="6.6"/>
    <s v="فان"/>
    <s v="18:00-20:00"/>
    <d v="2026-03-20T06:24:00"/>
    <d v="2026-03-20T06:34:00"/>
    <d v="2026-03-20T07:01:00"/>
    <d v="2026-03-20T07:21:00"/>
    <d v="2026-03-20T07:51:00"/>
    <d v="2026-03-20T08:11:00"/>
    <n v="1"/>
    <x v="3"/>
    <s v="مكة المكرمة"/>
    <s v="أجياد"/>
    <s v="مستودع مكة المكرمة"/>
    <n v="2500"/>
    <x v="0"/>
    <x v="0"/>
    <x v="0"/>
    <x v="0"/>
    <x v="2"/>
    <x v="13"/>
  </r>
  <r>
    <s v="ORD-2026-100113"/>
    <s v="CUS72676"/>
    <d v="2026-01-02T00:00:00"/>
    <s v="D009"/>
    <n v="8"/>
    <n v="9.3000000000000007"/>
    <s v="فان"/>
    <s v="12:00-14:00"/>
    <d v="2026-01-02T06:40:00"/>
    <d v="2026-01-02T06:57:00"/>
    <d v="2026-01-02T08:11:00"/>
    <d v="2026-01-02T08:25:00"/>
    <d v="2026-01-02T09:19:00"/>
    <d v="2026-01-02T09:31:00"/>
    <n v="6"/>
    <x v="1"/>
    <s v="الدمام"/>
    <s v="الفيصلية"/>
    <s v="مستودع الدمام"/>
    <n v="3000"/>
    <x v="0"/>
    <x v="0"/>
    <x v="0"/>
    <x v="0"/>
    <x v="3"/>
    <x v="14"/>
  </r>
  <r>
    <s v="ORD-2026-100114"/>
    <s v="CUS83946"/>
    <d v="2026-01-20T00:00:00"/>
    <s v="D015"/>
    <n v="31"/>
    <n v="9.6"/>
    <s v="فان"/>
    <s v="20:00-22:00"/>
    <d v="2026-01-20T08:17:00"/>
    <d v="2026-01-20T08:47:00"/>
    <d v="2026-01-20T09:24:00"/>
    <d v="2026-01-20T09:36:00"/>
    <d v="2026-01-20T10:29:00"/>
    <d v="2026-01-20T11:12:00"/>
    <n v="7"/>
    <x v="1"/>
    <s v="المدينة المنورة"/>
    <s v="الحرة الغربية"/>
    <s v="مستودع المدينة المنورة"/>
    <n v="2000"/>
    <x v="0"/>
    <x v="0"/>
    <x v="0"/>
    <x v="0"/>
    <x v="2"/>
    <x v="5"/>
  </r>
  <r>
    <s v="ORD-2026-100115"/>
    <s v="CUS69873"/>
    <d v="2026-01-15T00:00:00"/>
    <s v="D002"/>
    <n v="39"/>
    <n v="5.2"/>
    <s v="سيارة سيدان"/>
    <s v="20:00-22:00"/>
    <d v="2026-01-15T08:13:00"/>
    <d v="2026-01-15T08:32:00"/>
    <d v="2026-01-15T08:56:00"/>
    <d v="2026-01-15T09:07:00"/>
    <d v="2026-01-15T10:02:00"/>
    <d v="2026-01-15T10:44:00"/>
    <n v="4"/>
    <x v="0"/>
    <s v="المدينة المنورة"/>
    <s v="قباء"/>
    <s v="مستودع المدينة المنورة"/>
    <n v="2000"/>
    <x v="0"/>
    <x v="0"/>
    <x v="0"/>
    <x v="0"/>
    <x v="3"/>
    <x v="12"/>
  </r>
  <r>
    <s v="ORD-2026-100116"/>
    <s v="CUS71875"/>
    <d v="2026-03-14T00:00:00"/>
    <s v="D002"/>
    <n v="24"/>
    <n v="9.8000000000000007"/>
    <s v="فان"/>
    <s v="12:00-14:00"/>
    <d v="2026-03-14T09:29:00"/>
    <d v="2026-03-14T09:34:00"/>
    <d v="2026-03-14T10:11:00"/>
    <d v="2026-03-14T10:18:00"/>
    <d v="2026-03-14T10:30:00"/>
    <d v="2026-03-14T11:02:00"/>
    <n v="3"/>
    <x v="1"/>
    <s v="المدينة المنورة"/>
    <s v="العنابس"/>
    <s v="مستودع المدينة المنورة"/>
    <n v="2000"/>
    <x v="0"/>
    <x v="0"/>
    <x v="0"/>
    <x v="0"/>
    <x v="0"/>
    <x v="5"/>
  </r>
  <r>
    <s v="ORD-2026-100117"/>
    <s v="CUS33392"/>
    <d v="2026-01-05T00:00:00"/>
    <s v="D010"/>
    <n v="13"/>
    <n v="10.1"/>
    <s v="فان"/>
    <s v="12:00-14:00"/>
    <d v="2026-01-05T09:48:00"/>
    <d v="2026-01-05T10:05:00"/>
    <d v="2026-01-05T11:12:00"/>
    <d v="2026-01-05T11:29:00"/>
    <d v="2026-01-05T12:03:00"/>
    <d v="2026-01-05T12:13:00"/>
    <n v="6"/>
    <x v="1"/>
    <s v="مكة المكرمة"/>
    <s v="الشوقية"/>
    <s v="مستودع مكة المكرمة"/>
    <n v="2500"/>
    <x v="0"/>
    <x v="0"/>
    <x v="0"/>
    <x v="0"/>
    <x v="0"/>
    <x v="8"/>
  </r>
  <r>
    <s v="ORD-2026-100118"/>
    <s v="CUS24790"/>
    <d v="2026-03-10T00:00:00"/>
    <s v="D013"/>
    <n v="19"/>
    <n v="10.7"/>
    <s v="شاحنة صغيرة"/>
    <s v="12:00-14:00"/>
    <d v="2026-03-10T07:58:00"/>
    <d v="2026-03-10T08:24:00"/>
    <d v="2026-03-10T09:43:00"/>
    <d v="2026-03-10T10:01:00"/>
    <d v="2026-03-10T10:45:00"/>
    <d v="2026-03-10T11:14:00"/>
    <n v="7"/>
    <x v="4"/>
    <s v="المدينة المنورة"/>
    <s v="قباء"/>
    <s v="مستودع المدينة المنورة"/>
    <n v="2000"/>
    <x v="0"/>
    <x v="0"/>
    <x v="0"/>
    <x v="0"/>
    <x v="0"/>
    <x v="0"/>
  </r>
  <r>
    <s v="ORD-2026-100119"/>
    <s v="CUS76046"/>
    <d v="2026-01-05T00:00:00"/>
    <s v="D026"/>
    <n v="6"/>
    <n v="5.9"/>
    <s v="شاحنة صغيرة"/>
    <s v="08:00-10:00"/>
    <d v="2026-01-05T08:32:00"/>
    <d v="2026-01-05T08:38:00"/>
    <d v="2026-01-05T09:45:00"/>
    <d v="2026-01-05T09:51:00"/>
    <d v="2026-01-05T10:16:00"/>
    <d v="2026-01-05T10:23:00"/>
    <n v="4"/>
    <x v="1"/>
    <s v="مكة المكرمة"/>
    <s v="المسفلة"/>
    <s v="مستودع مكة المكرمة"/>
    <n v="2500"/>
    <x v="0"/>
    <x v="0"/>
    <x v="0"/>
    <x v="0"/>
    <x v="0"/>
    <x v="14"/>
  </r>
  <r>
    <s v="ORD-2026-100120"/>
    <s v="CUS94320"/>
    <d v="2026-02-07T00:00:00"/>
    <s v="D008"/>
    <n v="25"/>
    <n v="5.9"/>
    <s v="دراجة نارية"/>
    <s v="18:00-20:00"/>
    <d v="2026-02-07T08:13:00"/>
    <d v="2026-02-07T08:25:00"/>
    <d v="2026-02-07T09:27:00"/>
    <d v="2026-02-07T09:41:00"/>
    <d v="2026-02-07T10:08:00"/>
    <d v="2026-02-07T10:16:00"/>
    <n v="5"/>
    <x v="1"/>
    <s v="المدينة المنورة"/>
    <s v="الحرة الغربية"/>
    <s v="مستودع المدينة المنورة"/>
    <n v="2000"/>
    <x v="0"/>
    <x v="1"/>
    <x v="3"/>
    <x v="6"/>
    <x v="2"/>
    <x v="6"/>
  </r>
  <r>
    <s v="ORD-2026-100121"/>
    <s v="CUS64592"/>
    <d v="2026-03-27T00:00:00"/>
    <s v="D013"/>
    <n v="31"/>
    <n v="7.3"/>
    <s v="سيارة سيدان"/>
    <s v="14:00-16:00"/>
    <d v="2026-03-27T06:47:00"/>
    <d v="2026-03-27T07:16:00"/>
    <d v="2026-03-27T08:34:00"/>
    <d v="2026-03-27T08:54:00"/>
    <d v="2026-03-27T09:19:00"/>
    <d v="2026-03-27T09:38:00"/>
    <n v="3"/>
    <x v="1"/>
    <s v="المدينة المنورة"/>
    <s v="الحرة الغربية"/>
    <s v="مستودع المدينة المنورة"/>
    <n v="2000"/>
    <x v="0"/>
    <x v="0"/>
    <x v="0"/>
    <x v="0"/>
    <x v="1"/>
    <x v="12"/>
  </r>
  <r>
    <s v="ORD-2026-100122"/>
    <s v="CUS87015"/>
    <d v="2026-03-13T00:00:00"/>
    <s v="D017"/>
    <n v="20"/>
    <n v="6"/>
    <s v="سيارة سيدان"/>
    <s v="18:00-20:00"/>
    <d v="2026-03-13T06:20:00"/>
    <d v="2026-03-13T06:39:00"/>
    <d v="2026-03-13T07:36:00"/>
    <d v="2026-03-13T07:43:00"/>
    <d v="2026-03-13T08:27:00"/>
    <d v="2026-03-13T08:44:00"/>
    <n v="1"/>
    <x v="2"/>
    <s v="جدة"/>
    <s v="الشاطئ"/>
    <s v="مستودع جدة الرئيسي"/>
    <n v="4000"/>
    <x v="0"/>
    <x v="0"/>
    <x v="0"/>
    <x v="0"/>
    <x v="1"/>
    <x v="3"/>
  </r>
  <r>
    <s v="ORD-2026-100123"/>
    <s v="CUS61987"/>
    <d v="2026-03-27T00:00:00"/>
    <s v="D018"/>
    <n v="18"/>
    <n v="11"/>
    <s v="سيارة سيدان"/>
    <s v="12:00-14:00"/>
    <d v="2026-03-27T09:52:00"/>
    <d v="2026-03-27T09:57:00"/>
    <d v="2026-03-27T10:34:00"/>
    <d v="2026-03-27T10:45:00"/>
    <d v="2026-03-27T11:42:00"/>
    <d v="2026-03-27T11:54:00"/>
    <n v="6"/>
    <x v="1"/>
    <s v="جدة"/>
    <s v="الشاطئ"/>
    <s v="مستودع جدة الرئيسي"/>
    <n v="4000"/>
    <x v="0"/>
    <x v="0"/>
    <x v="0"/>
    <x v="0"/>
    <x v="2"/>
    <x v="2"/>
  </r>
  <r>
    <s v="ORD-2026-100124"/>
    <s v="CUS83731"/>
    <d v="2026-01-31T00:00:00"/>
    <s v="D018"/>
    <n v="29"/>
    <n v="7.7"/>
    <s v="سيارة سيدان"/>
    <s v="12:00-14:00"/>
    <d v="2026-01-31T07:06:00"/>
    <d v="2026-01-31T07:22:00"/>
    <d v="2026-01-31T08:37:00"/>
    <d v="2026-01-31T08:57:00"/>
    <d v="2026-01-31T09:36:00"/>
    <d v="2026-01-31T09:47:00"/>
    <n v="7"/>
    <x v="1"/>
    <s v="الدمام"/>
    <s v="الشاطئ"/>
    <s v="مستودع الدمام"/>
    <n v="3000"/>
    <x v="0"/>
    <x v="1"/>
    <x v="1"/>
    <x v="5"/>
    <x v="2"/>
    <x v="7"/>
  </r>
  <r>
    <s v="ORD-2026-100125"/>
    <s v="CUS54245"/>
    <d v="2026-01-29T00:00:00"/>
    <s v="D024"/>
    <n v="21"/>
    <n v="8.4"/>
    <s v="شاحنة متوسطة"/>
    <s v="16:00-18:00"/>
    <d v="2026-01-29T09:04:00"/>
    <d v="2026-01-29T09:22:00"/>
    <d v="2026-01-29T10:09:00"/>
    <d v="2026-01-29T10:18:00"/>
    <d v="2026-01-29T10:40:00"/>
    <d v="2026-01-29T11:06:00"/>
    <n v="2"/>
    <x v="1"/>
    <s v="جدة"/>
    <s v="الحمراء"/>
    <s v="مستودع جدة الرئيسي"/>
    <n v="4000"/>
    <x v="0"/>
    <x v="0"/>
    <x v="0"/>
    <x v="0"/>
    <x v="0"/>
    <x v="10"/>
  </r>
  <r>
    <s v="ORD-2026-100126"/>
    <s v="CUS64053"/>
    <d v="2026-02-02T00:00:00"/>
    <s v="D025"/>
    <n v="34"/>
    <n v="5.3"/>
    <s v="سيارة سيدان"/>
    <s v="10:00-12:00"/>
    <d v="2026-02-02T06:35:00"/>
    <d v="2026-02-02T07:03:00"/>
    <d v="2026-02-02T08:22:00"/>
    <d v="2026-02-02T08:42:00"/>
    <d v="2026-02-02T09:03:00"/>
    <d v="2026-02-02T09:42:00"/>
    <n v="6"/>
    <x v="1"/>
    <s v="مكة المكرمة"/>
    <s v="أجياد"/>
    <s v="مستودع مكة المكرمة"/>
    <n v="2500"/>
    <x v="0"/>
    <x v="1"/>
    <x v="0"/>
    <x v="1"/>
    <x v="4"/>
    <x v="7"/>
  </r>
  <r>
    <s v="ORD-2026-100127"/>
    <s v="CUS47576"/>
    <d v="2026-01-18T00:00:00"/>
    <s v="D027"/>
    <n v="14"/>
    <n v="4.0999999999999996"/>
    <s v="شاحنة متوسطة"/>
    <s v="14:00-16:00"/>
    <d v="2026-01-18T07:35:00"/>
    <d v="2026-01-18T07:41:00"/>
    <d v="2026-01-18T09:10:00"/>
    <d v="2026-01-18T09:30:00"/>
    <d v="2026-01-18T10:22:00"/>
    <d v="2026-01-18T10:58:00"/>
    <n v="1"/>
    <x v="0"/>
    <s v="جدة"/>
    <s v="الحمراء"/>
    <s v="مستودع جدة الرئيسي"/>
    <n v="4000"/>
    <x v="0"/>
    <x v="0"/>
    <x v="0"/>
    <x v="0"/>
    <x v="0"/>
    <x v="9"/>
  </r>
  <r>
    <s v="ORD-2026-100128"/>
    <s v="CUS39603"/>
    <d v="2026-01-03T00:00:00"/>
    <s v="D017"/>
    <n v="11"/>
    <n v="11.3"/>
    <s v="شاحنة متوسطة"/>
    <s v="10:00-12:00"/>
    <d v="2026-01-03T07:01:00"/>
    <d v="2026-01-03T07:12:00"/>
    <d v="2026-01-03T08:41:00"/>
    <d v="2026-01-03T08:54:00"/>
    <d v="2026-01-03T09:26:00"/>
    <d v="2026-01-03T09:48:00"/>
    <n v="7"/>
    <x v="1"/>
    <s v="مكة المكرمة"/>
    <s v="الشوقية"/>
    <s v="مستودع مكة المكرمة"/>
    <n v="2500"/>
    <x v="0"/>
    <x v="0"/>
    <x v="0"/>
    <x v="0"/>
    <x v="2"/>
    <x v="0"/>
  </r>
  <r>
    <s v="ORD-2026-100129"/>
    <s v="CUS79226"/>
    <d v="2026-02-08T00:00:00"/>
    <s v="D022"/>
    <n v="10"/>
    <n v="7.2"/>
    <s v="فان"/>
    <s v="16:00-18:00"/>
    <d v="2026-02-08T08:01:00"/>
    <d v="2026-02-08T08:07:00"/>
    <d v="2026-02-08T08:18:00"/>
    <d v="2026-02-08T08:28:00"/>
    <d v="2026-02-08T08:43:00"/>
    <d v="2026-02-08T09:19:00"/>
    <n v="7"/>
    <x v="1"/>
    <s v="الرياض"/>
    <s v="العليا"/>
    <s v="مستودع الرياض الرئيسي"/>
    <n v="5000"/>
    <x v="0"/>
    <x v="0"/>
    <x v="0"/>
    <x v="0"/>
    <x v="0"/>
    <x v="8"/>
  </r>
  <r>
    <s v="ORD-2026-100130"/>
    <s v="CUS20084"/>
    <d v="2026-01-06T00:00:00"/>
    <s v="D008"/>
    <n v="35"/>
    <n v="6.2"/>
    <s v="شاحنة صغيرة"/>
    <s v="18:00-20:00"/>
    <d v="2026-01-06T09:56:00"/>
    <d v="2026-01-06T10:09:00"/>
    <d v="2026-01-06T11:28:00"/>
    <d v="2026-01-06T11:34:00"/>
    <d v="2026-01-06T11:55:00"/>
    <d v="2026-01-06T12:20:00"/>
    <n v="1"/>
    <x v="1"/>
    <s v="جدة"/>
    <s v="الأندلس"/>
    <s v="مستودع جدة الرئيسي"/>
    <n v="4000"/>
    <x v="0"/>
    <x v="0"/>
    <x v="0"/>
    <x v="0"/>
    <x v="0"/>
    <x v="12"/>
  </r>
  <r>
    <s v="ORD-2026-100131"/>
    <s v="CUS61996"/>
    <d v="2026-02-08T00:00:00"/>
    <s v="D006"/>
    <n v="29"/>
    <n v="9.4"/>
    <s v="شاحنة متوسطة"/>
    <s v="12:00-14:00"/>
    <d v="2026-02-08T07:38:00"/>
    <d v="2026-02-08T08:07:00"/>
    <d v="2026-02-08T08:34:00"/>
    <d v="2026-02-08T08:41:00"/>
    <d v="2026-02-08T09:23:00"/>
    <d v="2026-02-08T09:50:00"/>
    <n v="1"/>
    <x v="3"/>
    <s v="المدينة المنورة"/>
    <s v="قباء"/>
    <s v="مستودع المدينة المنورة"/>
    <n v="2000"/>
    <x v="0"/>
    <x v="0"/>
    <x v="0"/>
    <x v="0"/>
    <x v="0"/>
    <x v="13"/>
  </r>
  <r>
    <s v="ORD-2026-100132"/>
    <s v="CUS93086"/>
    <d v="2026-02-11T00:00:00"/>
    <s v="D001"/>
    <n v="36"/>
    <n v="5.8"/>
    <s v="شاحنة متوسطة"/>
    <s v="14:00-16:00"/>
    <d v="2026-02-11T07:50:00"/>
    <d v="2026-02-11T08:00:00"/>
    <d v="2026-02-11T09:24:00"/>
    <d v="2026-02-11T09:41:00"/>
    <d v="2026-02-11T09:56:00"/>
    <d v="2026-02-11T10:40:00"/>
    <n v="3"/>
    <x v="1"/>
    <s v="الدمام"/>
    <s v="الجلوية"/>
    <s v="مستودع الدمام"/>
    <n v="3000"/>
    <x v="0"/>
    <x v="0"/>
    <x v="0"/>
    <x v="0"/>
    <x v="3"/>
    <x v="0"/>
  </r>
  <r>
    <s v="ORD-2026-100133"/>
    <s v="CUS56388"/>
    <d v="2026-01-20T00:00:00"/>
    <s v="D024"/>
    <n v="28"/>
    <n v="4.9000000000000004"/>
    <s v="شاحنة صغيرة"/>
    <s v="12:00-14:00"/>
    <d v="2026-01-20T07:53:00"/>
    <d v="2026-01-20T08:09:00"/>
    <d v="2026-01-20T08:53:00"/>
    <d v="2026-01-20T09:01:00"/>
    <d v="2026-01-20T09:19:00"/>
    <d v="2026-01-20T09:29:00"/>
    <n v="2"/>
    <x v="1"/>
    <s v="مكة المكرمة"/>
    <s v="الزاهر"/>
    <s v="مستودع مكة المكرمة"/>
    <n v="2500"/>
    <x v="0"/>
    <x v="0"/>
    <x v="0"/>
    <x v="0"/>
    <x v="1"/>
    <x v="8"/>
  </r>
  <r>
    <s v="ORD-2026-100134"/>
    <s v="CUS18292"/>
    <d v="2026-03-12T00:00:00"/>
    <s v="D003"/>
    <n v="29"/>
    <n v="4.0999999999999996"/>
    <s v="فان"/>
    <s v="14:00-16:00"/>
    <d v="2026-03-12T09:19:00"/>
    <d v="2026-03-12T09:26:00"/>
    <d v="2026-03-12T10:47:00"/>
    <d v="2026-03-12T10:59:00"/>
    <d v="2026-03-12T11:45:00"/>
    <d v="2026-03-12T12:23:00"/>
    <n v="2"/>
    <x v="1"/>
    <s v="المدينة المنورة"/>
    <s v="الحرة الغربية"/>
    <s v="مستودع المدينة المنورة"/>
    <n v="2000"/>
    <x v="0"/>
    <x v="0"/>
    <x v="0"/>
    <x v="0"/>
    <x v="3"/>
    <x v="14"/>
  </r>
  <r>
    <s v="ORD-2026-100135"/>
    <s v="CUS91289"/>
    <d v="2026-01-22T00:00:00"/>
    <s v="D014"/>
    <n v="24"/>
    <n v="7.9"/>
    <s v="شاحنة صغيرة"/>
    <s v="12:00-14:00"/>
    <d v="2026-01-22T07:04:00"/>
    <d v="2026-01-22T07:16:00"/>
    <d v="2026-01-22T08:46:00"/>
    <d v="2026-01-22T09:06:00"/>
    <d v="2026-01-22T09:54:00"/>
    <d v="2026-01-22T10:38:00"/>
    <n v="2"/>
    <x v="1"/>
    <s v="الدمام"/>
    <s v="الجلوية"/>
    <s v="مستودع الدمام"/>
    <n v="3000"/>
    <x v="0"/>
    <x v="0"/>
    <x v="0"/>
    <x v="0"/>
    <x v="2"/>
    <x v="1"/>
  </r>
  <r>
    <s v="ORD-2026-100136"/>
    <s v="CUS85481"/>
    <d v="2026-02-18T00:00:00"/>
    <s v="D026"/>
    <n v="26"/>
    <n v="7.4"/>
    <s v="شاحنة متوسطة"/>
    <s v="10:00-12:00"/>
    <d v="2026-02-18T07:16:00"/>
    <d v="2026-02-18T07:31:00"/>
    <d v="2026-02-18T08:58:00"/>
    <d v="2026-02-18T09:09:00"/>
    <d v="2026-02-18T09:49:00"/>
    <d v="2026-02-18T10:14:00"/>
    <n v="2"/>
    <x v="1"/>
    <s v="الدمام"/>
    <s v="الجلوية"/>
    <s v="مستودع الدمام"/>
    <n v="3000"/>
    <x v="1"/>
    <x v="0"/>
    <x v="0"/>
    <x v="0"/>
    <x v="0"/>
    <x v="4"/>
  </r>
  <r>
    <s v="ORD-2026-100137"/>
    <s v="CUS63627"/>
    <d v="2026-02-01T00:00:00"/>
    <s v="D011"/>
    <n v="30"/>
    <n v="6.9"/>
    <s v="شاحنة متوسطة"/>
    <s v="10:00-12:00"/>
    <d v="2026-02-01T08:31:00"/>
    <d v="2026-02-01T08:53:00"/>
    <d v="2026-02-01T09:26:00"/>
    <d v="2026-02-01T09:31:00"/>
    <d v="2026-02-01T10:27:00"/>
    <d v="2026-02-01T11:01:00"/>
    <n v="6"/>
    <x v="5"/>
    <s v="مكة المكرمة"/>
    <s v="الزاهر"/>
    <s v="مستودع مكة المكرمة"/>
    <n v="2500"/>
    <x v="0"/>
    <x v="0"/>
    <x v="0"/>
    <x v="0"/>
    <x v="0"/>
    <x v="3"/>
  </r>
  <r>
    <s v="ORD-2026-100138"/>
    <s v="CUS80373"/>
    <d v="2026-03-28T00:00:00"/>
    <s v="D016"/>
    <n v="24"/>
    <n v="5.9"/>
    <s v="دراجة نارية"/>
    <s v="18:00-20:00"/>
    <d v="2026-03-28T07:48:00"/>
    <d v="2026-03-28T08:18:00"/>
    <d v="2026-03-28T09:16:00"/>
    <d v="2026-03-28T09:23:00"/>
    <d v="2026-03-28T10:01:00"/>
    <d v="2026-03-28T10:44:00"/>
    <n v="4"/>
    <x v="1"/>
    <s v="جدة"/>
    <s v="الصفا"/>
    <s v="مستودع جدة الرئيسي"/>
    <n v="4000"/>
    <x v="0"/>
    <x v="1"/>
    <x v="3"/>
    <x v="6"/>
    <x v="4"/>
    <x v="6"/>
  </r>
  <r>
    <s v="ORD-2026-100139"/>
    <s v="CUS83137"/>
    <d v="2026-03-18T00:00:00"/>
    <s v="D021"/>
    <n v="20"/>
    <n v="9.3000000000000007"/>
    <s v="سيارة سيدان"/>
    <s v="10:00-12:00"/>
    <d v="2026-03-18T08:45:00"/>
    <d v="2026-03-18T09:09:00"/>
    <d v="2026-03-18T09:24:00"/>
    <d v="2026-03-18T09:41:00"/>
    <d v="2026-03-18T10:39:00"/>
    <d v="2026-03-18T11:05:00"/>
    <n v="7"/>
    <x v="1"/>
    <s v="الرياض"/>
    <s v="النزهة"/>
    <s v="مستودع الرياض الرئيسي"/>
    <n v="5000"/>
    <x v="0"/>
    <x v="0"/>
    <x v="0"/>
    <x v="0"/>
    <x v="2"/>
    <x v="9"/>
  </r>
  <r>
    <s v="ORD-2026-100140"/>
    <s v="CUS28569"/>
    <d v="2026-03-16T00:00:00"/>
    <s v="D023"/>
    <n v="33"/>
    <n v="7"/>
    <s v="فان"/>
    <s v="20:00-22:00"/>
    <d v="2026-03-16T08:53:00"/>
    <d v="2026-03-16T09:16:00"/>
    <d v="2026-03-16T10:30:00"/>
    <d v="2026-03-16T10:39:00"/>
    <d v="2026-03-16T11:11:00"/>
    <d v="2026-03-16T11:17:00"/>
    <n v="4"/>
    <x v="4"/>
    <s v="المدينة المنورة"/>
    <s v="قباء"/>
    <s v="مستودع المدينة المنورة"/>
    <n v="2000"/>
    <x v="1"/>
    <x v="0"/>
    <x v="0"/>
    <x v="0"/>
    <x v="0"/>
    <x v="0"/>
  </r>
  <r>
    <s v="ORD-2026-100141"/>
    <s v="CUS41970"/>
    <d v="2026-02-14T00:00:00"/>
    <s v="D010"/>
    <n v="18"/>
    <n v="8.1999999999999993"/>
    <s v="سيارة سيدان"/>
    <s v="14:00-16:00"/>
    <d v="2026-02-14T06:24:00"/>
    <d v="2026-02-14T06:43:00"/>
    <d v="2026-02-14T07:50:00"/>
    <d v="2026-02-14T08:05:00"/>
    <d v="2026-02-14T08:19:00"/>
    <d v="2026-02-14T08:43:00"/>
    <n v="1"/>
    <x v="1"/>
    <s v="الدمام"/>
    <s v="الجلوية"/>
    <s v="مستودع الدمام"/>
    <n v="3000"/>
    <x v="0"/>
    <x v="1"/>
    <x v="0"/>
    <x v="1"/>
    <x v="0"/>
    <x v="5"/>
  </r>
  <r>
    <s v="ORD-2026-100142"/>
    <s v="CUS66302"/>
    <d v="2026-03-08T00:00:00"/>
    <s v="D006"/>
    <n v="26"/>
    <n v="8.5"/>
    <s v="فان"/>
    <s v="10:00-12:00"/>
    <d v="2026-03-08T09:24:00"/>
    <d v="2026-03-08T09:41:00"/>
    <d v="2026-03-08T11:11:00"/>
    <d v="2026-03-08T11:21:00"/>
    <d v="2026-03-08T11:42:00"/>
    <d v="2026-03-08T12:27:00"/>
    <n v="6"/>
    <x v="1"/>
    <s v="المدينة المنورة"/>
    <s v="قباء"/>
    <s v="مستودع المدينة المنورة"/>
    <n v="2000"/>
    <x v="0"/>
    <x v="0"/>
    <x v="0"/>
    <x v="0"/>
    <x v="3"/>
    <x v="13"/>
  </r>
  <r>
    <s v="ORD-2026-100143"/>
    <s v="CUS86939"/>
    <d v="2026-02-19T00:00:00"/>
    <s v="D001"/>
    <n v="22"/>
    <n v="10"/>
    <s v="شاحنة صغيرة"/>
    <s v="16:00-18:00"/>
    <d v="2026-02-19T06:26:00"/>
    <d v="2026-02-19T06:56:00"/>
    <d v="2026-02-19T08:14:00"/>
    <d v="2026-02-19T08:24:00"/>
    <d v="2026-02-19T08:57:00"/>
    <d v="2026-02-19T09:22:00"/>
    <n v="2"/>
    <x v="1"/>
    <s v="جدة"/>
    <s v="الزهراء"/>
    <s v="مستودع جدة الرئيسي"/>
    <n v="4000"/>
    <x v="0"/>
    <x v="1"/>
    <x v="2"/>
    <x v="6"/>
    <x v="2"/>
    <x v="12"/>
  </r>
  <r>
    <s v="ORD-2026-100144"/>
    <s v="CUS85340"/>
    <d v="2026-01-15T00:00:00"/>
    <s v="D012"/>
    <n v="16"/>
    <n v="10.5"/>
    <s v="سيارة سيدان"/>
    <s v="16:00-18:00"/>
    <d v="2026-01-15T08:31:00"/>
    <d v="2026-01-15T08:38:00"/>
    <d v="2026-01-15T09:05:00"/>
    <d v="2026-01-15T09:20:00"/>
    <d v="2026-01-15T09:37:00"/>
    <d v="2026-01-15T09:57:00"/>
    <n v="3"/>
    <x v="5"/>
    <s v="الدمام"/>
    <s v="الجلوية"/>
    <s v="مستودع الدمام"/>
    <n v="3000"/>
    <x v="0"/>
    <x v="0"/>
    <x v="0"/>
    <x v="0"/>
    <x v="2"/>
    <x v="14"/>
  </r>
  <r>
    <s v="ORD-2026-100145"/>
    <s v="CUS35575"/>
    <d v="2026-02-19T00:00:00"/>
    <s v="D014"/>
    <n v="39"/>
    <n v="9.5"/>
    <s v="دراجة نارية"/>
    <s v="16:00-18:00"/>
    <d v="2026-02-19T06:42:00"/>
    <d v="2026-02-19T07:02:00"/>
    <d v="2026-02-19T07:48:00"/>
    <d v="2026-02-19T07:57:00"/>
    <d v="2026-02-19T08:18:00"/>
    <d v="2026-02-19T08:43:00"/>
    <n v="7"/>
    <x v="1"/>
    <s v="جدة"/>
    <s v="الشاطئ"/>
    <s v="مستودع جدة الرئيسي"/>
    <n v="4000"/>
    <x v="0"/>
    <x v="0"/>
    <x v="0"/>
    <x v="0"/>
    <x v="4"/>
    <x v="14"/>
  </r>
  <r>
    <s v="ORD-2026-100146"/>
    <s v="CUS32047"/>
    <d v="2026-02-19T00:00:00"/>
    <s v="D018"/>
    <n v="31"/>
    <n v="9.5"/>
    <s v="فان"/>
    <s v="18:00-20:00"/>
    <d v="2026-02-19T09:35:00"/>
    <d v="2026-02-19T09:54:00"/>
    <d v="2026-02-19T11:06:00"/>
    <d v="2026-02-19T11:16:00"/>
    <d v="2026-02-19T11:31:00"/>
    <d v="2026-02-19T12:12:00"/>
    <n v="1"/>
    <x v="1"/>
    <s v="المدينة المنورة"/>
    <s v="العنابس"/>
    <s v="مستودع المدينة المنورة"/>
    <n v="2000"/>
    <x v="0"/>
    <x v="0"/>
    <x v="0"/>
    <x v="0"/>
    <x v="3"/>
    <x v="11"/>
  </r>
  <r>
    <s v="ORD-2026-100147"/>
    <s v="CUS68947"/>
    <d v="2026-02-28T00:00:00"/>
    <s v="D019"/>
    <n v="37"/>
    <n v="4.9000000000000004"/>
    <s v="شاحنة صغيرة"/>
    <s v="12:00-14:00"/>
    <d v="2026-02-28T09:18:00"/>
    <d v="2026-02-28T09:40:00"/>
    <d v="2026-02-28T10:36:00"/>
    <d v="2026-02-28T10:42:00"/>
    <d v="2026-02-28T11:40:00"/>
    <d v="2026-02-28T12:13:00"/>
    <n v="5"/>
    <x v="4"/>
    <s v="مكة المكرمة"/>
    <s v="المسفلة"/>
    <s v="مستودع مكة المكرمة"/>
    <n v="2500"/>
    <x v="0"/>
    <x v="1"/>
    <x v="1"/>
    <x v="5"/>
    <x v="0"/>
    <x v="7"/>
  </r>
  <r>
    <s v="ORD-2026-100148"/>
    <s v="CUS17780"/>
    <d v="2026-02-03T00:00:00"/>
    <s v="D012"/>
    <n v="12"/>
    <n v="10.199999999999999"/>
    <s v="دراجة نارية"/>
    <s v="10:00-12:00"/>
    <d v="2026-02-03T09:27:00"/>
    <d v="2026-02-03T09:55:00"/>
    <d v="2026-02-03T11:20:00"/>
    <d v="2026-02-03T11:36:00"/>
    <d v="2026-02-03T12:31:00"/>
    <d v="2026-02-03T13:15:00"/>
    <n v="6"/>
    <x v="1"/>
    <s v="الرياض"/>
    <s v="الربوة"/>
    <s v="مستودع الرياض الرئيسي"/>
    <n v="5000"/>
    <x v="0"/>
    <x v="0"/>
    <x v="0"/>
    <x v="0"/>
    <x v="0"/>
    <x v="3"/>
  </r>
  <r>
    <s v="ORD-2026-100149"/>
    <s v="CUS29168"/>
    <d v="2026-03-14T00:00:00"/>
    <s v="D012"/>
    <n v="39"/>
    <n v="5.3"/>
    <s v="سيارة سيدان"/>
    <s v="12:00-14:00"/>
    <d v="2026-03-14T08:26:00"/>
    <d v="2026-03-14T08:39:00"/>
    <d v="2026-03-14T09:54:00"/>
    <d v="2026-03-14T10:02:00"/>
    <d v="2026-03-14T10:20:00"/>
    <d v="2026-03-14T10:51:00"/>
    <n v="1"/>
    <x v="1"/>
    <s v="المدينة المنورة"/>
    <s v="الحرة الغربية"/>
    <s v="مستودع المدينة المنورة"/>
    <n v="2000"/>
    <x v="0"/>
    <x v="0"/>
    <x v="0"/>
    <x v="0"/>
    <x v="0"/>
    <x v="2"/>
  </r>
  <r>
    <s v="ORD-2026-100150"/>
    <s v="CUS58374"/>
    <d v="2026-02-11T00:00:00"/>
    <s v="D027"/>
    <n v="30"/>
    <n v="7.9"/>
    <s v="شاحنة متوسطة"/>
    <s v="18:00-20:00"/>
    <d v="2026-02-11T07:08:00"/>
    <d v="2026-02-11T07:33:00"/>
    <d v="2026-02-11T08:36:00"/>
    <d v="2026-02-11T08:53:00"/>
    <d v="2026-02-11T09:31:00"/>
    <d v="2026-02-11T09:40:00"/>
    <n v="6"/>
    <x v="1"/>
    <s v="جدة"/>
    <s v="الأندلس"/>
    <s v="مستودع جدة الرئيسي"/>
    <n v="4000"/>
    <x v="0"/>
    <x v="0"/>
    <x v="0"/>
    <x v="0"/>
    <x v="0"/>
    <x v="0"/>
  </r>
  <r>
    <s v="ORD-2026-100151"/>
    <s v="CUS54270"/>
    <d v="2026-02-28T00:00:00"/>
    <s v="D016"/>
    <n v="5"/>
    <n v="11"/>
    <s v="شاحنة صغيرة"/>
    <s v="18:00-20:00"/>
    <d v="2026-02-28T07:57:00"/>
    <d v="2026-02-28T08:22:00"/>
    <d v="2026-02-28T09:17:00"/>
    <d v="2026-02-28T09:24:00"/>
    <d v="2026-02-28T10:24:00"/>
    <d v="2026-02-28T11:03:00"/>
    <n v="4"/>
    <x v="4"/>
    <s v="الدمام"/>
    <s v="المزروعية"/>
    <s v="مستودع الدمام"/>
    <n v="3000"/>
    <x v="0"/>
    <x v="0"/>
    <x v="0"/>
    <x v="0"/>
    <x v="2"/>
    <x v="11"/>
  </r>
  <r>
    <s v="ORD-2026-100152"/>
    <s v="CUS27290"/>
    <d v="2026-03-12T00:00:00"/>
    <s v="D019"/>
    <n v="36"/>
    <n v="10.3"/>
    <s v="شاحنة صغيرة"/>
    <s v="08:00-10:00"/>
    <d v="2026-03-12T06:25:00"/>
    <d v="2026-03-12T06:50:00"/>
    <d v="2026-03-12T07:58:00"/>
    <d v="2026-03-12T08:03:00"/>
    <d v="2026-03-12T08:20:00"/>
    <d v="2026-03-12T08:35:00"/>
    <n v="4"/>
    <x v="1"/>
    <s v="جدة"/>
    <s v="النزهة"/>
    <s v="مستودع جدة الرئيسي"/>
    <n v="4000"/>
    <x v="1"/>
    <x v="0"/>
    <x v="0"/>
    <x v="0"/>
    <x v="0"/>
    <x v="5"/>
  </r>
  <r>
    <s v="ORD-2026-100153"/>
    <s v="CUS10142"/>
    <d v="2026-03-25T00:00:00"/>
    <s v="D010"/>
    <n v="22"/>
    <n v="4.7"/>
    <s v="سيارة سيدان"/>
    <s v="12:00-14:00"/>
    <d v="2026-03-25T06:21:00"/>
    <d v="2026-03-25T06:37:00"/>
    <d v="2026-03-25T07:08:00"/>
    <d v="2026-03-25T07:14:00"/>
    <d v="2026-03-25T07:49:00"/>
    <d v="2026-03-25T08:34:00"/>
    <n v="3"/>
    <x v="1"/>
    <s v="جدة"/>
    <s v="الأندلس"/>
    <s v="مستودع جدة الرئيسي"/>
    <n v="4000"/>
    <x v="0"/>
    <x v="0"/>
    <x v="0"/>
    <x v="0"/>
    <x v="1"/>
    <x v="8"/>
  </r>
  <r>
    <s v="ORD-2026-100154"/>
    <s v="CUS49223"/>
    <d v="2026-01-28T00:00:00"/>
    <s v="D016"/>
    <n v="19"/>
    <n v="8.1999999999999993"/>
    <s v="فان"/>
    <s v="08:00-10:00"/>
    <d v="2026-01-28T06:02:00"/>
    <d v="2026-01-28T06:29:00"/>
    <d v="2026-01-28T07:22:00"/>
    <d v="2026-01-28T07:30:00"/>
    <d v="2026-01-28T08:07:00"/>
    <d v="2026-01-28T08:20:00"/>
    <n v="4"/>
    <x v="4"/>
    <s v="الرياض"/>
    <s v="الملقا"/>
    <s v="مستودع الرياض الرئيسي"/>
    <n v="5000"/>
    <x v="0"/>
    <x v="0"/>
    <x v="0"/>
    <x v="0"/>
    <x v="1"/>
    <x v="6"/>
  </r>
  <r>
    <s v="ORD-2026-100155"/>
    <s v="CUS21362"/>
    <d v="2026-01-18T00:00:00"/>
    <s v="D013"/>
    <n v="14"/>
    <n v="4.5"/>
    <s v="شاحنة متوسطة"/>
    <s v="08:00-10:00"/>
    <d v="2026-01-18T08:36:00"/>
    <d v="2026-01-18T09:01:00"/>
    <d v="2026-01-18T09:32:00"/>
    <d v="2026-01-18T09:51:00"/>
    <d v="2026-01-18T10:23:00"/>
    <d v="2026-01-18T10:41:00"/>
    <n v="6"/>
    <x v="1"/>
    <s v="جدة"/>
    <s v="الصفا"/>
    <s v="مستودع جدة الرئيسي"/>
    <n v="4000"/>
    <x v="0"/>
    <x v="0"/>
    <x v="0"/>
    <x v="0"/>
    <x v="2"/>
    <x v="2"/>
  </r>
  <r>
    <s v="ORD-2026-100156"/>
    <s v="CUS96298"/>
    <d v="2026-01-13T00:00:00"/>
    <s v="D005"/>
    <n v="27"/>
    <n v="11.7"/>
    <s v="سيارة سيدان"/>
    <s v="20:00-22:00"/>
    <d v="2026-01-13T06:35:00"/>
    <d v="2026-01-13T06:47:00"/>
    <d v="2026-01-13T07:32:00"/>
    <d v="2026-01-13T07:39:00"/>
    <d v="2026-01-13T08:04:00"/>
    <d v="2026-01-13T08:44:00"/>
    <n v="5"/>
    <x v="1"/>
    <s v="الرياض"/>
    <s v="السليمانية"/>
    <s v="مستودع الرياض الرئيسي"/>
    <n v="5000"/>
    <x v="0"/>
    <x v="0"/>
    <x v="0"/>
    <x v="0"/>
    <x v="0"/>
    <x v="1"/>
  </r>
  <r>
    <s v="ORD-2026-100157"/>
    <s v="CUS51480"/>
    <d v="2026-02-08T00:00:00"/>
    <s v="D007"/>
    <n v="30"/>
    <n v="6.4"/>
    <s v="شاحنة صغيرة"/>
    <s v="20:00-22:00"/>
    <d v="2026-02-08T09:49:00"/>
    <d v="2026-02-08T10:19:00"/>
    <d v="2026-02-08T10:59:00"/>
    <d v="2026-02-08T11:19:00"/>
    <d v="2026-02-08T11:53:00"/>
    <d v="2026-02-08T12:05:00"/>
    <n v="2"/>
    <x v="1"/>
    <s v="المدينة المنورة"/>
    <s v="قباء"/>
    <s v="مستودع المدينة المنورة"/>
    <n v="2000"/>
    <x v="0"/>
    <x v="0"/>
    <x v="0"/>
    <x v="0"/>
    <x v="0"/>
    <x v="6"/>
  </r>
  <r>
    <s v="ORD-2026-100158"/>
    <s v="CUS75673"/>
    <d v="2026-01-17T00:00:00"/>
    <s v="D013"/>
    <n v="28"/>
    <n v="8.4"/>
    <s v="دراجة نارية"/>
    <s v="20:00-22:00"/>
    <d v="2026-01-17T08:00:00"/>
    <d v="2026-01-17T08:29:00"/>
    <d v="2026-01-17T08:48:00"/>
    <d v="2026-01-17T08:53:00"/>
    <d v="2026-01-17T09:40:00"/>
    <d v="2026-01-17T09:49:00"/>
    <n v="1"/>
    <x v="6"/>
    <s v="المدينة المنورة"/>
    <s v="العنابس"/>
    <s v="مستودع المدينة المنورة"/>
    <n v="2000"/>
    <x v="1"/>
    <x v="1"/>
    <x v="3"/>
    <x v="6"/>
    <x v="2"/>
    <x v="0"/>
  </r>
  <r>
    <s v="ORD-2026-100159"/>
    <s v="CUS41278"/>
    <d v="2026-02-23T00:00:00"/>
    <s v="D014"/>
    <n v="39"/>
    <n v="8.3000000000000007"/>
    <s v="دراجة نارية"/>
    <s v="12:00-14:00"/>
    <d v="2026-02-23T06:21:00"/>
    <d v="2026-02-23T06:35:00"/>
    <d v="2026-02-23T06:55:00"/>
    <d v="2026-02-23T07:06:00"/>
    <d v="2026-02-23T07:25:00"/>
    <d v="2026-02-23T08:04:00"/>
    <n v="3"/>
    <x v="1"/>
    <s v="مكة المكرمة"/>
    <s v="العزيزية"/>
    <s v="مستودع مكة المكرمة"/>
    <n v="2500"/>
    <x v="0"/>
    <x v="1"/>
    <x v="0"/>
    <x v="5"/>
    <x v="0"/>
    <x v="0"/>
  </r>
  <r>
    <s v="ORD-2026-100160"/>
    <s v="CUS43980"/>
    <d v="2026-01-08T00:00:00"/>
    <s v="D008"/>
    <n v="12"/>
    <n v="7.6"/>
    <s v="شاحنة متوسطة"/>
    <s v="08:00-10:00"/>
    <d v="2026-01-08T07:19:00"/>
    <d v="2026-01-08T07:45:00"/>
    <d v="2026-01-08T08:17:00"/>
    <d v="2026-01-08T08:25:00"/>
    <d v="2026-01-08T08:35:00"/>
    <d v="2026-01-08T08:48:00"/>
    <n v="6"/>
    <x v="4"/>
    <s v="الرياض"/>
    <s v="السليمانية"/>
    <s v="مستودع الرياض الرئيسي"/>
    <n v="5000"/>
    <x v="1"/>
    <x v="0"/>
    <x v="0"/>
    <x v="0"/>
    <x v="0"/>
    <x v="0"/>
  </r>
  <r>
    <s v="ORD-2026-100161"/>
    <s v="CUS75484"/>
    <d v="2026-01-22T00:00:00"/>
    <s v="D012"/>
    <n v="22"/>
    <n v="9.9"/>
    <s v="شاحنة صغيرة"/>
    <s v="20:00-22:00"/>
    <d v="2026-01-22T09:50:00"/>
    <d v="2026-01-22T09:55:00"/>
    <d v="2026-01-22T10:47:00"/>
    <d v="2026-01-22T11:05:00"/>
    <d v="2026-01-22T11:32:00"/>
    <d v="2026-01-22T12:10:00"/>
    <n v="1"/>
    <x v="0"/>
    <s v="جدة"/>
    <s v="الصفا"/>
    <s v="مستودع جدة الرئيسي"/>
    <n v="4000"/>
    <x v="0"/>
    <x v="0"/>
    <x v="0"/>
    <x v="0"/>
    <x v="2"/>
    <x v="7"/>
  </r>
  <r>
    <s v="ORD-2026-100162"/>
    <s v="CUS14635"/>
    <d v="2026-03-14T00:00:00"/>
    <s v="D006"/>
    <n v="21"/>
    <n v="10.199999999999999"/>
    <s v="شاحنة متوسطة"/>
    <s v="18:00-20:00"/>
    <d v="2026-03-14T09:05:00"/>
    <d v="2026-03-14T09:13:00"/>
    <d v="2026-03-14T09:52:00"/>
    <d v="2026-03-14T09:57:00"/>
    <d v="2026-03-14T10:09:00"/>
    <d v="2026-03-14T10:14:00"/>
    <n v="2"/>
    <x v="5"/>
    <s v="الدمام"/>
    <s v="الفيصلية"/>
    <s v="مستودع الدمام"/>
    <n v="3000"/>
    <x v="0"/>
    <x v="0"/>
    <x v="0"/>
    <x v="0"/>
    <x v="0"/>
    <x v="1"/>
  </r>
  <r>
    <s v="ORD-2026-100163"/>
    <s v="CUS19034"/>
    <d v="2026-03-12T00:00:00"/>
    <s v="D026"/>
    <n v="25"/>
    <n v="6"/>
    <s v="سيارة سيدان"/>
    <s v="12:00-14:00"/>
    <d v="2026-03-12T09:31:00"/>
    <d v="2026-03-12T09:38:00"/>
    <d v="2026-03-12T11:01:00"/>
    <d v="2026-03-12T11:17:00"/>
    <d v="2026-03-12T11:34:00"/>
    <d v="2026-03-12T12:11:00"/>
    <n v="6"/>
    <x v="1"/>
    <s v="مكة المكرمة"/>
    <s v="الشوقية"/>
    <s v="مستودع مكة المكرمة"/>
    <n v="2500"/>
    <x v="0"/>
    <x v="0"/>
    <x v="0"/>
    <x v="0"/>
    <x v="0"/>
    <x v="12"/>
  </r>
  <r>
    <s v="ORD-2026-100164"/>
    <s v="CUS81638"/>
    <d v="2026-03-01T00:00:00"/>
    <s v="D028"/>
    <n v="25"/>
    <n v="4.7"/>
    <s v="فان"/>
    <s v="08:00-10:00"/>
    <d v="2026-03-01T07:34:00"/>
    <d v="2026-03-01T07:45:00"/>
    <d v="2026-03-01T08:32:00"/>
    <d v="2026-03-01T08:46:00"/>
    <d v="2026-03-01T09:43:00"/>
    <d v="2026-03-01T10:27:00"/>
    <n v="2"/>
    <x v="1"/>
    <s v="الدمام"/>
    <s v="الشاطئ"/>
    <s v="مستودع الدمام"/>
    <n v="3000"/>
    <x v="0"/>
    <x v="0"/>
    <x v="0"/>
    <x v="0"/>
    <x v="0"/>
    <x v="2"/>
  </r>
  <r>
    <s v="ORD-2026-100165"/>
    <s v="CUS74491"/>
    <d v="2026-02-01T00:00:00"/>
    <s v="D005"/>
    <n v="6"/>
    <n v="5.9"/>
    <s v="سيارة سيدان"/>
    <s v="18:00-20:00"/>
    <d v="2026-02-01T09:34:00"/>
    <d v="2026-02-01T10:01:00"/>
    <d v="2026-02-01T10:12:00"/>
    <d v="2026-02-01T10:27:00"/>
    <d v="2026-02-01T10:37:00"/>
    <d v="2026-02-01T11:06:00"/>
    <n v="7"/>
    <x v="1"/>
    <s v="الرياض"/>
    <s v="السليمانية"/>
    <s v="مستودع الرياض الرئيسي"/>
    <n v="5000"/>
    <x v="0"/>
    <x v="0"/>
    <x v="0"/>
    <x v="0"/>
    <x v="0"/>
    <x v="12"/>
  </r>
  <r>
    <s v="ORD-2026-100166"/>
    <s v="CUS41034"/>
    <d v="2026-01-08T00:00:00"/>
    <s v="D005"/>
    <n v="7"/>
    <n v="11.4"/>
    <s v="شاحنة متوسطة"/>
    <s v="14:00-16:00"/>
    <d v="2026-01-08T08:59:00"/>
    <d v="2026-01-08T09:15:00"/>
    <d v="2026-01-08T10:23:00"/>
    <d v="2026-01-08T10:30:00"/>
    <d v="2026-01-08T11:17:00"/>
    <d v="2026-01-08T11:28:00"/>
    <n v="5"/>
    <x v="4"/>
    <s v="الدمام"/>
    <s v="العزيزية"/>
    <s v="مستودع الدمام"/>
    <n v="3000"/>
    <x v="0"/>
    <x v="0"/>
    <x v="0"/>
    <x v="0"/>
    <x v="2"/>
    <x v="14"/>
  </r>
  <r>
    <s v="ORD-2026-100167"/>
    <s v="CUS37215"/>
    <d v="2026-02-07T00:00:00"/>
    <s v="D009"/>
    <n v="25"/>
    <n v="6.5"/>
    <s v="سيارة سيدان"/>
    <s v="10:00-12:00"/>
    <d v="2026-02-07T06:19:00"/>
    <d v="2026-02-07T06:30:00"/>
    <d v="2026-02-07T06:57:00"/>
    <d v="2026-02-07T07:05:00"/>
    <d v="2026-02-07T07:24:00"/>
    <d v="2026-02-07T07:35:00"/>
    <n v="2"/>
    <x v="1"/>
    <s v="الدمام"/>
    <s v="الجلوية"/>
    <s v="مستودع الدمام"/>
    <n v="3000"/>
    <x v="0"/>
    <x v="0"/>
    <x v="0"/>
    <x v="0"/>
    <x v="2"/>
    <x v="3"/>
  </r>
  <r>
    <s v="ORD-2026-100168"/>
    <s v="CUS44100"/>
    <d v="2026-02-27T00:00:00"/>
    <s v="D010"/>
    <n v="12"/>
    <n v="4.7"/>
    <s v="سيارة سيدان"/>
    <s v="20:00-22:00"/>
    <d v="2026-02-27T09:00:00"/>
    <d v="2026-02-27T09:27:00"/>
    <d v="2026-02-27T10:54:00"/>
    <d v="2026-02-27T11:00:00"/>
    <d v="2026-02-27T11:23:00"/>
    <d v="2026-02-27T11:48:00"/>
    <n v="2"/>
    <x v="3"/>
    <s v="مكة المكرمة"/>
    <s v="الزاهر"/>
    <s v="مستودع مكة المكرمة"/>
    <n v="2500"/>
    <x v="1"/>
    <x v="0"/>
    <x v="0"/>
    <x v="0"/>
    <x v="4"/>
    <x v="11"/>
  </r>
  <r>
    <s v="ORD-2026-100169"/>
    <s v="CUS92614"/>
    <d v="2026-01-23T00:00:00"/>
    <s v="D001"/>
    <n v="40"/>
    <n v="10"/>
    <s v="دراجة نارية"/>
    <s v="08:00-10:00"/>
    <d v="2026-01-23T07:58:00"/>
    <d v="2026-01-23T08:06:00"/>
    <d v="2026-01-23T08:33:00"/>
    <d v="2026-01-23T08:41:00"/>
    <d v="2026-01-23T08:51:00"/>
    <d v="2026-01-23T08:59:00"/>
    <n v="7"/>
    <x v="1"/>
    <s v="مكة المكرمة"/>
    <s v="أجياد"/>
    <s v="مستودع مكة المكرمة"/>
    <n v="2500"/>
    <x v="0"/>
    <x v="0"/>
    <x v="0"/>
    <x v="0"/>
    <x v="2"/>
    <x v="10"/>
  </r>
  <r>
    <s v="ORD-2026-100170"/>
    <s v="CUS60165"/>
    <d v="2026-03-24T00:00:00"/>
    <s v="D003"/>
    <n v="9"/>
    <n v="4.2"/>
    <s v="شاحنة صغيرة"/>
    <s v="10:00-12:00"/>
    <d v="2026-03-24T09:51:00"/>
    <d v="2026-03-24T10:16:00"/>
    <d v="2026-03-24T11:22:00"/>
    <d v="2026-03-24T11:31:00"/>
    <d v="2026-03-24T11:46:00"/>
    <d v="2026-03-24T12:12:00"/>
    <n v="1"/>
    <x v="4"/>
    <s v="المدينة المنورة"/>
    <s v="الحرة الغربية"/>
    <s v="مستودع المدينة المنورة"/>
    <n v="2000"/>
    <x v="0"/>
    <x v="1"/>
    <x v="3"/>
    <x v="1"/>
    <x v="2"/>
    <x v="7"/>
  </r>
  <r>
    <s v="ORD-2026-100171"/>
    <s v="CUS64949"/>
    <d v="2026-03-29T00:00:00"/>
    <s v="D014"/>
    <n v="18"/>
    <n v="11.3"/>
    <s v="سيارة سيدان"/>
    <s v="12:00-14:00"/>
    <d v="2026-03-29T07:54:00"/>
    <d v="2026-03-29T08:03:00"/>
    <d v="2026-03-29T08:17:00"/>
    <d v="2026-03-29T08:29:00"/>
    <d v="2026-03-29T09:20:00"/>
    <d v="2026-03-29T09:43:00"/>
    <n v="4"/>
    <x v="1"/>
    <s v="جدة"/>
    <s v="الروضة"/>
    <s v="مستودع جدة الرئيسي"/>
    <n v="4000"/>
    <x v="0"/>
    <x v="0"/>
    <x v="0"/>
    <x v="0"/>
    <x v="3"/>
    <x v="14"/>
  </r>
  <r>
    <s v="ORD-2026-100172"/>
    <s v="CUS46822"/>
    <d v="2026-01-26T00:00:00"/>
    <s v="D021"/>
    <n v="39"/>
    <n v="10.4"/>
    <s v="فان"/>
    <s v="20:00-22:00"/>
    <d v="2026-01-26T09:02:00"/>
    <d v="2026-01-26T09:18:00"/>
    <d v="2026-01-26T10:29:00"/>
    <d v="2026-01-26T10:49:00"/>
    <d v="2026-01-26T11:21:00"/>
    <d v="2026-01-26T12:02:00"/>
    <n v="5"/>
    <x v="1"/>
    <s v="المدينة المنورة"/>
    <s v="قباء"/>
    <s v="مستودع المدينة المنورة"/>
    <n v="2000"/>
    <x v="0"/>
    <x v="0"/>
    <x v="0"/>
    <x v="0"/>
    <x v="2"/>
    <x v="7"/>
  </r>
  <r>
    <s v="ORD-2026-100173"/>
    <s v="CUS32768"/>
    <d v="2026-01-08T00:00:00"/>
    <s v="D026"/>
    <n v="27"/>
    <n v="10.1"/>
    <s v="دراجة نارية"/>
    <s v="10:00-12:00"/>
    <d v="2026-01-08T06:25:00"/>
    <d v="2026-01-08T06:37:00"/>
    <d v="2026-01-08T07:17:00"/>
    <d v="2026-01-08T07:30:00"/>
    <d v="2026-01-08T08:14:00"/>
    <d v="2026-01-08T08:22:00"/>
    <n v="7"/>
    <x v="1"/>
    <s v="مكة المكرمة"/>
    <s v="المسفلة"/>
    <s v="مستودع مكة المكرمة"/>
    <n v="2500"/>
    <x v="0"/>
    <x v="1"/>
    <x v="3"/>
    <x v="5"/>
    <x v="0"/>
    <x v="1"/>
  </r>
  <r>
    <s v="ORD-2026-100174"/>
    <s v="CUS14975"/>
    <d v="2026-01-23T00:00:00"/>
    <s v="D008"/>
    <n v="27"/>
    <n v="11.3"/>
    <s v="شاحنة صغيرة"/>
    <s v="18:00-20:00"/>
    <d v="2026-01-23T08:59:00"/>
    <d v="2026-01-23T09:15:00"/>
    <d v="2026-01-23T10:37:00"/>
    <d v="2026-01-23T10:46:00"/>
    <d v="2026-01-23T11:32:00"/>
    <d v="2026-01-23T11:49:00"/>
    <n v="7"/>
    <x v="1"/>
    <s v="المدينة المنورة"/>
    <s v="الحرة الغربية"/>
    <s v="مستودع المدينة المنورة"/>
    <n v="2000"/>
    <x v="0"/>
    <x v="0"/>
    <x v="0"/>
    <x v="0"/>
    <x v="2"/>
    <x v="4"/>
  </r>
  <r>
    <s v="ORD-2026-100175"/>
    <s v="CUS28566"/>
    <d v="2026-01-12T00:00:00"/>
    <s v="D002"/>
    <n v="19"/>
    <n v="4.2"/>
    <s v="فان"/>
    <s v="08:00-10:00"/>
    <d v="2026-01-12T07:24:00"/>
    <d v="2026-01-12T07:48:00"/>
    <d v="2026-01-12T08:23:00"/>
    <d v="2026-01-12T08:32:00"/>
    <d v="2026-01-12T09:03:00"/>
    <d v="2026-01-12T09:19:00"/>
    <n v="7"/>
    <x v="1"/>
    <s v="جدة"/>
    <s v="النزهة"/>
    <s v="مستودع جدة الرئيسي"/>
    <n v="4000"/>
    <x v="0"/>
    <x v="0"/>
    <x v="0"/>
    <x v="0"/>
    <x v="2"/>
    <x v="5"/>
  </r>
  <r>
    <s v="ORD-2026-100176"/>
    <s v="CUS90440"/>
    <d v="2026-01-15T00:00:00"/>
    <s v="D028"/>
    <n v="9"/>
    <n v="7"/>
    <s v="فان"/>
    <s v="16:00-18:00"/>
    <d v="2026-01-15T06:25:00"/>
    <d v="2026-01-15T06:40:00"/>
    <d v="2026-01-15T07:28:00"/>
    <d v="2026-01-15T07:43:00"/>
    <d v="2026-01-15T08:01:00"/>
    <d v="2026-01-15T08:16:00"/>
    <n v="6"/>
    <x v="1"/>
    <s v="المدينة المنورة"/>
    <s v="الحرة الغربية"/>
    <s v="مستودع المدينة المنورة"/>
    <n v="2000"/>
    <x v="0"/>
    <x v="1"/>
    <x v="2"/>
    <x v="2"/>
    <x v="0"/>
    <x v="9"/>
  </r>
  <r>
    <s v="ORD-2026-100177"/>
    <s v="CUS75035"/>
    <d v="2026-02-15T00:00:00"/>
    <s v="D008"/>
    <n v="29"/>
    <n v="6.5"/>
    <s v="سيارة سيدان"/>
    <s v="10:00-12:00"/>
    <d v="2026-02-15T06:45:00"/>
    <d v="2026-02-15T07:13:00"/>
    <d v="2026-02-15T07:23:00"/>
    <d v="2026-02-15T07:40:00"/>
    <d v="2026-02-15T08:39:00"/>
    <d v="2026-02-15T09:20:00"/>
    <n v="1"/>
    <x v="5"/>
    <s v="المدينة المنورة"/>
    <s v="قباء"/>
    <s v="مستودع المدينة المنورة"/>
    <n v="2000"/>
    <x v="1"/>
    <x v="1"/>
    <x v="1"/>
    <x v="1"/>
    <x v="2"/>
    <x v="5"/>
  </r>
  <r>
    <s v="ORD-2026-100178"/>
    <s v="CUS60585"/>
    <d v="2026-01-19T00:00:00"/>
    <s v="D011"/>
    <n v="27"/>
    <n v="11.9"/>
    <s v="دراجة نارية"/>
    <s v="18:00-20:00"/>
    <d v="2026-01-19T09:46:00"/>
    <d v="2026-01-19T09:53:00"/>
    <d v="2026-01-19T10:45:00"/>
    <d v="2026-01-19T11:04:00"/>
    <d v="2026-01-19T11:14:00"/>
    <d v="2026-01-19T11:35:00"/>
    <n v="2"/>
    <x v="6"/>
    <s v="الرياض"/>
    <s v="حطين"/>
    <s v="مستودع الرياض الرئيسي"/>
    <n v="5000"/>
    <x v="0"/>
    <x v="0"/>
    <x v="0"/>
    <x v="0"/>
    <x v="0"/>
    <x v="7"/>
  </r>
  <r>
    <s v="ORD-2026-100179"/>
    <s v="CUS48654"/>
    <d v="2026-02-26T00:00:00"/>
    <s v="D024"/>
    <n v="31"/>
    <n v="7.9"/>
    <s v="فان"/>
    <s v="12:00-14:00"/>
    <d v="2026-02-26T08:19:00"/>
    <d v="2026-02-26T08:36:00"/>
    <d v="2026-02-26T08:58:00"/>
    <d v="2026-02-26T09:18:00"/>
    <d v="2026-02-26T10:18:00"/>
    <d v="2026-02-26T10:59:00"/>
    <n v="6"/>
    <x v="1"/>
    <s v="مكة المكرمة"/>
    <s v="الشوقية"/>
    <s v="مستودع مكة المكرمة"/>
    <n v="2500"/>
    <x v="0"/>
    <x v="0"/>
    <x v="0"/>
    <x v="0"/>
    <x v="0"/>
    <x v="7"/>
  </r>
  <r>
    <s v="ORD-2026-100180"/>
    <s v="CUS66911"/>
    <d v="2026-01-03T00:00:00"/>
    <s v="D011"/>
    <n v="9"/>
    <n v="6.7"/>
    <s v="فان"/>
    <s v="10:00-12:00"/>
    <d v="2026-01-03T09:07:00"/>
    <d v="2026-01-03T09:14:00"/>
    <d v="2026-01-03T10:34:00"/>
    <d v="2026-01-03T10:41:00"/>
    <d v="2026-01-03T11:12:00"/>
    <d v="2026-01-03T11:55:00"/>
    <n v="5"/>
    <x v="1"/>
    <s v="الدمام"/>
    <s v="العزيزية"/>
    <s v="مستودع الدمام"/>
    <n v="3000"/>
    <x v="0"/>
    <x v="0"/>
    <x v="0"/>
    <x v="0"/>
    <x v="0"/>
    <x v="13"/>
  </r>
  <r>
    <s v="ORD-2026-100181"/>
    <s v="CUS57294"/>
    <d v="2026-01-21T00:00:00"/>
    <s v="D002"/>
    <n v="18"/>
    <n v="11.8"/>
    <s v="فان"/>
    <s v="18:00-20:00"/>
    <d v="2026-01-21T08:21:00"/>
    <d v="2026-01-21T08:49:00"/>
    <d v="2026-01-21T10:08:00"/>
    <d v="2026-01-21T10:21:00"/>
    <d v="2026-01-21T11:13:00"/>
    <d v="2026-01-21T11:36:00"/>
    <n v="3"/>
    <x v="6"/>
    <s v="الرياض"/>
    <s v="الورود"/>
    <s v="مستودع الرياض الرئيسي"/>
    <n v="5000"/>
    <x v="0"/>
    <x v="0"/>
    <x v="0"/>
    <x v="0"/>
    <x v="2"/>
    <x v="7"/>
  </r>
  <r>
    <s v="ORD-2026-100182"/>
    <s v="CUS34232"/>
    <d v="2026-01-01T00:00:00"/>
    <s v="D014"/>
    <n v="35"/>
    <n v="5.6"/>
    <s v="شاحنة صغيرة"/>
    <s v="10:00-12:00"/>
    <d v="2026-01-01T06:43:00"/>
    <d v="2026-01-01T07:08:00"/>
    <d v="2026-01-01T07:55:00"/>
    <d v="2026-01-01T08:02:00"/>
    <d v="2026-01-01T08:42:00"/>
    <d v="2026-01-01T08:54:00"/>
    <n v="3"/>
    <x v="1"/>
    <s v="الرياض"/>
    <s v="الروضة"/>
    <s v="مستودع الرياض الرئيسي"/>
    <n v="5000"/>
    <x v="0"/>
    <x v="1"/>
    <x v="2"/>
    <x v="3"/>
    <x v="0"/>
    <x v="12"/>
  </r>
  <r>
    <s v="ORD-2026-100183"/>
    <s v="CUS64262"/>
    <d v="2026-02-17T00:00:00"/>
    <s v="D029"/>
    <n v="16"/>
    <n v="7.6"/>
    <s v="سيارة سيدان"/>
    <s v="14:00-16:00"/>
    <d v="2026-02-17T07:59:00"/>
    <d v="2026-02-17T08:12:00"/>
    <d v="2026-02-17T08:50:00"/>
    <d v="2026-02-17T09:03:00"/>
    <d v="2026-02-17T09:49:00"/>
    <d v="2026-02-17T09:57:00"/>
    <n v="2"/>
    <x v="1"/>
    <s v="مكة المكرمة"/>
    <s v="الزاهر"/>
    <s v="مستودع مكة المكرمة"/>
    <n v="2500"/>
    <x v="0"/>
    <x v="0"/>
    <x v="0"/>
    <x v="0"/>
    <x v="2"/>
    <x v="9"/>
  </r>
  <r>
    <s v="ORD-2026-100184"/>
    <s v="CUS84905"/>
    <d v="2026-03-17T00:00:00"/>
    <s v="D008"/>
    <n v="29"/>
    <n v="10.5"/>
    <s v="فان"/>
    <s v="16:00-18:00"/>
    <d v="2026-03-17T08:55:00"/>
    <d v="2026-03-17T09:15:00"/>
    <d v="2026-03-17T10:38:00"/>
    <d v="2026-03-17T10:50:00"/>
    <d v="2026-03-17T11:30:00"/>
    <d v="2026-03-17T11:54:00"/>
    <n v="1"/>
    <x v="1"/>
    <s v="المدينة المنورة"/>
    <s v="العوالي"/>
    <s v="مستودع المدينة المنورة"/>
    <n v="2000"/>
    <x v="0"/>
    <x v="0"/>
    <x v="0"/>
    <x v="0"/>
    <x v="2"/>
    <x v="9"/>
  </r>
  <r>
    <s v="ORD-2026-100185"/>
    <s v="CUS51910"/>
    <d v="2026-03-28T00:00:00"/>
    <s v="D020"/>
    <n v="33"/>
    <n v="5.4"/>
    <s v="دراجة نارية"/>
    <s v="10:00-12:00"/>
    <d v="2026-03-28T09:26:00"/>
    <d v="2026-03-28T09:37:00"/>
    <d v="2026-03-28T10:03:00"/>
    <d v="2026-03-28T10:09:00"/>
    <d v="2026-03-28T10:46:00"/>
    <d v="2026-03-28T10:56:00"/>
    <n v="6"/>
    <x v="1"/>
    <s v="جدة"/>
    <s v="الحمراء"/>
    <s v="مستودع جدة الرئيسي"/>
    <n v="4000"/>
    <x v="1"/>
    <x v="0"/>
    <x v="0"/>
    <x v="0"/>
    <x v="0"/>
    <x v="11"/>
  </r>
  <r>
    <s v="ORD-2026-100186"/>
    <s v="CUS47498"/>
    <d v="2026-01-09T00:00:00"/>
    <s v="D003"/>
    <n v="30"/>
    <n v="8.4"/>
    <s v="سيارة سيدان"/>
    <s v="16:00-18:00"/>
    <d v="2026-01-09T07:57:00"/>
    <d v="2026-01-09T08:02:00"/>
    <d v="2026-01-09T09:31:00"/>
    <d v="2026-01-09T09:49:00"/>
    <d v="2026-01-09T10:06:00"/>
    <d v="2026-01-09T10:37:00"/>
    <n v="2"/>
    <x v="0"/>
    <s v="مكة المكرمة"/>
    <s v="المسفلة"/>
    <s v="مستودع مكة المكرمة"/>
    <n v="2500"/>
    <x v="0"/>
    <x v="1"/>
    <x v="0"/>
    <x v="3"/>
    <x v="2"/>
    <x v="8"/>
  </r>
  <r>
    <s v="ORD-2026-100187"/>
    <s v="CUS53449"/>
    <d v="2026-03-10T00:00:00"/>
    <s v="D029"/>
    <n v="21"/>
    <n v="7.1"/>
    <s v="فان"/>
    <s v="16:00-18:00"/>
    <d v="2026-03-10T08:35:00"/>
    <d v="2026-03-10T08:55:00"/>
    <d v="2026-03-10T09:09:00"/>
    <d v="2026-03-10T09:19:00"/>
    <d v="2026-03-10T09:46:00"/>
    <d v="2026-03-10T10:16:00"/>
    <n v="2"/>
    <x v="1"/>
    <s v="الدمام"/>
    <s v="الجلوية"/>
    <s v="مستودع الدمام"/>
    <n v="3000"/>
    <x v="0"/>
    <x v="0"/>
    <x v="0"/>
    <x v="0"/>
    <x v="2"/>
    <x v="5"/>
  </r>
  <r>
    <s v="ORD-2026-100188"/>
    <s v="CUS52056"/>
    <d v="2026-03-30T00:00:00"/>
    <s v="D008"/>
    <n v="22"/>
    <n v="11.2"/>
    <s v="شاحنة صغيرة"/>
    <s v="12:00-14:00"/>
    <d v="2026-03-30T09:29:00"/>
    <d v="2026-03-30T09:59:00"/>
    <d v="2026-03-30T10:47:00"/>
    <d v="2026-03-30T11:01:00"/>
    <d v="2026-03-30T11:28:00"/>
    <d v="2026-03-30T12:04:00"/>
    <n v="7"/>
    <x v="1"/>
    <s v="الرياض"/>
    <s v="الربوة"/>
    <s v="مستودع الرياض الرئيسي"/>
    <n v="5000"/>
    <x v="0"/>
    <x v="1"/>
    <x v="1"/>
    <x v="5"/>
    <x v="0"/>
    <x v="4"/>
  </r>
  <r>
    <s v="ORD-2026-100189"/>
    <s v="CUS84537"/>
    <d v="2026-02-04T00:00:00"/>
    <s v="D024"/>
    <n v="10"/>
    <n v="5.5"/>
    <s v="دراجة نارية"/>
    <s v="20:00-22:00"/>
    <d v="2026-02-04T07:44:00"/>
    <d v="2026-02-04T08:12:00"/>
    <d v="2026-02-04T09:24:00"/>
    <d v="2026-02-04T09:40:00"/>
    <d v="2026-02-04T09:53:00"/>
    <d v="2026-02-04T10:30:00"/>
    <n v="7"/>
    <x v="5"/>
    <s v="مكة المكرمة"/>
    <s v="المسفلة"/>
    <s v="مستودع مكة المكرمة"/>
    <n v="2500"/>
    <x v="0"/>
    <x v="0"/>
    <x v="0"/>
    <x v="0"/>
    <x v="0"/>
    <x v="9"/>
  </r>
  <r>
    <s v="ORD-2026-100190"/>
    <s v="CUS68471"/>
    <d v="2026-01-04T00:00:00"/>
    <s v="D006"/>
    <n v="17"/>
    <n v="10.7"/>
    <s v="دراجة نارية"/>
    <s v="08:00-10:00"/>
    <d v="2026-01-04T07:56:00"/>
    <d v="2026-01-04T08:02:00"/>
    <d v="2026-01-04T08:58:00"/>
    <d v="2026-01-04T09:09:00"/>
    <d v="2026-01-04T09:36:00"/>
    <d v="2026-01-04T10:04:00"/>
    <n v="7"/>
    <x v="1"/>
    <s v="جدة"/>
    <s v="الأندلس"/>
    <s v="مستودع جدة الرئيسي"/>
    <n v="4000"/>
    <x v="0"/>
    <x v="1"/>
    <x v="0"/>
    <x v="2"/>
    <x v="2"/>
    <x v="13"/>
  </r>
  <r>
    <s v="ORD-2026-100191"/>
    <s v="CUS98826"/>
    <d v="2026-01-23T00:00:00"/>
    <s v="D028"/>
    <n v="40"/>
    <n v="6.8"/>
    <s v="دراجة نارية"/>
    <s v="20:00-22:00"/>
    <d v="2026-01-23T09:48:00"/>
    <d v="2026-01-23T10:01:00"/>
    <d v="2026-01-23T10:22:00"/>
    <d v="2026-01-23T10:36:00"/>
    <d v="2026-01-23T10:47:00"/>
    <d v="2026-01-23T11:16:00"/>
    <n v="1"/>
    <x v="0"/>
    <s v="مكة المكرمة"/>
    <s v="المسفلة"/>
    <s v="مستودع مكة المكرمة"/>
    <n v="2500"/>
    <x v="0"/>
    <x v="0"/>
    <x v="0"/>
    <x v="0"/>
    <x v="3"/>
    <x v="2"/>
  </r>
  <r>
    <s v="ORD-2026-100192"/>
    <s v="CUS55706"/>
    <d v="2026-01-27T00:00:00"/>
    <s v="D009"/>
    <n v="6"/>
    <n v="10.9"/>
    <s v="شاحنة صغيرة"/>
    <s v="14:00-16:00"/>
    <d v="2026-01-27T09:53:00"/>
    <d v="2026-01-27T10:02:00"/>
    <d v="2026-01-27T10:34:00"/>
    <d v="2026-01-27T10:39:00"/>
    <d v="2026-01-27T11:03:00"/>
    <d v="2026-01-27T11:24:00"/>
    <n v="5"/>
    <x v="1"/>
    <s v="مكة المكرمة"/>
    <s v="المسفلة"/>
    <s v="مستودع مكة المكرمة"/>
    <n v="2500"/>
    <x v="0"/>
    <x v="1"/>
    <x v="2"/>
    <x v="4"/>
    <x v="0"/>
    <x v="1"/>
  </r>
  <r>
    <s v="ORD-2026-100193"/>
    <s v="CUS93964"/>
    <d v="2026-02-28T00:00:00"/>
    <s v="D009"/>
    <n v="24"/>
    <n v="9.4"/>
    <s v="شاحنة متوسطة"/>
    <s v="14:00-16:00"/>
    <d v="2026-02-28T08:29:00"/>
    <d v="2026-02-28T08:37:00"/>
    <d v="2026-02-28T08:47:00"/>
    <d v="2026-02-28T09:03:00"/>
    <d v="2026-02-28T09:48:00"/>
    <d v="2026-02-28T10:31:00"/>
    <n v="5"/>
    <x v="1"/>
    <s v="جدة"/>
    <s v="الشاطئ"/>
    <s v="مستودع جدة الرئيسي"/>
    <n v="4000"/>
    <x v="0"/>
    <x v="0"/>
    <x v="0"/>
    <x v="0"/>
    <x v="2"/>
    <x v="11"/>
  </r>
  <r>
    <s v="ORD-2026-100194"/>
    <s v="CUS14629"/>
    <d v="2026-02-11T00:00:00"/>
    <s v="D028"/>
    <n v="24"/>
    <n v="5.5"/>
    <s v="شاحنة متوسطة"/>
    <s v="20:00-22:00"/>
    <d v="2026-02-11T07:01:00"/>
    <d v="2026-02-11T07:07:00"/>
    <d v="2026-02-11T08:33:00"/>
    <d v="2026-02-11T08:50:00"/>
    <d v="2026-02-11T09:42:00"/>
    <d v="2026-02-11T10:07:00"/>
    <n v="6"/>
    <x v="6"/>
    <s v="الدمام"/>
    <s v="الشاطئ"/>
    <s v="مستودع الدمام"/>
    <n v="3000"/>
    <x v="0"/>
    <x v="1"/>
    <x v="2"/>
    <x v="4"/>
    <x v="2"/>
    <x v="0"/>
  </r>
  <r>
    <s v="ORD-2026-100195"/>
    <s v="CUS43902"/>
    <d v="2026-03-16T00:00:00"/>
    <s v="D023"/>
    <n v="26"/>
    <n v="9.8000000000000007"/>
    <s v="دراجة نارية"/>
    <s v="18:00-20:00"/>
    <d v="2026-03-16T08:16:00"/>
    <d v="2026-03-16T08:41:00"/>
    <d v="2026-03-16T09:51:00"/>
    <d v="2026-03-16T10:07:00"/>
    <d v="2026-03-16T10:49:00"/>
    <d v="2026-03-16T11:13:00"/>
    <n v="7"/>
    <x v="2"/>
    <s v="المدينة المنورة"/>
    <s v="قباء"/>
    <s v="مستودع المدينة المنورة"/>
    <n v="2000"/>
    <x v="0"/>
    <x v="0"/>
    <x v="0"/>
    <x v="0"/>
    <x v="1"/>
    <x v="14"/>
  </r>
  <r>
    <s v="ORD-2026-100196"/>
    <s v="CUS86490"/>
    <d v="2026-03-13T00:00:00"/>
    <s v="D025"/>
    <n v="26"/>
    <n v="9.1999999999999993"/>
    <s v="دراجة نارية"/>
    <s v="12:00-14:00"/>
    <d v="2026-03-13T06:57:00"/>
    <d v="2026-03-13T07:25:00"/>
    <d v="2026-03-13T08:14:00"/>
    <d v="2026-03-13T08:32:00"/>
    <d v="2026-03-13T09:32:00"/>
    <d v="2026-03-13T09:58:00"/>
    <n v="3"/>
    <x v="5"/>
    <s v="جدة"/>
    <s v="الصفا"/>
    <s v="مستودع جدة الرئيسي"/>
    <n v="4000"/>
    <x v="0"/>
    <x v="0"/>
    <x v="0"/>
    <x v="0"/>
    <x v="1"/>
    <x v="10"/>
  </r>
  <r>
    <s v="ORD-2026-100197"/>
    <s v="CUS33639"/>
    <d v="2026-03-16T00:00:00"/>
    <s v="D020"/>
    <n v="17"/>
    <n v="8"/>
    <s v="فان"/>
    <s v="16:00-18:00"/>
    <d v="2026-03-16T07:16:00"/>
    <d v="2026-03-16T07:34:00"/>
    <d v="2026-03-16T07:50:00"/>
    <d v="2026-03-16T07:59:00"/>
    <d v="2026-03-16T08:17:00"/>
    <d v="2026-03-16T08:34:00"/>
    <n v="3"/>
    <x v="1"/>
    <s v="الرياض"/>
    <s v="الربوة"/>
    <s v="مستودع الرياض الرئيسي"/>
    <n v="5000"/>
    <x v="0"/>
    <x v="1"/>
    <x v="3"/>
    <x v="2"/>
    <x v="2"/>
    <x v="0"/>
  </r>
  <r>
    <s v="ORD-2026-100198"/>
    <s v="CUS10611"/>
    <d v="2026-01-11T00:00:00"/>
    <s v="D016"/>
    <n v="25"/>
    <n v="9.1"/>
    <s v="شاحنة صغيرة"/>
    <s v="14:00-16:00"/>
    <d v="2026-01-11T07:10:00"/>
    <d v="2026-01-11T07:21:00"/>
    <d v="2026-01-11T07:52:00"/>
    <d v="2026-01-11T08:02:00"/>
    <d v="2026-01-11T08:43:00"/>
    <d v="2026-01-11T08:53:00"/>
    <n v="2"/>
    <x v="1"/>
    <s v="الدمام"/>
    <s v="الفيصلية"/>
    <s v="مستودع الدمام"/>
    <n v="3000"/>
    <x v="0"/>
    <x v="0"/>
    <x v="0"/>
    <x v="0"/>
    <x v="0"/>
    <x v="12"/>
  </r>
  <r>
    <s v="ORD-2026-100199"/>
    <s v="CUS87158"/>
    <d v="2026-01-05T00:00:00"/>
    <s v="D018"/>
    <n v="28"/>
    <n v="11.6"/>
    <s v="سيارة سيدان"/>
    <s v="20:00-22:00"/>
    <d v="2026-01-05T09:33:00"/>
    <d v="2026-01-05T09:54:00"/>
    <d v="2026-01-05T10:28:00"/>
    <d v="2026-01-05T10:33:00"/>
    <d v="2026-01-05T11:26:00"/>
    <d v="2026-01-05T11:31:00"/>
    <n v="6"/>
    <x v="1"/>
    <s v="جدة"/>
    <s v="الصفا"/>
    <s v="مستودع جدة الرئيسي"/>
    <n v="4000"/>
    <x v="0"/>
    <x v="1"/>
    <x v="2"/>
    <x v="2"/>
    <x v="1"/>
    <x v="9"/>
  </r>
  <r>
    <s v="ORD-2026-100200"/>
    <s v="CUS62873"/>
    <d v="2026-02-09T00:00:00"/>
    <s v="D006"/>
    <n v="24"/>
    <n v="11.6"/>
    <s v="فان"/>
    <s v="18:00-20:00"/>
    <d v="2026-02-09T08:13:00"/>
    <d v="2026-02-09T08:37:00"/>
    <d v="2026-02-09T09:54:00"/>
    <d v="2026-02-09T10:09:00"/>
    <d v="2026-02-09T10:46:00"/>
    <d v="2026-02-09T10:59:00"/>
    <n v="3"/>
    <x v="1"/>
    <s v="الرياض"/>
    <s v="العليا"/>
    <s v="مستودع الرياض الرئيسي"/>
    <n v="5000"/>
    <x v="0"/>
    <x v="0"/>
    <x v="0"/>
    <x v="0"/>
    <x v="3"/>
    <x v="5"/>
  </r>
  <r>
    <s v="ORD-2026-100201"/>
    <s v="CUS96765"/>
    <d v="2026-01-03T00:00:00"/>
    <s v="D008"/>
    <n v="13"/>
    <n v="5.7"/>
    <s v="شاحنة صغيرة"/>
    <s v="16:00-18:00"/>
    <d v="2026-01-03T08:09:00"/>
    <d v="2026-01-03T08:19:00"/>
    <d v="2026-01-03T08:44:00"/>
    <d v="2026-01-03T09:00:00"/>
    <d v="2026-01-03T09:55:00"/>
    <d v="2026-01-03T10:02:00"/>
    <n v="4"/>
    <x v="1"/>
    <s v="جدة"/>
    <s v="الصفا"/>
    <s v="مستودع جدة الرئيسي"/>
    <n v="4000"/>
    <x v="0"/>
    <x v="0"/>
    <x v="0"/>
    <x v="0"/>
    <x v="4"/>
    <x v="7"/>
  </r>
  <r>
    <s v="ORD-2026-100202"/>
    <s v="CUS27978"/>
    <d v="2026-01-14T00:00:00"/>
    <s v="D021"/>
    <n v="12"/>
    <n v="7.3"/>
    <s v="فان"/>
    <s v="08:00-10:00"/>
    <d v="2026-01-14T08:20:00"/>
    <d v="2026-01-14T08:33:00"/>
    <d v="2026-01-14T09:43:00"/>
    <d v="2026-01-14T09:52:00"/>
    <d v="2026-01-14T10:15:00"/>
    <d v="2026-01-14T11:00:00"/>
    <n v="1"/>
    <x v="1"/>
    <s v="الرياض"/>
    <s v="العليا"/>
    <s v="مستودع الرياض الرئيسي"/>
    <n v="5000"/>
    <x v="0"/>
    <x v="0"/>
    <x v="0"/>
    <x v="0"/>
    <x v="3"/>
    <x v="13"/>
  </r>
  <r>
    <s v="ORD-2026-100203"/>
    <s v="CUS73001"/>
    <d v="2026-02-23T00:00:00"/>
    <s v="D027"/>
    <n v="23"/>
    <n v="4.9000000000000004"/>
    <s v="شاحنة صغيرة"/>
    <s v="14:00-16:00"/>
    <d v="2026-02-23T06:50:00"/>
    <d v="2026-02-23T07:14:00"/>
    <d v="2026-02-23T07:49:00"/>
    <d v="2026-02-23T08:02:00"/>
    <d v="2026-02-23T08:45:00"/>
    <d v="2026-02-23T09:02:00"/>
    <n v="3"/>
    <x v="1"/>
    <s v="الرياض"/>
    <s v="النزهة"/>
    <s v="مستودع الرياض الرئيسي"/>
    <n v="5000"/>
    <x v="0"/>
    <x v="0"/>
    <x v="0"/>
    <x v="0"/>
    <x v="2"/>
    <x v="2"/>
  </r>
  <r>
    <s v="ORD-2026-100204"/>
    <s v="CUS32898"/>
    <d v="2026-02-12T00:00:00"/>
    <s v="D008"/>
    <n v="10"/>
    <n v="11.3"/>
    <s v="شاحنة متوسطة"/>
    <s v="18:00-20:00"/>
    <d v="2026-02-12T08:06:00"/>
    <d v="2026-02-12T08:15:00"/>
    <d v="2026-02-12T08:36:00"/>
    <d v="2026-02-12T08:43:00"/>
    <d v="2026-02-12T09:39:00"/>
    <d v="2026-02-12T09:50:00"/>
    <n v="3"/>
    <x v="1"/>
    <s v="الرياض"/>
    <s v="العليا"/>
    <s v="مستودع الرياض الرئيسي"/>
    <n v="5000"/>
    <x v="0"/>
    <x v="1"/>
    <x v="2"/>
    <x v="4"/>
    <x v="1"/>
    <x v="1"/>
  </r>
  <r>
    <s v="ORD-2026-100205"/>
    <s v="CUS58840"/>
    <d v="2026-01-06T00:00:00"/>
    <s v="D028"/>
    <n v="25"/>
    <n v="7.4"/>
    <s v="شاحنة صغيرة"/>
    <s v="08:00-10:00"/>
    <d v="2026-01-06T09:37:00"/>
    <d v="2026-01-06T10:06:00"/>
    <d v="2026-01-06T10:21:00"/>
    <d v="2026-01-06T10:26:00"/>
    <d v="2026-01-06T10:44:00"/>
    <d v="2026-01-06T10:59:00"/>
    <n v="3"/>
    <x v="1"/>
    <s v="الدمام"/>
    <s v="الشاطئ"/>
    <s v="مستودع الدمام"/>
    <n v="3000"/>
    <x v="0"/>
    <x v="0"/>
    <x v="0"/>
    <x v="0"/>
    <x v="0"/>
    <x v="8"/>
  </r>
  <r>
    <s v="ORD-2026-100206"/>
    <s v="CUS73265"/>
    <d v="2026-02-13T00:00:00"/>
    <s v="D006"/>
    <n v="30"/>
    <n v="11.7"/>
    <s v="سيارة سيدان"/>
    <s v="20:00-22:00"/>
    <d v="2026-02-13T07:38:00"/>
    <d v="2026-02-13T08:05:00"/>
    <d v="2026-02-13T09:16:00"/>
    <d v="2026-02-13T09:34:00"/>
    <d v="2026-02-13T10:25:00"/>
    <d v="2026-02-13T10:40:00"/>
    <n v="1"/>
    <x v="2"/>
    <s v="الرياض"/>
    <s v="السليمانية"/>
    <s v="مستودع الرياض الرئيسي"/>
    <n v="5000"/>
    <x v="0"/>
    <x v="1"/>
    <x v="1"/>
    <x v="3"/>
    <x v="2"/>
    <x v="13"/>
  </r>
  <r>
    <s v="ORD-2026-100207"/>
    <s v="CUS98857"/>
    <d v="2026-03-14T00:00:00"/>
    <s v="D022"/>
    <n v="29"/>
    <n v="10.199999999999999"/>
    <s v="شاحنة متوسطة"/>
    <s v="08:00-10:00"/>
    <d v="2026-03-14T09:40:00"/>
    <d v="2026-03-14T10:06:00"/>
    <d v="2026-03-14T10:32:00"/>
    <d v="2026-03-14T10:52:00"/>
    <d v="2026-03-14T11:33:00"/>
    <d v="2026-03-14T11:45:00"/>
    <n v="4"/>
    <x v="1"/>
    <s v="مكة المكرمة"/>
    <s v="الشوقية"/>
    <s v="مستودع مكة المكرمة"/>
    <n v="2500"/>
    <x v="0"/>
    <x v="0"/>
    <x v="0"/>
    <x v="0"/>
    <x v="4"/>
    <x v="1"/>
  </r>
  <r>
    <s v="ORD-2026-100208"/>
    <s v="CUS76265"/>
    <d v="2026-03-09T00:00:00"/>
    <s v="D025"/>
    <n v="26"/>
    <n v="8.1999999999999993"/>
    <s v="شاحنة متوسطة"/>
    <s v="08:00-10:00"/>
    <d v="2026-03-09T07:50:00"/>
    <d v="2026-03-09T08:16:00"/>
    <d v="2026-03-09T08:57:00"/>
    <d v="2026-03-09T09:17:00"/>
    <d v="2026-03-09T09:49:00"/>
    <d v="2026-03-09T10:18:00"/>
    <n v="2"/>
    <x v="1"/>
    <s v="المدينة المنورة"/>
    <s v="قباء"/>
    <s v="مستودع المدينة المنورة"/>
    <n v="2000"/>
    <x v="0"/>
    <x v="1"/>
    <x v="0"/>
    <x v="3"/>
    <x v="0"/>
    <x v="14"/>
  </r>
  <r>
    <s v="ORD-2026-100209"/>
    <s v="CUS75333"/>
    <d v="2026-03-02T00:00:00"/>
    <s v="D028"/>
    <n v="9"/>
    <n v="10"/>
    <s v="سيارة سيدان"/>
    <s v="10:00-12:00"/>
    <d v="2026-03-02T07:24:00"/>
    <d v="2026-03-02T07:37:00"/>
    <d v="2026-03-02T07:53:00"/>
    <d v="2026-03-02T08:05:00"/>
    <d v="2026-03-02T08:50:00"/>
    <d v="2026-03-02T09:19:00"/>
    <n v="4"/>
    <x v="1"/>
    <s v="مكة المكرمة"/>
    <s v="الشوقية"/>
    <s v="مستودع مكة المكرمة"/>
    <n v="2500"/>
    <x v="0"/>
    <x v="0"/>
    <x v="0"/>
    <x v="0"/>
    <x v="2"/>
    <x v="8"/>
  </r>
  <r>
    <s v="ORD-2026-100210"/>
    <s v="CUS54676"/>
    <d v="2026-02-27T00:00:00"/>
    <s v="D011"/>
    <n v="6"/>
    <n v="4.8"/>
    <s v="فان"/>
    <s v="08:00-10:00"/>
    <d v="2026-02-27T08:22:00"/>
    <d v="2026-02-27T08:44:00"/>
    <d v="2026-02-27T08:54:00"/>
    <d v="2026-02-27T09:01:00"/>
    <d v="2026-02-27T10:01:00"/>
    <d v="2026-02-27T10:44:00"/>
    <n v="5"/>
    <x v="1"/>
    <s v="الرياض"/>
    <s v="الربوة"/>
    <s v="مستودع الرياض الرئيسي"/>
    <n v="5000"/>
    <x v="0"/>
    <x v="0"/>
    <x v="0"/>
    <x v="0"/>
    <x v="0"/>
    <x v="4"/>
  </r>
  <r>
    <s v="ORD-2026-100211"/>
    <s v="CUS48270"/>
    <d v="2026-02-16T00:00:00"/>
    <s v="D027"/>
    <n v="34"/>
    <n v="6.7"/>
    <s v="شاحنة متوسطة"/>
    <s v="16:00-18:00"/>
    <d v="2026-02-16T08:01:00"/>
    <d v="2026-02-16T08:28:00"/>
    <d v="2026-02-16T09:24:00"/>
    <d v="2026-02-16T09:43:00"/>
    <d v="2026-02-16T10:00:00"/>
    <d v="2026-02-16T10:11:00"/>
    <n v="7"/>
    <x v="1"/>
    <s v="الرياض"/>
    <s v="حطين"/>
    <s v="مستودع الرياض الرئيسي"/>
    <n v="5000"/>
    <x v="0"/>
    <x v="0"/>
    <x v="0"/>
    <x v="0"/>
    <x v="0"/>
    <x v="3"/>
  </r>
  <r>
    <s v="ORD-2026-100212"/>
    <s v="CUS64325"/>
    <d v="2026-03-12T00:00:00"/>
    <s v="D017"/>
    <n v="7"/>
    <n v="11.2"/>
    <s v="فان"/>
    <s v="10:00-12:00"/>
    <d v="2026-03-12T09:30:00"/>
    <d v="2026-03-12T09:57:00"/>
    <d v="2026-03-12T10:59:00"/>
    <d v="2026-03-12T11:07:00"/>
    <d v="2026-03-12T11:33:00"/>
    <d v="2026-03-12T12:17:00"/>
    <n v="2"/>
    <x v="4"/>
    <s v="الدمام"/>
    <s v="العزيزية"/>
    <s v="مستودع الدمام"/>
    <n v="3000"/>
    <x v="0"/>
    <x v="1"/>
    <x v="1"/>
    <x v="1"/>
    <x v="2"/>
    <x v="3"/>
  </r>
  <r>
    <s v="ORD-2026-100213"/>
    <s v="CUS85832"/>
    <d v="2026-01-06T00:00:00"/>
    <s v="D030"/>
    <n v="33"/>
    <n v="7.7"/>
    <s v="شاحنة متوسطة"/>
    <s v="16:00-18:00"/>
    <d v="2026-01-06T06:34:00"/>
    <d v="2026-01-06T06:54:00"/>
    <d v="2026-01-06T07:04:00"/>
    <d v="2026-01-06T07:10:00"/>
    <d v="2026-01-06T07:55:00"/>
    <d v="2026-01-06T08:27:00"/>
    <n v="7"/>
    <x v="1"/>
    <s v="المدينة المنورة"/>
    <s v="العوالي"/>
    <s v="مستودع المدينة المنورة"/>
    <n v="2000"/>
    <x v="1"/>
    <x v="0"/>
    <x v="0"/>
    <x v="0"/>
    <x v="0"/>
    <x v="0"/>
  </r>
  <r>
    <s v="ORD-2026-100214"/>
    <s v="CUS77147"/>
    <d v="2026-01-23T00:00:00"/>
    <s v="D024"/>
    <n v="29"/>
    <n v="9.3000000000000007"/>
    <s v="شاحنة متوسطة"/>
    <s v="12:00-14:00"/>
    <d v="2026-01-23T08:09:00"/>
    <d v="2026-01-23T08:26:00"/>
    <d v="2026-01-23T09:29:00"/>
    <d v="2026-01-23T09:41:00"/>
    <d v="2026-01-23T10:08:00"/>
    <d v="2026-01-23T10:38:00"/>
    <n v="3"/>
    <x v="1"/>
    <s v="جدة"/>
    <s v="الحمراء"/>
    <s v="مستودع جدة الرئيسي"/>
    <n v="4000"/>
    <x v="0"/>
    <x v="0"/>
    <x v="0"/>
    <x v="0"/>
    <x v="2"/>
    <x v="0"/>
  </r>
  <r>
    <s v="ORD-2026-100215"/>
    <s v="CUS25126"/>
    <d v="2026-02-08T00:00:00"/>
    <s v="D027"/>
    <n v="40"/>
    <n v="9.1"/>
    <s v="دراجة نارية"/>
    <s v="10:00-12:00"/>
    <d v="2026-02-08T08:39:00"/>
    <d v="2026-02-08T09:06:00"/>
    <d v="2026-02-08T09:53:00"/>
    <d v="2026-02-08T10:09:00"/>
    <d v="2026-02-08T11:02:00"/>
    <d v="2026-02-08T11:15:00"/>
    <n v="6"/>
    <x v="1"/>
    <s v="المدينة المنورة"/>
    <s v="الحرة الغربية"/>
    <s v="مستودع المدينة المنورة"/>
    <n v="2000"/>
    <x v="1"/>
    <x v="0"/>
    <x v="0"/>
    <x v="0"/>
    <x v="0"/>
    <x v="6"/>
  </r>
  <r>
    <s v="ORD-2026-100216"/>
    <s v="CUS99573"/>
    <d v="2026-02-15T00:00:00"/>
    <s v="D018"/>
    <n v="31"/>
    <n v="9.4"/>
    <s v="شاحنة متوسطة"/>
    <s v="12:00-14:00"/>
    <d v="2026-02-15T09:44:00"/>
    <d v="2026-02-15T10:02:00"/>
    <d v="2026-02-15T10:13:00"/>
    <d v="2026-02-15T10:21:00"/>
    <d v="2026-02-15T10:32:00"/>
    <d v="2026-02-15T11:01:00"/>
    <n v="2"/>
    <x v="6"/>
    <s v="مكة المكرمة"/>
    <s v="المسفلة"/>
    <s v="مستودع مكة المكرمة"/>
    <n v="2500"/>
    <x v="0"/>
    <x v="0"/>
    <x v="0"/>
    <x v="0"/>
    <x v="3"/>
    <x v="11"/>
  </r>
  <r>
    <s v="ORD-2026-100217"/>
    <s v="CUS64600"/>
    <d v="2026-02-02T00:00:00"/>
    <s v="D005"/>
    <n v="18"/>
    <n v="10"/>
    <s v="شاحنة صغيرة"/>
    <s v="12:00-14:00"/>
    <d v="2026-02-02T09:28:00"/>
    <d v="2026-02-02T09:47:00"/>
    <d v="2026-02-02T10:10:00"/>
    <d v="2026-02-02T10:22:00"/>
    <d v="2026-02-02T11:19:00"/>
    <d v="2026-02-02T11:59:00"/>
    <n v="4"/>
    <x v="2"/>
    <s v="الرياض"/>
    <s v="الروضة"/>
    <s v="مستودع الرياض الرئيسي"/>
    <n v="5000"/>
    <x v="0"/>
    <x v="0"/>
    <x v="0"/>
    <x v="0"/>
    <x v="0"/>
    <x v="12"/>
  </r>
  <r>
    <s v="ORD-2026-100218"/>
    <s v="CUS48558"/>
    <d v="2026-03-29T00:00:00"/>
    <s v="D011"/>
    <n v="5"/>
    <n v="9.9"/>
    <s v="دراجة نارية"/>
    <s v="16:00-18:00"/>
    <d v="2026-03-29T09:42:00"/>
    <d v="2026-03-29T10:11:00"/>
    <d v="2026-03-29T11:17:00"/>
    <d v="2026-03-29T11:29:00"/>
    <d v="2026-03-29T12:19:00"/>
    <d v="2026-03-29T12:47:00"/>
    <n v="7"/>
    <x v="1"/>
    <s v="المدينة المنورة"/>
    <s v="العوالي"/>
    <s v="مستودع المدينة المنورة"/>
    <n v="2000"/>
    <x v="0"/>
    <x v="0"/>
    <x v="0"/>
    <x v="0"/>
    <x v="0"/>
    <x v="2"/>
  </r>
  <r>
    <s v="ORD-2026-100219"/>
    <s v="CUS30146"/>
    <d v="2026-02-27T00:00:00"/>
    <s v="D006"/>
    <n v="16"/>
    <n v="9.9"/>
    <s v="شاحنة صغيرة"/>
    <s v="14:00-16:00"/>
    <d v="2026-02-27T06:10:00"/>
    <d v="2026-02-27T06:28:00"/>
    <d v="2026-02-27T07:13:00"/>
    <d v="2026-02-27T07:26:00"/>
    <d v="2026-02-27T07:44:00"/>
    <d v="2026-02-27T07:59:00"/>
    <n v="5"/>
    <x v="1"/>
    <s v="الرياض"/>
    <s v="الملقا"/>
    <s v="مستودع الرياض الرئيسي"/>
    <n v="5000"/>
    <x v="0"/>
    <x v="0"/>
    <x v="0"/>
    <x v="0"/>
    <x v="0"/>
    <x v="7"/>
  </r>
  <r>
    <s v="ORD-2026-100220"/>
    <s v="CUS38992"/>
    <d v="2026-02-11T00:00:00"/>
    <s v="D020"/>
    <n v="36"/>
    <n v="10.3"/>
    <s v="شاحنة متوسطة"/>
    <s v="12:00-14:00"/>
    <d v="2026-02-11T06:18:00"/>
    <d v="2026-02-11T06:48:00"/>
    <d v="2026-02-11T07:38:00"/>
    <d v="2026-02-11T07:50:00"/>
    <d v="2026-02-11T08:11:00"/>
    <d v="2026-02-11T08:49:00"/>
    <n v="1"/>
    <x v="1"/>
    <s v="الرياض"/>
    <s v="الروضة"/>
    <s v="مستودع الرياض الرئيسي"/>
    <n v="5000"/>
    <x v="0"/>
    <x v="0"/>
    <x v="0"/>
    <x v="0"/>
    <x v="2"/>
    <x v="6"/>
  </r>
  <r>
    <s v="ORD-2026-100221"/>
    <s v="CUS52065"/>
    <d v="2026-01-28T00:00:00"/>
    <s v="D022"/>
    <n v="28"/>
    <n v="6.3"/>
    <s v="شاحنة متوسطة"/>
    <s v="16:00-18:00"/>
    <d v="2026-01-28T08:01:00"/>
    <d v="2026-01-28T08:23:00"/>
    <d v="2026-01-28T08:34:00"/>
    <d v="2026-01-28T08:42:00"/>
    <d v="2026-01-28T09:34:00"/>
    <d v="2026-01-28T10:01:00"/>
    <n v="4"/>
    <x v="2"/>
    <s v="الدمام"/>
    <s v="الشاطئ"/>
    <s v="مستودع الدمام"/>
    <n v="3000"/>
    <x v="0"/>
    <x v="0"/>
    <x v="0"/>
    <x v="0"/>
    <x v="0"/>
    <x v="10"/>
  </r>
  <r>
    <s v="ORD-2026-100222"/>
    <s v="CUS80513"/>
    <d v="2026-02-18T00:00:00"/>
    <s v="D030"/>
    <n v="21"/>
    <n v="8.3000000000000007"/>
    <s v="سيارة سيدان"/>
    <s v="08:00-10:00"/>
    <d v="2026-02-18T09:53:00"/>
    <d v="2026-02-18T10:14:00"/>
    <d v="2026-02-18T11:11:00"/>
    <d v="2026-02-18T11:30:00"/>
    <d v="2026-02-18T12:11:00"/>
    <d v="2026-02-18T12:18:00"/>
    <n v="3"/>
    <x v="1"/>
    <s v="الرياض"/>
    <s v="السليمانية"/>
    <s v="مستودع الرياض الرئيسي"/>
    <n v="5000"/>
    <x v="0"/>
    <x v="0"/>
    <x v="0"/>
    <x v="0"/>
    <x v="0"/>
    <x v="14"/>
  </r>
  <r>
    <s v="ORD-2026-100223"/>
    <s v="CUS17113"/>
    <d v="2026-03-10T00:00:00"/>
    <s v="D001"/>
    <n v="18"/>
    <n v="10.9"/>
    <s v="فان"/>
    <s v="20:00-22:00"/>
    <d v="2026-03-10T06:26:00"/>
    <d v="2026-03-10T06:37:00"/>
    <d v="2026-03-10T07:55:00"/>
    <d v="2026-03-10T08:13:00"/>
    <d v="2026-03-10T09:04:00"/>
    <d v="2026-03-10T09:13:00"/>
    <n v="6"/>
    <x v="1"/>
    <s v="الرياض"/>
    <s v="حطين"/>
    <s v="مستودع الرياض الرئيسي"/>
    <n v="5000"/>
    <x v="0"/>
    <x v="0"/>
    <x v="0"/>
    <x v="0"/>
    <x v="4"/>
    <x v="8"/>
  </r>
  <r>
    <s v="ORD-2026-100224"/>
    <s v="CUS86756"/>
    <d v="2026-01-23T00:00:00"/>
    <s v="D026"/>
    <n v="9"/>
    <n v="8.6"/>
    <s v="دراجة نارية"/>
    <s v="12:00-14:00"/>
    <d v="2026-01-23T07:44:00"/>
    <d v="2026-01-23T08:01:00"/>
    <d v="2026-01-23T09:08:00"/>
    <d v="2026-01-23T09:25:00"/>
    <d v="2026-01-23T10:02:00"/>
    <d v="2026-01-23T10:27:00"/>
    <n v="1"/>
    <x v="1"/>
    <s v="الدمام"/>
    <s v="المزروعية"/>
    <s v="مستودع الدمام"/>
    <n v="3000"/>
    <x v="0"/>
    <x v="0"/>
    <x v="0"/>
    <x v="0"/>
    <x v="0"/>
    <x v="8"/>
  </r>
  <r>
    <s v="ORD-2026-100225"/>
    <s v="CUS48663"/>
    <d v="2026-01-06T00:00:00"/>
    <s v="D023"/>
    <n v="37"/>
    <n v="4.8"/>
    <s v="سيارة سيدان"/>
    <s v="16:00-18:00"/>
    <d v="2026-01-06T06:22:00"/>
    <d v="2026-01-06T06:36:00"/>
    <d v="2026-01-06T07:42:00"/>
    <d v="2026-01-06T07:59:00"/>
    <d v="2026-01-06T08:34:00"/>
    <d v="2026-01-06T08:40:00"/>
    <n v="4"/>
    <x v="3"/>
    <s v="الرياض"/>
    <s v="الورود"/>
    <s v="مستودع الرياض الرئيسي"/>
    <n v="5000"/>
    <x v="0"/>
    <x v="0"/>
    <x v="0"/>
    <x v="0"/>
    <x v="0"/>
    <x v="9"/>
  </r>
  <r>
    <s v="ORD-2026-100226"/>
    <s v="CUS77181"/>
    <d v="2026-03-23T00:00:00"/>
    <s v="D005"/>
    <n v="5"/>
    <n v="8.4"/>
    <s v="شاحنة متوسطة"/>
    <s v="10:00-12:00"/>
    <d v="2026-03-23T06:31:00"/>
    <d v="2026-03-23T06:37:00"/>
    <d v="2026-03-23T06:47:00"/>
    <d v="2026-03-23T07:04:00"/>
    <d v="2026-03-23T07:48:00"/>
    <d v="2026-03-23T08:28:00"/>
    <n v="1"/>
    <x v="1"/>
    <s v="الدمام"/>
    <s v="الشاطئ"/>
    <s v="مستودع الدمام"/>
    <n v="3000"/>
    <x v="0"/>
    <x v="1"/>
    <x v="2"/>
    <x v="2"/>
    <x v="2"/>
    <x v="10"/>
  </r>
  <r>
    <s v="ORD-2026-100227"/>
    <s v="CUS53365"/>
    <d v="2026-01-19T00:00:00"/>
    <s v="D006"/>
    <n v="21"/>
    <n v="5.6"/>
    <s v="دراجة نارية"/>
    <s v="18:00-20:00"/>
    <d v="2026-01-19T09:24:00"/>
    <d v="2026-01-19T09:47:00"/>
    <d v="2026-01-19T10:03:00"/>
    <d v="2026-01-19T10:22:00"/>
    <d v="2026-01-19T11:13:00"/>
    <d v="2026-01-19T11:53:00"/>
    <n v="1"/>
    <x v="1"/>
    <s v="جدة"/>
    <s v="الزهراء"/>
    <s v="مستودع جدة الرئيسي"/>
    <n v="4000"/>
    <x v="0"/>
    <x v="0"/>
    <x v="0"/>
    <x v="0"/>
    <x v="0"/>
    <x v="4"/>
  </r>
  <r>
    <s v="ORD-2026-100228"/>
    <s v="CUS51053"/>
    <d v="2026-02-15T00:00:00"/>
    <s v="D005"/>
    <n v="23"/>
    <n v="9"/>
    <s v="دراجة نارية"/>
    <s v="12:00-14:00"/>
    <d v="2026-02-15T08:04:00"/>
    <d v="2026-02-15T08:23:00"/>
    <d v="2026-02-15T09:15:00"/>
    <d v="2026-02-15T09:29:00"/>
    <d v="2026-02-15T10:23:00"/>
    <d v="2026-02-15T11:05:00"/>
    <n v="2"/>
    <x v="1"/>
    <s v="جدة"/>
    <s v="الحمراء"/>
    <s v="مستودع جدة الرئيسي"/>
    <n v="4000"/>
    <x v="0"/>
    <x v="0"/>
    <x v="0"/>
    <x v="0"/>
    <x v="2"/>
    <x v="7"/>
  </r>
  <r>
    <s v="ORD-2026-100229"/>
    <s v="CUS46780"/>
    <d v="2026-02-01T00:00:00"/>
    <s v="D026"/>
    <n v="32"/>
    <n v="6.2"/>
    <s v="سيارة سيدان"/>
    <s v="10:00-12:00"/>
    <d v="2026-02-01T08:53:00"/>
    <d v="2026-02-01T09:21:00"/>
    <d v="2026-02-01T10:13:00"/>
    <d v="2026-02-01T10:33:00"/>
    <d v="2026-02-01T11:12:00"/>
    <d v="2026-02-01T11:45:00"/>
    <n v="3"/>
    <x v="1"/>
    <s v="جدة"/>
    <s v="الصفا"/>
    <s v="مستودع جدة الرئيسي"/>
    <n v="4000"/>
    <x v="0"/>
    <x v="0"/>
    <x v="0"/>
    <x v="0"/>
    <x v="0"/>
    <x v="8"/>
  </r>
  <r>
    <s v="ORD-2026-100230"/>
    <s v="CUS80736"/>
    <d v="2026-01-18T00:00:00"/>
    <s v="D029"/>
    <n v="21"/>
    <n v="9.9"/>
    <s v="شاحنة صغيرة"/>
    <s v="18:00-20:00"/>
    <d v="2026-01-18T06:19:00"/>
    <d v="2026-01-18T06:24:00"/>
    <d v="2026-01-18T07:38:00"/>
    <d v="2026-01-18T07:43:00"/>
    <d v="2026-01-18T08:30:00"/>
    <d v="2026-01-18T09:12:00"/>
    <n v="4"/>
    <x v="1"/>
    <s v="المدينة المنورة"/>
    <s v="قباء"/>
    <s v="مستودع المدينة المنورة"/>
    <n v="2000"/>
    <x v="0"/>
    <x v="0"/>
    <x v="0"/>
    <x v="0"/>
    <x v="3"/>
    <x v="5"/>
  </r>
  <r>
    <s v="ORD-2026-100231"/>
    <s v="CUS90482"/>
    <d v="2026-03-02T00:00:00"/>
    <s v="D021"/>
    <n v="30"/>
    <n v="5.8"/>
    <s v="شاحنة متوسطة"/>
    <s v="18:00-20:00"/>
    <d v="2026-03-02T09:39:00"/>
    <d v="2026-03-02T09:53:00"/>
    <d v="2026-03-02T10:20:00"/>
    <d v="2026-03-02T10:39:00"/>
    <d v="2026-03-02T11:21:00"/>
    <d v="2026-03-02T11:58:00"/>
    <n v="1"/>
    <x v="1"/>
    <s v="جدة"/>
    <s v="الروضة"/>
    <s v="مستودع جدة الرئيسي"/>
    <n v="4000"/>
    <x v="0"/>
    <x v="0"/>
    <x v="0"/>
    <x v="0"/>
    <x v="0"/>
    <x v="3"/>
  </r>
  <r>
    <s v="ORD-2026-100232"/>
    <s v="CUS77880"/>
    <d v="2026-03-29T00:00:00"/>
    <s v="D006"/>
    <n v="33"/>
    <n v="5.3"/>
    <s v="شاحنة متوسطة"/>
    <s v="16:00-18:00"/>
    <d v="2026-03-29T08:48:00"/>
    <d v="2026-03-29T08:57:00"/>
    <d v="2026-03-29T10:08:00"/>
    <d v="2026-03-29T10:24:00"/>
    <d v="2026-03-29T10:36:00"/>
    <d v="2026-03-29T10:55:00"/>
    <n v="7"/>
    <x v="1"/>
    <s v="المدينة المنورة"/>
    <s v="قباء"/>
    <s v="مستودع المدينة المنورة"/>
    <n v="2000"/>
    <x v="0"/>
    <x v="0"/>
    <x v="0"/>
    <x v="0"/>
    <x v="4"/>
    <x v="2"/>
  </r>
  <r>
    <s v="ORD-2026-100233"/>
    <s v="CUS77720"/>
    <d v="2026-02-16T00:00:00"/>
    <s v="D013"/>
    <n v="7"/>
    <n v="4.3"/>
    <s v="سيارة سيدان"/>
    <s v="08:00-10:00"/>
    <d v="2026-02-16T09:00:00"/>
    <d v="2026-02-16T09:21:00"/>
    <d v="2026-02-16T10:06:00"/>
    <d v="2026-02-16T10:19:00"/>
    <d v="2026-02-16T11:06:00"/>
    <d v="2026-02-16T11:45:00"/>
    <n v="5"/>
    <x v="2"/>
    <s v="مكة المكرمة"/>
    <s v="أجياد"/>
    <s v="مستودع مكة المكرمة"/>
    <n v="2500"/>
    <x v="0"/>
    <x v="0"/>
    <x v="0"/>
    <x v="0"/>
    <x v="0"/>
    <x v="8"/>
  </r>
  <r>
    <s v="ORD-2026-100234"/>
    <s v="CUS57477"/>
    <d v="2026-02-02T00:00:00"/>
    <s v="D013"/>
    <n v="30"/>
    <n v="6.8"/>
    <s v="سيارة سيدان"/>
    <s v="14:00-16:00"/>
    <d v="2026-02-02T09:22:00"/>
    <d v="2026-02-02T09:42:00"/>
    <d v="2026-02-02T11:09:00"/>
    <d v="2026-02-02T11:14:00"/>
    <d v="2026-02-02T11:56:00"/>
    <d v="2026-02-02T12:09:00"/>
    <n v="4"/>
    <x v="6"/>
    <s v="جدة"/>
    <s v="النزهة"/>
    <s v="مستودع جدة الرئيسي"/>
    <n v="4000"/>
    <x v="0"/>
    <x v="0"/>
    <x v="0"/>
    <x v="0"/>
    <x v="3"/>
    <x v="14"/>
  </r>
  <r>
    <s v="ORD-2026-100235"/>
    <s v="CUS27658"/>
    <d v="2026-03-19T00:00:00"/>
    <s v="D023"/>
    <n v="31"/>
    <n v="10.5"/>
    <s v="شاحنة صغيرة"/>
    <s v="14:00-16:00"/>
    <d v="2026-03-19T08:52:00"/>
    <d v="2026-03-19T09:12:00"/>
    <d v="2026-03-19T10:23:00"/>
    <d v="2026-03-19T10:34:00"/>
    <d v="2026-03-19T11:21:00"/>
    <d v="2026-03-19T11:36:00"/>
    <n v="6"/>
    <x v="1"/>
    <s v="الرياض"/>
    <s v="حطين"/>
    <s v="مستودع الرياض الرئيسي"/>
    <n v="5000"/>
    <x v="0"/>
    <x v="0"/>
    <x v="0"/>
    <x v="0"/>
    <x v="2"/>
    <x v="14"/>
  </r>
  <r>
    <s v="ORD-2026-100236"/>
    <s v="CUS28705"/>
    <d v="2026-03-22T00:00:00"/>
    <s v="D017"/>
    <n v="8"/>
    <n v="5.3"/>
    <s v="دراجة نارية"/>
    <s v="16:00-18:00"/>
    <d v="2026-03-22T07:43:00"/>
    <d v="2026-03-22T08:07:00"/>
    <d v="2026-03-22T09:29:00"/>
    <d v="2026-03-22T09:34:00"/>
    <d v="2026-03-22T10:30:00"/>
    <d v="2026-03-22T10:53:00"/>
    <n v="1"/>
    <x v="0"/>
    <s v="الرياض"/>
    <s v="الملقا"/>
    <s v="مستودع الرياض الرئيسي"/>
    <n v="5000"/>
    <x v="1"/>
    <x v="1"/>
    <x v="1"/>
    <x v="2"/>
    <x v="0"/>
    <x v="13"/>
  </r>
  <r>
    <s v="ORD-2026-100237"/>
    <s v="CUS72373"/>
    <d v="2026-03-16T00:00:00"/>
    <s v="D027"/>
    <n v="37"/>
    <n v="6.1"/>
    <s v="سيارة سيدان"/>
    <s v="14:00-16:00"/>
    <d v="2026-03-16T08:32:00"/>
    <d v="2026-03-16T08:55:00"/>
    <d v="2026-03-16T09:13:00"/>
    <d v="2026-03-16T09:25:00"/>
    <d v="2026-03-16T09:59:00"/>
    <d v="2026-03-16T10:28:00"/>
    <n v="2"/>
    <x v="3"/>
    <s v="جدة"/>
    <s v="النزهة"/>
    <s v="مستودع جدة الرئيسي"/>
    <n v="4000"/>
    <x v="0"/>
    <x v="1"/>
    <x v="3"/>
    <x v="2"/>
    <x v="2"/>
    <x v="14"/>
  </r>
  <r>
    <s v="ORD-2026-100238"/>
    <s v="CUS55943"/>
    <d v="2026-03-20T00:00:00"/>
    <s v="D020"/>
    <n v="10"/>
    <n v="7.9"/>
    <s v="دراجة نارية"/>
    <s v="16:00-18:00"/>
    <d v="2026-03-20T08:18:00"/>
    <d v="2026-03-20T08:23:00"/>
    <d v="2026-03-20T09:28:00"/>
    <d v="2026-03-20T09:46:00"/>
    <d v="2026-03-20T10:19:00"/>
    <d v="2026-03-20T10:26:00"/>
    <n v="6"/>
    <x v="1"/>
    <s v="الرياض"/>
    <s v="النزهة"/>
    <s v="مستودع الرياض الرئيسي"/>
    <n v="5000"/>
    <x v="0"/>
    <x v="0"/>
    <x v="0"/>
    <x v="0"/>
    <x v="0"/>
    <x v="12"/>
  </r>
  <r>
    <s v="ORD-2026-100239"/>
    <s v="CUS59155"/>
    <d v="2026-03-17T00:00:00"/>
    <s v="D026"/>
    <n v="32"/>
    <n v="5.0999999999999996"/>
    <s v="فان"/>
    <s v="20:00-22:00"/>
    <d v="2026-03-17T06:59:00"/>
    <d v="2026-03-17T07:06:00"/>
    <d v="2026-03-17T07:52:00"/>
    <d v="2026-03-17T08:10:00"/>
    <d v="2026-03-17T08:36:00"/>
    <d v="2026-03-17T08:53:00"/>
    <n v="1"/>
    <x v="1"/>
    <s v="المدينة المنورة"/>
    <s v="العوالي"/>
    <s v="مستودع المدينة المنورة"/>
    <n v="2000"/>
    <x v="0"/>
    <x v="0"/>
    <x v="0"/>
    <x v="0"/>
    <x v="1"/>
    <x v="7"/>
  </r>
  <r>
    <s v="ORD-2026-100240"/>
    <s v="CUS73238"/>
    <d v="2026-03-25T00:00:00"/>
    <s v="D007"/>
    <n v="28"/>
    <n v="4.9000000000000004"/>
    <s v="فان"/>
    <s v="18:00-20:00"/>
    <d v="2026-03-25T08:29:00"/>
    <d v="2026-03-25T08:42:00"/>
    <d v="2026-03-25T09:25:00"/>
    <d v="2026-03-25T09:43:00"/>
    <d v="2026-03-25T10:29:00"/>
    <d v="2026-03-25T10:57:00"/>
    <n v="5"/>
    <x v="2"/>
    <s v="الدمام"/>
    <s v="الجلوية"/>
    <s v="مستودع الدمام"/>
    <n v="3000"/>
    <x v="0"/>
    <x v="0"/>
    <x v="0"/>
    <x v="0"/>
    <x v="2"/>
    <x v="9"/>
  </r>
  <r>
    <s v="ORD-2026-100241"/>
    <s v="CUS54359"/>
    <d v="2026-01-23T00:00:00"/>
    <s v="D012"/>
    <n v="21"/>
    <n v="11.9"/>
    <s v="شاحنة متوسطة"/>
    <s v="12:00-14:00"/>
    <d v="2026-01-23T09:18:00"/>
    <d v="2026-01-23T09:45:00"/>
    <d v="2026-01-23T10:45:00"/>
    <d v="2026-01-23T10:54:00"/>
    <d v="2026-01-23T11:46:00"/>
    <d v="2026-01-23T11:58:00"/>
    <n v="6"/>
    <x v="2"/>
    <s v="المدينة المنورة"/>
    <s v="العنابس"/>
    <s v="مستودع المدينة المنورة"/>
    <n v="2000"/>
    <x v="1"/>
    <x v="0"/>
    <x v="0"/>
    <x v="0"/>
    <x v="2"/>
    <x v="3"/>
  </r>
  <r>
    <s v="ORD-2026-100242"/>
    <s v="CUS90473"/>
    <d v="2026-03-12T00:00:00"/>
    <s v="D020"/>
    <n v="29"/>
    <n v="11.7"/>
    <s v="شاحنة صغيرة"/>
    <s v="20:00-22:00"/>
    <d v="2026-03-12T06:23:00"/>
    <d v="2026-03-12T06:32:00"/>
    <d v="2026-03-12T07:42:00"/>
    <d v="2026-03-12T08:00:00"/>
    <d v="2026-03-12T08:15:00"/>
    <d v="2026-03-12T08:24:00"/>
    <n v="3"/>
    <x v="6"/>
    <s v="الرياض"/>
    <s v="الملقا"/>
    <s v="مستودع الرياض الرئيسي"/>
    <n v="5000"/>
    <x v="0"/>
    <x v="0"/>
    <x v="0"/>
    <x v="0"/>
    <x v="0"/>
    <x v="12"/>
  </r>
  <r>
    <s v="ORD-2026-100243"/>
    <s v="CUS14726"/>
    <d v="2026-03-25T00:00:00"/>
    <s v="D017"/>
    <n v="8"/>
    <n v="11.6"/>
    <s v="دراجة نارية"/>
    <s v="18:00-20:00"/>
    <d v="2026-03-25T08:06:00"/>
    <d v="2026-03-25T08:25:00"/>
    <d v="2026-03-25T08:36:00"/>
    <d v="2026-03-25T08:47:00"/>
    <d v="2026-03-25T09:39:00"/>
    <d v="2026-03-25T10:17:00"/>
    <n v="3"/>
    <x v="0"/>
    <s v="الدمام"/>
    <s v="المزروعية"/>
    <s v="مستودع الدمام"/>
    <n v="3000"/>
    <x v="0"/>
    <x v="0"/>
    <x v="0"/>
    <x v="0"/>
    <x v="2"/>
    <x v="10"/>
  </r>
  <r>
    <s v="ORD-2026-100244"/>
    <s v="CUS86406"/>
    <d v="2026-02-16T00:00:00"/>
    <s v="D008"/>
    <n v="10"/>
    <n v="12"/>
    <s v="فان"/>
    <s v="12:00-14:00"/>
    <d v="2026-02-16T08:51:00"/>
    <d v="2026-02-16T09:08:00"/>
    <d v="2026-02-16T10:09:00"/>
    <d v="2026-02-16T10:20:00"/>
    <d v="2026-02-16T11:03:00"/>
    <d v="2026-02-16T11:08:00"/>
    <n v="6"/>
    <x v="1"/>
    <s v="الرياض"/>
    <s v="الملقا"/>
    <s v="مستودع الرياض الرئيسي"/>
    <n v="5000"/>
    <x v="0"/>
    <x v="0"/>
    <x v="0"/>
    <x v="0"/>
    <x v="0"/>
    <x v="9"/>
  </r>
  <r>
    <s v="ORD-2026-100245"/>
    <s v="CUS80504"/>
    <d v="2026-02-14T00:00:00"/>
    <s v="D012"/>
    <n v="17"/>
    <n v="7.6"/>
    <s v="فان"/>
    <s v="16:00-18:00"/>
    <d v="2026-02-14T06:01:00"/>
    <d v="2026-02-14T06:14:00"/>
    <d v="2026-02-14T06:46:00"/>
    <d v="2026-02-14T07:04:00"/>
    <d v="2026-02-14T07:46:00"/>
    <d v="2026-02-14T07:57:00"/>
    <n v="5"/>
    <x v="5"/>
    <s v="الدمام"/>
    <s v="الفيصلية"/>
    <s v="مستودع الدمام"/>
    <n v="3000"/>
    <x v="0"/>
    <x v="0"/>
    <x v="0"/>
    <x v="0"/>
    <x v="2"/>
    <x v="11"/>
  </r>
  <r>
    <s v="ORD-2026-100246"/>
    <s v="CUS51383"/>
    <d v="2026-03-15T00:00:00"/>
    <s v="D009"/>
    <n v="35"/>
    <n v="10.199999999999999"/>
    <s v="سيارة سيدان"/>
    <s v="20:00-22:00"/>
    <d v="2026-03-15T07:57:00"/>
    <d v="2026-03-15T08:23:00"/>
    <d v="2026-03-15T09:31:00"/>
    <d v="2026-03-15T09:36:00"/>
    <d v="2026-03-15T10:16:00"/>
    <d v="2026-03-15T10:28:00"/>
    <n v="3"/>
    <x v="2"/>
    <s v="مكة المكرمة"/>
    <s v="أجياد"/>
    <s v="مستودع مكة المكرمة"/>
    <n v="2500"/>
    <x v="0"/>
    <x v="0"/>
    <x v="0"/>
    <x v="0"/>
    <x v="0"/>
    <x v="3"/>
  </r>
  <r>
    <s v="ORD-2026-100247"/>
    <s v="CUS99536"/>
    <d v="2026-02-22T00:00:00"/>
    <s v="D012"/>
    <n v="21"/>
    <n v="6"/>
    <s v="شاحنة صغيرة"/>
    <s v="14:00-16:00"/>
    <d v="2026-02-22T08:52:00"/>
    <d v="2026-02-22T09:20:00"/>
    <d v="2026-02-22T10:13:00"/>
    <d v="2026-02-22T10:20:00"/>
    <d v="2026-02-22T11:05:00"/>
    <d v="2026-02-22T11:21:00"/>
    <n v="4"/>
    <x v="1"/>
    <s v="المدينة المنورة"/>
    <s v="العوالي"/>
    <s v="مستودع المدينة المنورة"/>
    <n v="2000"/>
    <x v="0"/>
    <x v="0"/>
    <x v="0"/>
    <x v="0"/>
    <x v="3"/>
    <x v="0"/>
  </r>
  <r>
    <s v="ORD-2026-100248"/>
    <s v="CUS80972"/>
    <d v="2026-01-25T00:00:00"/>
    <s v="D016"/>
    <n v="20"/>
    <n v="11"/>
    <s v="دراجة نارية"/>
    <s v="10:00-12:00"/>
    <d v="2026-01-25T06:51:00"/>
    <d v="2026-01-25T07:03:00"/>
    <d v="2026-01-25T08:32:00"/>
    <d v="2026-01-25T08:48:00"/>
    <d v="2026-01-25T09:07:00"/>
    <d v="2026-01-25T09:18:00"/>
    <n v="1"/>
    <x v="1"/>
    <s v="جدة"/>
    <s v="الزهراء"/>
    <s v="مستودع جدة الرئيسي"/>
    <n v="4000"/>
    <x v="0"/>
    <x v="0"/>
    <x v="0"/>
    <x v="0"/>
    <x v="2"/>
    <x v="3"/>
  </r>
  <r>
    <s v="ORD-2026-100249"/>
    <s v="CUS14268"/>
    <d v="2026-01-06T00:00:00"/>
    <s v="D028"/>
    <n v="25"/>
    <n v="7.9"/>
    <s v="شاحنة متوسطة"/>
    <s v="20:00-22:00"/>
    <d v="2026-01-06T07:10:00"/>
    <d v="2026-01-06T07:30:00"/>
    <d v="2026-01-06T08:03:00"/>
    <d v="2026-01-06T08:16:00"/>
    <d v="2026-01-06T08:51:00"/>
    <d v="2026-01-06T09:10:00"/>
    <n v="7"/>
    <x v="1"/>
    <s v="مكة المكرمة"/>
    <s v="الزاهر"/>
    <s v="مستودع مكة المكرمة"/>
    <n v="2500"/>
    <x v="0"/>
    <x v="0"/>
    <x v="0"/>
    <x v="0"/>
    <x v="2"/>
    <x v="9"/>
  </r>
  <r>
    <s v="ORD-2026-100250"/>
    <s v="CUS44452"/>
    <d v="2026-03-06T00:00:00"/>
    <s v="D012"/>
    <n v="34"/>
    <n v="11.8"/>
    <s v="شاحنة متوسطة"/>
    <s v="14:00-16:00"/>
    <d v="2026-03-06T07:20:00"/>
    <d v="2026-03-06T07:47:00"/>
    <d v="2026-03-06T07:58:00"/>
    <d v="2026-03-06T08:03:00"/>
    <d v="2026-03-06T08:56:00"/>
    <d v="2026-03-06T09:14:00"/>
    <n v="4"/>
    <x v="1"/>
    <s v="مكة المكرمة"/>
    <s v="الشوقية"/>
    <s v="مستودع مكة المكرمة"/>
    <n v="2500"/>
    <x v="0"/>
    <x v="0"/>
    <x v="0"/>
    <x v="0"/>
    <x v="3"/>
    <x v="9"/>
  </r>
  <r>
    <s v="ORD-2026-100251"/>
    <s v="CUS45382"/>
    <d v="2026-01-31T00:00:00"/>
    <s v="D009"/>
    <n v="26"/>
    <n v="6.9"/>
    <s v="فان"/>
    <s v="14:00-16:00"/>
    <d v="2026-01-31T06:53:00"/>
    <d v="2026-01-31T07:11:00"/>
    <d v="2026-01-31T08:08:00"/>
    <d v="2026-01-31T08:24:00"/>
    <d v="2026-01-31T08:59:00"/>
    <d v="2026-01-31T09:21:00"/>
    <n v="4"/>
    <x v="3"/>
    <s v="مكة المكرمة"/>
    <s v="المسفلة"/>
    <s v="مستودع مكة المكرمة"/>
    <n v="2500"/>
    <x v="1"/>
    <x v="0"/>
    <x v="0"/>
    <x v="0"/>
    <x v="0"/>
    <x v="0"/>
  </r>
  <r>
    <s v="ORD-2026-100252"/>
    <s v="CUS83680"/>
    <d v="2026-01-31T00:00:00"/>
    <s v="D018"/>
    <n v="17"/>
    <n v="5.2"/>
    <s v="دراجة نارية"/>
    <s v="14:00-16:00"/>
    <d v="2026-01-31T09:26:00"/>
    <d v="2026-01-31T09:31:00"/>
    <d v="2026-01-31T10:03:00"/>
    <d v="2026-01-31T10:21:00"/>
    <d v="2026-01-31T11:02:00"/>
    <d v="2026-01-31T11:15:00"/>
    <n v="7"/>
    <x v="1"/>
    <s v="مكة المكرمة"/>
    <s v="أجياد"/>
    <s v="مستودع مكة المكرمة"/>
    <n v="2500"/>
    <x v="0"/>
    <x v="0"/>
    <x v="0"/>
    <x v="0"/>
    <x v="2"/>
    <x v="11"/>
  </r>
  <r>
    <s v="ORD-2026-100253"/>
    <s v="CUS56018"/>
    <d v="2026-03-14T00:00:00"/>
    <s v="D002"/>
    <n v="15"/>
    <n v="4.5"/>
    <s v="سيارة سيدان"/>
    <s v="14:00-16:00"/>
    <d v="2026-03-14T09:34:00"/>
    <d v="2026-03-14T09:59:00"/>
    <d v="2026-03-14T10:21:00"/>
    <d v="2026-03-14T10:40:00"/>
    <d v="2026-03-14T11:37:00"/>
    <d v="2026-03-14T12:03:00"/>
    <n v="3"/>
    <x v="1"/>
    <s v="مكة المكرمة"/>
    <s v="العزيزية"/>
    <s v="مستودع مكة المكرمة"/>
    <n v="2500"/>
    <x v="0"/>
    <x v="1"/>
    <x v="2"/>
    <x v="5"/>
    <x v="4"/>
    <x v="8"/>
  </r>
  <r>
    <s v="ORD-2026-100254"/>
    <s v="CUS93962"/>
    <d v="2026-03-28T00:00:00"/>
    <s v="D020"/>
    <n v="39"/>
    <n v="5.4"/>
    <s v="سيارة سيدان"/>
    <s v="12:00-14:00"/>
    <d v="2026-03-28T07:23:00"/>
    <d v="2026-03-28T07:49:00"/>
    <d v="2026-03-28T09:04:00"/>
    <d v="2026-03-28T09:24:00"/>
    <d v="2026-03-28T10:23:00"/>
    <d v="2026-03-28T10:56:00"/>
    <n v="1"/>
    <x v="1"/>
    <s v="جدة"/>
    <s v="النزهة"/>
    <s v="مستودع جدة الرئيسي"/>
    <n v="4000"/>
    <x v="0"/>
    <x v="0"/>
    <x v="0"/>
    <x v="0"/>
    <x v="3"/>
    <x v="14"/>
  </r>
  <r>
    <s v="ORD-2026-100255"/>
    <s v="CUS13027"/>
    <d v="2026-02-13T00:00:00"/>
    <s v="D014"/>
    <n v="9"/>
    <n v="4.5999999999999996"/>
    <s v="سيارة سيدان"/>
    <s v="10:00-12:00"/>
    <d v="2026-02-13T07:20:00"/>
    <d v="2026-02-13T07:35:00"/>
    <d v="2026-02-13T08:22:00"/>
    <d v="2026-02-13T08:35:00"/>
    <d v="2026-02-13T09:23:00"/>
    <d v="2026-02-13T09:53:00"/>
    <n v="3"/>
    <x v="1"/>
    <s v="المدينة المنورة"/>
    <s v="العنابس"/>
    <s v="مستودع المدينة المنورة"/>
    <n v="2000"/>
    <x v="0"/>
    <x v="1"/>
    <x v="3"/>
    <x v="4"/>
    <x v="3"/>
    <x v="1"/>
  </r>
  <r>
    <s v="ORD-2026-100256"/>
    <s v="CUS95830"/>
    <d v="2026-01-17T00:00:00"/>
    <s v="D024"/>
    <n v="21"/>
    <n v="11.5"/>
    <s v="شاحنة صغيرة"/>
    <s v="10:00-12:00"/>
    <d v="2026-01-17T06:42:00"/>
    <d v="2026-01-17T06:59:00"/>
    <d v="2026-01-17T07:22:00"/>
    <d v="2026-01-17T07:30:00"/>
    <d v="2026-01-17T07:44:00"/>
    <d v="2026-01-17T08:19:00"/>
    <n v="5"/>
    <x v="4"/>
    <s v="جدة"/>
    <s v="الصفا"/>
    <s v="مستودع جدة الرئيسي"/>
    <n v="4000"/>
    <x v="0"/>
    <x v="1"/>
    <x v="0"/>
    <x v="5"/>
    <x v="2"/>
    <x v="8"/>
  </r>
  <r>
    <s v="ORD-2026-100257"/>
    <s v="CUS45705"/>
    <d v="2026-02-19T00:00:00"/>
    <s v="D010"/>
    <n v="23"/>
    <n v="7.5"/>
    <s v="دراجة نارية"/>
    <s v="10:00-12:00"/>
    <d v="2026-02-19T08:14:00"/>
    <d v="2026-02-19T08:24:00"/>
    <d v="2026-02-19T08:37:00"/>
    <d v="2026-02-19T08:43:00"/>
    <d v="2026-02-19T09:35:00"/>
    <d v="2026-02-19T10:02:00"/>
    <n v="7"/>
    <x v="1"/>
    <s v="جدة"/>
    <s v="الزهراء"/>
    <s v="مستودع جدة الرئيسي"/>
    <n v="4000"/>
    <x v="0"/>
    <x v="0"/>
    <x v="0"/>
    <x v="0"/>
    <x v="0"/>
    <x v="5"/>
  </r>
  <r>
    <s v="ORD-2026-100258"/>
    <s v="CUS67915"/>
    <d v="2026-03-12T00:00:00"/>
    <s v="D015"/>
    <n v="39"/>
    <n v="5.4"/>
    <s v="شاحنة متوسطة"/>
    <s v="14:00-16:00"/>
    <d v="2026-03-12T08:41:00"/>
    <d v="2026-03-12T09:09:00"/>
    <d v="2026-03-12T10:31:00"/>
    <d v="2026-03-12T10:49:00"/>
    <d v="2026-03-12T11:32:00"/>
    <d v="2026-03-12T12:17:00"/>
    <n v="6"/>
    <x v="1"/>
    <s v="جدة"/>
    <s v="الصفا"/>
    <s v="مستودع جدة الرئيسي"/>
    <n v="4000"/>
    <x v="0"/>
    <x v="0"/>
    <x v="0"/>
    <x v="0"/>
    <x v="3"/>
    <x v="8"/>
  </r>
  <r>
    <s v="ORD-2026-100259"/>
    <s v="CUS48393"/>
    <d v="2026-02-09T00:00:00"/>
    <s v="D012"/>
    <n v="14"/>
    <n v="6.4"/>
    <s v="شاحنة صغيرة"/>
    <s v="16:00-18:00"/>
    <d v="2026-02-09T09:28:00"/>
    <d v="2026-02-09T09:57:00"/>
    <d v="2026-02-09T10:24:00"/>
    <d v="2026-02-09T10:40:00"/>
    <d v="2026-02-09T11:08:00"/>
    <d v="2026-02-09T11:43:00"/>
    <n v="5"/>
    <x v="4"/>
    <s v="مكة المكرمة"/>
    <s v="الزاهر"/>
    <s v="مستودع مكة المكرمة"/>
    <n v="2500"/>
    <x v="1"/>
    <x v="0"/>
    <x v="0"/>
    <x v="0"/>
    <x v="4"/>
    <x v="12"/>
  </r>
  <r>
    <s v="ORD-2026-100260"/>
    <s v="CUS99737"/>
    <d v="2026-03-18T00:00:00"/>
    <s v="D008"/>
    <n v="17"/>
    <n v="7.3"/>
    <s v="شاحنة متوسطة"/>
    <s v="14:00-16:00"/>
    <d v="2026-03-18T07:41:00"/>
    <d v="2026-03-18T07:53:00"/>
    <d v="2026-03-18T08:23:00"/>
    <d v="2026-03-18T08:40:00"/>
    <d v="2026-03-18T09:14:00"/>
    <d v="2026-03-18T09:33:00"/>
    <n v="3"/>
    <x v="2"/>
    <s v="الرياض"/>
    <s v="الورود"/>
    <s v="مستودع الرياض الرئيسي"/>
    <n v="5000"/>
    <x v="0"/>
    <x v="0"/>
    <x v="0"/>
    <x v="0"/>
    <x v="0"/>
    <x v="3"/>
  </r>
  <r>
    <s v="ORD-2026-100261"/>
    <s v="CUS12900"/>
    <d v="2026-02-04T00:00:00"/>
    <s v="D010"/>
    <n v="31"/>
    <n v="5.5"/>
    <s v="شاحنة صغيرة"/>
    <s v="10:00-12:00"/>
    <d v="2026-02-04T06:34:00"/>
    <d v="2026-02-04T06:48:00"/>
    <d v="2026-02-04T07:12:00"/>
    <d v="2026-02-04T07:31:00"/>
    <d v="2026-02-04T08:20:00"/>
    <d v="2026-02-04T08:53:00"/>
    <n v="3"/>
    <x v="1"/>
    <s v="المدينة المنورة"/>
    <s v="الحرة الغربية"/>
    <s v="مستودع المدينة المنورة"/>
    <n v="2000"/>
    <x v="0"/>
    <x v="0"/>
    <x v="0"/>
    <x v="0"/>
    <x v="3"/>
    <x v="9"/>
  </r>
  <r>
    <s v="ORD-2026-100262"/>
    <s v="CUS20515"/>
    <d v="2026-01-24T00:00:00"/>
    <s v="D004"/>
    <n v="13"/>
    <n v="9.6999999999999993"/>
    <s v="شاحنة صغيرة"/>
    <s v="10:00-12:00"/>
    <d v="2026-01-24T06:23:00"/>
    <d v="2026-01-24T06:32:00"/>
    <d v="2026-01-24T06:43:00"/>
    <d v="2026-01-24T07:03:00"/>
    <d v="2026-01-24T07:26:00"/>
    <d v="2026-01-24T07:52:00"/>
    <n v="4"/>
    <x v="1"/>
    <s v="الدمام"/>
    <s v="الشاطئ"/>
    <s v="مستودع الدمام"/>
    <n v="3000"/>
    <x v="0"/>
    <x v="1"/>
    <x v="3"/>
    <x v="1"/>
    <x v="0"/>
    <x v="6"/>
  </r>
  <r>
    <s v="ORD-2026-100263"/>
    <s v="CUS22315"/>
    <d v="2026-01-19T00:00:00"/>
    <s v="D002"/>
    <n v="9"/>
    <n v="8.3000000000000007"/>
    <s v="دراجة نارية"/>
    <s v="10:00-12:00"/>
    <d v="2026-01-19T09:49:00"/>
    <d v="2026-01-19T10:02:00"/>
    <d v="2026-01-19T11:00:00"/>
    <d v="2026-01-19T11:05:00"/>
    <d v="2026-01-19T11:22:00"/>
    <d v="2026-01-19T11:42:00"/>
    <n v="4"/>
    <x v="1"/>
    <s v="الدمام"/>
    <s v="الجلوية"/>
    <s v="مستودع الدمام"/>
    <n v="3000"/>
    <x v="0"/>
    <x v="0"/>
    <x v="0"/>
    <x v="0"/>
    <x v="4"/>
    <x v="4"/>
  </r>
  <r>
    <s v="ORD-2026-100264"/>
    <s v="CUS40928"/>
    <d v="2026-03-08T00:00:00"/>
    <s v="D022"/>
    <n v="29"/>
    <n v="9.5"/>
    <s v="سيارة سيدان"/>
    <s v="12:00-14:00"/>
    <d v="2026-03-08T06:40:00"/>
    <d v="2026-03-08T07:05:00"/>
    <d v="2026-03-08T07:20:00"/>
    <d v="2026-03-08T07:28:00"/>
    <d v="2026-03-08T07:54:00"/>
    <d v="2026-03-08T08:29:00"/>
    <n v="6"/>
    <x v="1"/>
    <s v="جدة"/>
    <s v="الشاطئ"/>
    <s v="مستودع جدة الرئيسي"/>
    <n v="4000"/>
    <x v="0"/>
    <x v="0"/>
    <x v="0"/>
    <x v="0"/>
    <x v="0"/>
    <x v="8"/>
  </r>
  <r>
    <s v="ORD-2026-100265"/>
    <s v="CUS30669"/>
    <d v="2026-03-23T00:00:00"/>
    <s v="D014"/>
    <n v="15"/>
    <n v="10.4"/>
    <s v="شاحنة متوسطة"/>
    <s v="08:00-10:00"/>
    <d v="2026-03-23T07:41:00"/>
    <d v="2026-03-23T08:11:00"/>
    <d v="2026-03-23T08:52:00"/>
    <d v="2026-03-23T08:57:00"/>
    <d v="2026-03-23T09:09:00"/>
    <d v="2026-03-23T09:51:00"/>
    <n v="7"/>
    <x v="1"/>
    <s v="الدمام"/>
    <s v="العزيزية"/>
    <s v="مستودع الدمام"/>
    <n v="3000"/>
    <x v="0"/>
    <x v="0"/>
    <x v="0"/>
    <x v="0"/>
    <x v="0"/>
    <x v="2"/>
  </r>
  <r>
    <s v="ORD-2026-100266"/>
    <s v="CUS35292"/>
    <d v="2026-03-05T00:00:00"/>
    <s v="D003"/>
    <n v="8"/>
    <n v="4.5"/>
    <s v="دراجة نارية"/>
    <s v="18:00-20:00"/>
    <d v="2026-03-05T08:17:00"/>
    <d v="2026-03-05T08:47:00"/>
    <d v="2026-03-05T09:10:00"/>
    <d v="2026-03-05T09:19:00"/>
    <d v="2026-03-05T10:00:00"/>
    <d v="2026-03-05T10:19:00"/>
    <n v="3"/>
    <x v="1"/>
    <s v="المدينة المنورة"/>
    <s v="الحرة الغربية"/>
    <s v="مستودع المدينة المنورة"/>
    <n v="2000"/>
    <x v="0"/>
    <x v="0"/>
    <x v="0"/>
    <x v="0"/>
    <x v="0"/>
    <x v="4"/>
  </r>
  <r>
    <s v="ORD-2026-100267"/>
    <s v="CUS88470"/>
    <d v="2026-01-03T00:00:00"/>
    <s v="D023"/>
    <n v="13"/>
    <n v="6"/>
    <s v="شاحنة صغيرة"/>
    <s v="14:00-16:00"/>
    <d v="2026-01-03T09:00:00"/>
    <d v="2026-01-03T09:19:00"/>
    <d v="2026-01-03T10:40:00"/>
    <d v="2026-01-03T10:54:00"/>
    <d v="2026-01-03T11:38:00"/>
    <d v="2026-01-03T12:14:00"/>
    <n v="2"/>
    <x v="1"/>
    <s v="مكة المكرمة"/>
    <s v="الزاهر"/>
    <s v="مستودع مكة المكرمة"/>
    <n v="2500"/>
    <x v="0"/>
    <x v="0"/>
    <x v="0"/>
    <x v="0"/>
    <x v="2"/>
    <x v="1"/>
  </r>
  <r>
    <s v="ORD-2026-100268"/>
    <s v="CUS96283"/>
    <d v="2026-03-12T00:00:00"/>
    <s v="D006"/>
    <n v="33"/>
    <n v="6.4"/>
    <s v="سيارة سيدان"/>
    <s v="16:00-18:00"/>
    <d v="2026-03-12T07:33:00"/>
    <d v="2026-03-12T07:52:00"/>
    <d v="2026-03-12T08:02:00"/>
    <d v="2026-03-12T08:19:00"/>
    <d v="2026-03-12T09:15:00"/>
    <d v="2026-03-12T09:31:00"/>
    <n v="1"/>
    <x v="1"/>
    <s v="الرياض"/>
    <s v="الملقا"/>
    <s v="مستودع الرياض الرئيسي"/>
    <n v="5000"/>
    <x v="0"/>
    <x v="0"/>
    <x v="0"/>
    <x v="0"/>
    <x v="2"/>
    <x v="8"/>
  </r>
  <r>
    <s v="ORD-2026-100269"/>
    <s v="CUS24031"/>
    <d v="2026-03-10T00:00:00"/>
    <s v="D027"/>
    <n v="38"/>
    <n v="9.5"/>
    <s v="شاحنة متوسطة"/>
    <s v="10:00-12:00"/>
    <d v="2026-03-10T08:36:00"/>
    <d v="2026-03-10T08:50:00"/>
    <d v="2026-03-10T09:41:00"/>
    <d v="2026-03-10T09:59:00"/>
    <d v="2026-03-10T10:50:00"/>
    <d v="2026-03-10T11:15:00"/>
    <n v="1"/>
    <x v="2"/>
    <s v="مكة المكرمة"/>
    <s v="الشوقية"/>
    <s v="مستودع مكة المكرمة"/>
    <n v="2500"/>
    <x v="0"/>
    <x v="1"/>
    <x v="1"/>
    <x v="2"/>
    <x v="0"/>
    <x v="2"/>
  </r>
  <r>
    <s v="ORD-2026-100270"/>
    <s v="CUS17956"/>
    <d v="2026-03-04T00:00:00"/>
    <s v="D007"/>
    <n v="29"/>
    <n v="9.3000000000000007"/>
    <s v="شاحنة متوسطة"/>
    <s v="16:00-18:00"/>
    <d v="2026-03-04T08:59:00"/>
    <d v="2026-03-04T09:22:00"/>
    <d v="2026-03-04T10:04:00"/>
    <d v="2026-03-04T10:10:00"/>
    <d v="2026-03-04T10:43:00"/>
    <d v="2026-03-04T11:02:00"/>
    <n v="5"/>
    <x v="1"/>
    <s v="الرياض"/>
    <s v="العليا"/>
    <s v="مستودع الرياض الرئيسي"/>
    <n v="5000"/>
    <x v="0"/>
    <x v="1"/>
    <x v="3"/>
    <x v="3"/>
    <x v="2"/>
    <x v="10"/>
  </r>
  <r>
    <s v="ORD-2026-100271"/>
    <s v="CUS42605"/>
    <d v="2026-02-16T00:00:00"/>
    <s v="D018"/>
    <n v="8"/>
    <n v="10.6"/>
    <s v="سيارة سيدان"/>
    <s v="16:00-18:00"/>
    <d v="2026-02-16T06:10:00"/>
    <d v="2026-02-16T06:38:00"/>
    <d v="2026-02-16T06:57:00"/>
    <d v="2026-02-16T07:11:00"/>
    <d v="2026-02-16T07:25:00"/>
    <d v="2026-02-16T07:43:00"/>
    <n v="5"/>
    <x v="2"/>
    <s v="مكة المكرمة"/>
    <s v="الزاهر"/>
    <s v="مستودع مكة المكرمة"/>
    <n v="2500"/>
    <x v="0"/>
    <x v="0"/>
    <x v="0"/>
    <x v="0"/>
    <x v="3"/>
    <x v="10"/>
  </r>
  <r>
    <s v="ORD-2026-100272"/>
    <s v="CUS88632"/>
    <d v="2026-03-14T00:00:00"/>
    <s v="D021"/>
    <n v="40"/>
    <n v="7.3"/>
    <s v="شاحنة صغيرة"/>
    <s v="20:00-22:00"/>
    <d v="2026-03-14T08:43:00"/>
    <d v="2026-03-14T09:06:00"/>
    <d v="2026-03-14T10:01:00"/>
    <d v="2026-03-14T10:20:00"/>
    <d v="2026-03-14T11:14:00"/>
    <d v="2026-03-14T11:46:00"/>
    <n v="1"/>
    <x v="3"/>
    <s v="جدة"/>
    <s v="النزهة"/>
    <s v="مستودع جدة الرئيسي"/>
    <n v="4000"/>
    <x v="0"/>
    <x v="0"/>
    <x v="0"/>
    <x v="0"/>
    <x v="0"/>
    <x v="9"/>
  </r>
  <r>
    <s v="ORD-2026-100273"/>
    <s v="CUS69297"/>
    <d v="2026-02-26T00:00:00"/>
    <s v="D030"/>
    <n v="40"/>
    <n v="11.9"/>
    <s v="سيارة سيدان"/>
    <s v="20:00-22:00"/>
    <d v="2026-02-26T07:35:00"/>
    <d v="2026-02-26T07:53:00"/>
    <d v="2026-02-26T08:58:00"/>
    <d v="2026-02-26T09:13:00"/>
    <d v="2026-02-26T10:01:00"/>
    <d v="2026-02-26T10:21:00"/>
    <n v="5"/>
    <x v="1"/>
    <s v="الدمام"/>
    <s v="الشاطئ"/>
    <s v="مستودع الدمام"/>
    <n v="3000"/>
    <x v="0"/>
    <x v="0"/>
    <x v="0"/>
    <x v="0"/>
    <x v="0"/>
    <x v="6"/>
  </r>
  <r>
    <s v="ORD-2026-100274"/>
    <s v="CUS84922"/>
    <d v="2026-02-27T00:00:00"/>
    <s v="D013"/>
    <n v="23"/>
    <n v="8.8000000000000007"/>
    <s v="شاحنة متوسطة"/>
    <s v="10:00-12:00"/>
    <d v="2026-02-27T09:47:00"/>
    <d v="2026-02-27T10:01:00"/>
    <d v="2026-02-27T10:11:00"/>
    <d v="2026-02-27T10:25:00"/>
    <d v="2026-02-27T10:49:00"/>
    <d v="2026-02-27T11:07:00"/>
    <n v="7"/>
    <x v="1"/>
    <s v="الرياض"/>
    <s v="العليا"/>
    <s v="مستودع الرياض الرئيسي"/>
    <n v="5000"/>
    <x v="0"/>
    <x v="1"/>
    <x v="2"/>
    <x v="6"/>
    <x v="2"/>
    <x v="13"/>
  </r>
  <r>
    <s v="ORD-2026-100275"/>
    <s v="CUS73246"/>
    <d v="2026-01-20T00:00:00"/>
    <s v="D004"/>
    <n v="27"/>
    <n v="5.2"/>
    <s v="سيارة سيدان"/>
    <s v="12:00-14:00"/>
    <d v="2026-01-20T09:47:00"/>
    <d v="2026-01-20T10:10:00"/>
    <d v="2026-01-20T10:51:00"/>
    <d v="2026-01-20T11:03:00"/>
    <d v="2026-01-20T11:29:00"/>
    <d v="2026-01-20T11:53:00"/>
    <n v="1"/>
    <x v="1"/>
    <s v="الرياض"/>
    <s v="الربوة"/>
    <s v="مستودع الرياض الرئيسي"/>
    <n v="5000"/>
    <x v="0"/>
    <x v="0"/>
    <x v="0"/>
    <x v="0"/>
    <x v="1"/>
    <x v="6"/>
  </r>
  <r>
    <s v="ORD-2026-100276"/>
    <s v="CUS88944"/>
    <d v="2026-01-23T00:00:00"/>
    <s v="D016"/>
    <n v="24"/>
    <n v="4.3"/>
    <s v="شاحنة متوسطة"/>
    <s v="14:00-16:00"/>
    <d v="2026-01-23T06:20:00"/>
    <d v="2026-01-23T06:49:00"/>
    <d v="2026-01-23T07:06:00"/>
    <d v="2026-01-23T07:21:00"/>
    <d v="2026-01-23T07:53:00"/>
    <d v="2026-01-23T08:25:00"/>
    <n v="4"/>
    <x v="1"/>
    <s v="المدينة المنورة"/>
    <s v="العوالي"/>
    <s v="مستودع المدينة المنورة"/>
    <n v="2000"/>
    <x v="0"/>
    <x v="0"/>
    <x v="0"/>
    <x v="0"/>
    <x v="0"/>
    <x v="1"/>
  </r>
  <r>
    <s v="ORD-2026-100277"/>
    <s v="CUS21807"/>
    <d v="2026-01-02T00:00:00"/>
    <s v="D021"/>
    <n v="24"/>
    <n v="8.1999999999999993"/>
    <s v="سيارة سيدان"/>
    <s v="16:00-18:00"/>
    <d v="2026-01-02T08:24:00"/>
    <d v="2026-01-02T08:33:00"/>
    <d v="2026-01-02T09:24:00"/>
    <d v="2026-01-02T09:36:00"/>
    <d v="2026-01-02T09:55:00"/>
    <d v="2026-01-02T10:03:00"/>
    <n v="6"/>
    <x v="1"/>
    <s v="مكة المكرمة"/>
    <s v="العزيزية"/>
    <s v="مستودع مكة المكرمة"/>
    <n v="2500"/>
    <x v="0"/>
    <x v="0"/>
    <x v="0"/>
    <x v="0"/>
    <x v="2"/>
    <x v="9"/>
  </r>
  <r>
    <s v="ORD-2026-100278"/>
    <s v="CUS35966"/>
    <d v="2026-01-29T00:00:00"/>
    <s v="D014"/>
    <n v="14"/>
    <n v="5.0999999999999996"/>
    <s v="شاحنة صغيرة"/>
    <s v="14:00-16:00"/>
    <d v="2026-01-29T08:26:00"/>
    <d v="2026-01-29T08:54:00"/>
    <d v="2026-01-29T09:10:00"/>
    <d v="2026-01-29T09:27:00"/>
    <d v="2026-01-29T09:53:00"/>
    <d v="2026-01-29T10:03:00"/>
    <n v="4"/>
    <x v="1"/>
    <s v="الدمام"/>
    <s v="الجلوية"/>
    <s v="مستودع الدمام"/>
    <n v="3000"/>
    <x v="0"/>
    <x v="0"/>
    <x v="0"/>
    <x v="0"/>
    <x v="3"/>
    <x v="9"/>
  </r>
  <r>
    <s v="ORD-2026-100279"/>
    <s v="CUS95905"/>
    <d v="2026-03-04T00:00:00"/>
    <s v="D013"/>
    <n v="40"/>
    <n v="8.9"/>
    <s v="شاحنة متوسطة"/>
    <s v="10:00-12:00"/>
    <d v="2026-03-04T07:02:00"/>
    <d v="2026-03-04T07:09:00"/>
    <d v="2026-03-04T07:53:00"/>
    <d v="2026-03-04T08:11:00"/>
    <d v="2026-03-04T08:41:00"/>
    <d v="2026-03-04T09:22:00"/>
    <n v="1"/>
    <x v="4"/>
    <s v="المدينة المنورة"/>
    <s v="قباء"/>
    <s v="مستودع المدينة المنورة"/>
    <n v="2000"/>
    <x v="0"/>
    <x v="0"/>
    <x v="0"/>
    <x v="0"/>
    <x v="2"/>
    <x v="13"/>
  </r>
  <r>
    <s v="ORD-2026-100280"/>
    <s v="CUS29356"/>
    <d v="2026-01-04T00:00:00"/>
    <s v="D025"/>
    <n v="27"/>
    <n v="8.9"/>
    <s v="فان"/>
    <s v="16:00-18:00"/>
    <d v="2026-01-04T06:37:00"/>
    <d v="2026-01-04T06:56:00"/>
    <d v="2026-01-04T07:11:00"/>
    <d v="2026-01-04T07:23:00"/>
    <d v="2026-01-04T07:45:00"/>
    <d v="2026-01-04T08:13:00"/>
    <n v="2"/>
    <x v="1"/>
    <s v="الدمام"/>
    <s v="الفيصلية"/>
    <s v="مستودع الدمام"/>
    <n v="3000"/>
    <x v="0"/>
    <x v="0"/>
    <x v="0"/>
    <x v="0"/>
    <x v="1"/>
    <x v="13"/>
  </r>
  <r>
    <s v="ORD-2026-100281"/>
    <s v="CUS97590"/>
    <d v="2026-02-06T00:00:00"/>
    <s v="D001"/>
    <n v="24"/>
    <n v="7.6"/>
    <s v="شاحنة صغيرة"/>
    <s v="12:00-14:00"/>
    <d v="2026-02-06T06:53:00"/>
    <d v="2026-02-06T07:21:00"/>
    <d v="2026-02-06T08:39:00"/>
    <d v="2026-02-06T08:50:00"/>
    <d v="2026-02-06T09:13:00"/>
    <d v="2026-02-06T09:52:00"/>
    <n v="5"/>
    <x v="1"/>
    <s v="الدمام"/>
    <s v="العزيزية"/>
    <s v="مستودع الدمام"/>
    <n v="3000"/>
    <x v="0"/>
    <x v="0"/>
    <x v="0"/>
    <x v="0"/>
    <x v="0"/>
    <x v="0"/>
  </r>
  <r>
    <s v="ORD-2026-100282"/>
    <s v="CUS96520"/>
    <d v="2026-01-03T00:00:00"/>
    <s v="D013"/>
    <n v="21"/>
    <n v="5.4"/>
    <s v="سيارة سيدان"/>
    <s v="10:00-12:00"/>
    <d v="2026-01-03T09:22:00"/>
    <d v="2026-01-03T09:49:00"/>
    <d v="2026-01-03T11:18:00"/>
    <d v="2026-01-03T11:31:00"/>
    <d v="2026-01-03T11:44:00"/>
    <d v="2026-01-03T12:18:00"/>
    <n v="6"/>
    <x v="1"/>
    <s v="المدينة المنورة"/>
    <s v="العوالي"/>
    <s v="مستودع المدينة المنورة"/>
    <n v="2000"/>
    <x v="0"/>
    <x v="0"/>
    <x v="0"/>
    <x v="0"/>
    <x v="0"/>
    <x v="5"/>
  </r>
  <r>
    <s v="ORD-2026-100283"/>
    <s v="CUS15210"/>
    <d v="2026-02-16T00:00:00"/>
    <s v="D028"/>
    <n v="23"/>
    <n v="10.9"/>
    <s v="فان"/>
    <s v="10:00-12:00"/>
    <d v="2026-02-16T07:37:00"/>
    <d v="2026-02-16T07:58:00"/>
    <d v="2026-02-16T08:20:00"/>
    <d v="2026-02-16T08:35:00"/>
    <d v="2026-02-16T09:16:00"/>
    <d v="2026-02-16T09:59:00"/>
    <n v="5"/>
    <x v="3"/>
    <s v="الرياض"/>
    <s v="العليا"/>
    <s v="مستودع الرياض الرئيسي"/>
    <n v="5000"/>
    <x v="0"/>
    <x v="0"/>
    <x v="0"/>
    <x v="0"/>
    <x v="0"/>
    <x v="7"/>
  </r>
  <r>
    <s v="ORD-2026-100284"/>
    <s v="CUS60747"/>
    <d v="2026-02-01T00:00:00"/>
    <s v="D030"/>
    <n v="26"/>
    <n v="7.9"/>
    <s v="دراجة نارية"/>
    <s v="08:00-10:00"/>
    <d v="2026-02-01T07:28:00"/>
    <d v="2026-02-01T07:54:00"/>
    <d v="2026-02-01T08:49:00"/>
    <d v="2026-02-01T09:05:00"/>
    <d v="2026-02-01T09:55:00"/>
    <d v="2026-02-01T10:19:00"/>
    <n v="2"/>
    <x v="1"/>
    <s v="المدينة المنورة"/>
    <s v="الحرة الغربية"/>
    <s v="مستودع المدينة المنورة"/>
    <n v="2000"/>
    <x v="1"/>
    <x v="0"/>
    <x v="0"/>
    <x v="0"/>
    <x v="1"/>
    <x v="11"/>
  </r>
  <r>
    <s v="ORD-2026-100285"/>
    <s v="CUS95520"/>
    <d v="2026-01-04T00:00:00"/>
    <s v="D018"/>
    <n v="14"/>
    <n v="6.7"/>
    <s v="فان"/>
    <s v="18:00-20:00"/>
    <d v="2026-01-04T06:35:00"/>
    <d v="2026-01-04T06:42:00"/>
    <d v="2026-01-04T07:40:00"/>
    <d v="2026-01-04T07:52:00"/>
    <d v="2026-01-04T08:28:00"/>
    <d v="2026-01-04T08:48:00"/>
    <n v="5"/>
    <x v="5"/>
    <s v="الدمام"/>
    <s v="الفيصلية"/>
    <s v="مستودع الدمام"/>
    <n v="3000"/>
    <x v="0"/>
    <x v="0"/>
    <x v="0"/>
    <x v="0"/>
    <x v="2"/>
    <x v="2"/>
  </r>
  <r>
    <s v="ORD-2026-100286"/>
    <s v="CUS13864"/>
    <d v="2026-01-18T00:00:00"/>
    <s v="D019"/>
    <n v="13"/>
    <n v="6.5"/>
    <s v="شاحنة متوسطة"/>
    <s v="10:00-12:00"/>
    <d v="2026-01-18T07:50:00"/>
    <d v="2026-01-18T08:19:00"/>
    <d v="2026-01-18T08:47:00"/>
    <d v="2026-01-18T08:57:00"/>
    <d v="2026-01-18T09:27:00"/>
    <d v="2026-01-18T09:36:00"/>
    <n v="5"/>
    <x v="1"/>
    <s v="المدينة المنورة"/>
    <s v="قباء"/>
    <s v="مستودع المدينة المنورة"/>
    <n v="2000"/>
    <x v="0"/>
    <x v="0"/>
    <x v="0"/>
    <x v="0"/>
    <x v="0"/>
    <x v="14"/>
  </r>
  <r>
    <s v="ORD-2026-100287"/>
    <s v="CUS40432"/>
    <d v="2026-02-10T00:00:00"/>
    <s v="D029"/>
    <n v="24"/>
    <n v="7.5"/>
    <s v="سيارة سيدان"/>
    <s v="10:00-12:00"/>
    <d v="2026-02-10T09:19:00"/>
    <d v="2026-02-10T09:30:00"/>
    <d v="2026-02-10T09:53:00"/>
    <d v="2026-02-10T10:02:00"/>
    <d v="2026-02-10T10:23:00"/>
    <d v="2026-02-10T10:29:00"/>
    <n v="7"/>
    <x v="1"/>
    <s v="مكة المكرمة"/>
    <s v="أجياد"/>
    <s v="مستودع مكة المكرمة"/>
    <n v="2500"/>
    <x v="0"/>
    <x v="0"/>
    <x v="0"/>
    <x v="0"/>
    <x v="2"/>
    <x v="13"/>
  </r>
  <r>
    <s v="ORD-2026-100288"/>
    <s v="CUS45370"/>
    <d v="2026-01-30T00:00:00"/>
    <s v="D022"/>
    <n v="10"/>
    <n v="9.5"/>
    <s v="فان"/>
    <s v="10:00-12:00"/>
    <d v="2026-01-30T08:08:00"/>
    <d v="2026-01-30T08:32:00"/>
    <d v="2026-01-30T09:42:00"/>
    <d v="2026-01-30T09:58:00"/>
    <d v="2026-01-30T10:19:00"/>
    <d v="2026-01-30T10:48:00"/>
    <n v="4"/>
    <x v="1"/>
    <s v="الرياض"/>
    <s v="الورود"/>
    <s v="مستودع الرياض الرئيسي"/>
    <n v="5000"/>
    <x v="0"/>
    <x v="0"/>
    <x v="0"/>
    <x v="0"/>
    <x v="2"/>
    <x v="7"/>
  </r>
  <r>
    <s v="ORD-2026-100289"/>
    <s v="CUS84964"/>
    <d v="2026-02-22T00:00:00"/>
    <s v="D008"/>
    <n v="18"/>
    <n v="4.5"/>
    <s v="فان"/>
    <s v="20:00-22:00"/>
    <d v="2026-02-22T08:37:00"/>
    <d v="2026-02-22T08:57:00"/>
    <d v="2026-02-22T09:48:00"/>
    <d v="2026-02-22T10:07:00"/>
    <d v="2026-02-22T10:32:00"/>
    <d v="2026-02-22T11:04:00"/>
    <n v="4"/>
    <x v="1"/>
    <s v="جدة"/>
    <s v="الأندلس"/>
    <s v="مستودع جدة الرئيسي"/>
    <n v="4000"/>
    <x v="0"/>
    <x v="1"/>
    <x v="2"/>
    <x v="4"/>
    <x v="2"/>
    <x v="0"/>
  </r>
  <r>
    <s v="ORD-2026-100290"/>
    <s v="CUS49918"/>
    <d v="2026-03-18T00:00:00"/>
    <s v="D018"/>
    <n v="38"/>
    <n v="4.9000000000000004"/>
    <s v="فان"/>
    <s v="20:00-22:00"/>
    <d v="2026-03-18T09:44:00"/>
    <d v="2026-03-18T09:50:00"/>
    <d v="2026-03-18T10:31:00"/>
    <d v="2026-03-18T10:48:00"/>
    <d v="2026-03-18T11:45:00"/>
    <d v="2026-03-18T11:52:00"/>
    <n v="5"/>
    <x v="1"/>
    <s v="المدينة المنورة"/>
    <s v="العوالي"/>
    <s v="مستودع المدينة المنورة"/>
    <n v="2000"/>
    <x v="0"/>
    <x v="1"/>
    <x v="1"/>
    <x v="5"/>
    <x v="2"/>
    <x v="5"/>
  </r>
  <r>
    <s v="ORD-2026-100291"/>
    <s v="CUS52396"/>
    <d v="2026-02-06T00:00:00"/>
    <s v="D015"/>
    <n v="23"/>
    <n v="8.9"/>
    <s v="شاحنة صغيرة"/>
    <s v="18:00-20:00"/>
    <d v="2026-02-06T08:12:00"/>
    <d v="2026-02-06T08:21:00"/>
    <d v="2026-02-06T09:30:00"/>
    <d v="2026-02-06T09:49:00"/>
    <d v="2026-02-06T10:04:00"/>
    <d v="2026-02-06T10:41:00"/>
    <n v="1"/>
    <x v="0"/>
    <s v="جدة"/>
    <s v="الشاطئ"/>
    <s v="مستودع جدة الرئيسي"/>
    <n v="4000"/>
    <x v="1"/>
    <x v="0"/>
    <x v="0"/>
    <x v="0"/>
    <x v="3"/>
    <x v="12"/>
  </r>
  <r>
    <s v="ORD-2026-100292"/>
    <s v="CUS77065"/>
    <d v="2026-02-27T00:00:00"/>
    <s v="D001"/>
    <n v="17"/>
    <n v="11.1"/>
    <s v="شاحنة صغيرة"/>
    <s v="12:00-14:00"/>
    <d v="2026-02-27T07:22:00"/>
    <d v="2026-02-27T07:49:00"/>
    <d v="2026-02-27T08:19:00"/>
    <d v="2026-02-27T08:27:00"/>
    <d v="2026-02-27T08:42:00"/>
    <d v="2026-02-27T08:54:00"/>
    <n v="6"/>
    <x v="1"/>
    <s v="جدة"/>
    <s v="الشاطئ"/>
    <s v="مستودع جدة الرئيسي"/>
    <n v="4000"/>
    <x v="0"/>
    <x v="0"/>
    <x v="0"/>
    <x v="0"/>
    <x v="2"/>
    <x v="3"/>
  </r>
  <r>
    <s v="ORD-2026-100293"/>
    <s v="CUS47851"/>
    <d v="2026-03-20T00:00:00"/>
    <s v="D006"/>
    <n v="29"/>
    <n v="4.4000000000000004"/>
    <s v="دراجة نارية"/>
    <s v="12:00-14:00"/>
    <d v="2026-03-20T08:24:00"/>
    <d v="2026-03-20T08:50:00"/>
    <d v="2026-03-20T09:19:00"/>
    <d v="2026-03-20T09:29:00"/>
    <d v="2026-03-20T09:48:00"/>
    <d v="2026-03-20T10:04:00"/>
    <n v="7"/>
    <x v="1"/>
    <s v="مكة المكرمة"/>
    <s v="المسفلة"/>
    <s v="مستودع مكة المكرمة"/>
    <n v="2500"/>
    <x v="0"/>
    <x v="0"/>
    <x v="0"/>
    <x v="0"/>
    <x v="0"/>
    <x v="4"/>
  </r>
  <r>
    <s v="ORD-2026-100294"/>
    <s v="CUS10861"/>
    <d v="2026-03-22T00:00:00"/>
    <s v="D006"/>
    <n v="17"/>
    <n v="4"/>
    <s v="سيارة سيدان"/>
    <s v="08:00-10:00"/>
    <d v="2026-03-22T07:57:00"/>
    <d v="2026-03-22T08:17:00"/>
    <d v="2026-03-22T09:30:00"/>
    <d v="2026-03-22T09:35:00"/>
    <d v="2026-03-22T10:23:00"/>
    <d v="2026-03-22T10:59:00"/>
    <n v="2"/>
    <x v="2"/>
    <s v="الرياض"/>
    <s v="الملقا"/>
    <s v="مستودع الرياض الرئيسي"/>
    <n v="5000"/>
    <x v="0"/>
    <x v="0"/>
    <x v="0"/>
    <x v="0"/>
    <x v="1"/>
    <x v="13"/>
  </r>
  <r>
    <s v="ORD-2026-100295"/>
    <s v="CUS24272"/>
    <d v="2026-02-01T00:00:00"/>
    <s v="D029"/>
    <n v="40"/>
    <n v="10.6"/>
    <s v="دراجة نارية"/>
    <s v="08:00-10:00"/>
    <d v="2026-02-01T06:47:00"/>
    <d v="2026-02-01T06:56:00"/>
    <d v="2026-02-01T07:13:00"/>
    <d v="2026-02-01T07:29:00"/>
    <d v="2026-02-01T07:41:00"/>
    <d v="2026-02-01T07:55:00"/>
    <n v="7"/>
    <x v="0"/>
    <s v="المدينة المنورة"/>
    <s v="الحرة الغربية"/>
    <s v="مستودع المدينة المنورة"/>
    <n v="2000"/>
    <x v="0"/>
    <x v="0"/>
    <x v="0"/>
    <x v="0"/>
    <x v="0"/>
    <x v="7"/>
  </r>
  <r>
    <s v="ORD-2026-100296"/>
    <s v="CUS18869"/>
    <d v="2026-02-23T00:00:00"/>
    <s v="D006"/>
    <n v="23"/>
    <n v="8.9"/>
    <s v="شاحنة متوسطة"/>
    <s v="16:00-18:00"/>
    <d v="2026-02-23T09:21:00"/>
    <d v="2026-02-23T09:43:00"/>
    <d v="2026-02-23T10:15:00"/>
    <d v="2026-02-23T10:34:00"/>
    <d v="2026-02-23T11:31:00"/>
    <d v="2026-02-23T12:13:00"/>
    <n v="3"/>
    <x v="1"/>
    <s v="جدة"/>
    <s v="الصفا"/>
    <s v="مستودع جدة الرئيسي"/>
    <n v="4000"/>
    <x v="0"/>
    <x v="0"/>
    <x v="0"/>
    <x v="0"/>
    <x v="2"/>
    <x v="12"/>
  </r>
  <r>
    <s v="ORD-2026-100297"/>
    <s v="CUS73394"/>
    <d v="2026-02-24T00:00:00"/>
    <s v="D027"/>
    <n v="23"/>
    <n v="7.8"/>
    <s v="شاحنة صغيرة"/>
    <s v="18:00-20:00"/>
    <d v="2026-02-24T09:40:00"/>
    <d v="2026-02-24T09:53:00"/>
    <d v="2026-02-24T10:45:00"/>
    <d v="2026-02-24T11:03:00"/>
    <d v="2026-02-24T11:46:00"/>
    <d v="2026-02-24T12:04:00"/>
    <n v="6"/>
    <x v="6"/>
    <s v="المدينة المنورة"/>
    <s v="العوالي"/>
    <s v="مستودع المدينة المنورة"/>
    <n v="2000"/>
    <x v="0"/>
    <x v="0"/>
    <x v="0"/>
    <x v="0"/>
    <x v="2"/>
    <x v="8"/>
  </r>
  <r>
    <s v="ORD-2026-100298"/>
    <s v="CUS10207"/>
    <d v="2026-03-30T00:00:00"/>
    <s v="D020"/>
    <n v="25"/>
    <n v="6.1"/>
    <s v="شاحنة متوسطة"/>
    <s v="16:00-18:00"/>
    <d v="2026-03-30T07:30:00"/>
    <d v="2026-03-30T07:39:00"/>
    <d v="2026-03-30T09:07:00"/>
    <d v="2026-03-30T09:27:00"/>
    <d v="2026-03-30T10:10:00"/>
    <d v="2026-03-30T10:55:00"/>
    <n v="4"/>
    <x v="1"/>
    <s v="الدمام"/>
    <s v="الجلوية"/>
    <s v="مستودع الدمام"/>
    <n v="3000"/>
    <x v="0"/>
    <x v="0"/>
    <x v="0"/>
    <x v="0"/>
    <x v="0"/>
    <x v="2"/>
  </r>
  <r>
    <s v="ORD-2026-100299"/>
    <s v="CUS52457"/>
    <d v="2026-01-16T00:00:00"/>
    <s v="D001"/>
    <n v="18"/>
    <n v="10.4"/>
    <s v="فان"/>
    <s v="14:00-16:00"/>
    <d v="2026-01-16T06:11:00"/>
    <d v="2026-01-16T06:26:00"/>
    <d v="2026-01-16T07:20:00"/>
    <d v="2026-01-16T07:31:00"/>
    <d v="2026-01-16T07:41:00"/>
    <d v="2026-01-16T08:26:00"/>
    <n v="2"/>
    <x v="1"/>
    <s v="مكة المكرمة"/>
    <s v="العزيزية"/>
    <s v="مستودع مكة المكرمة"/>
    <n v="2500"/>
    <x v="0"/>
    <x v="0"/>
    <x v="0"/>
    <x v="0"/>
    <x v="2"/>
    <x v="9"/>
  </r>
  <r>
    <s v="ORD-2026-100300"/>
    <s v="CUS80381"/>
    <d v="2026-01-01T00:00:00"/>
    <s v="D004"/>
    <n v="30"/>
    <n v="9.8000000000000007"/>
    <s v="شاحنة متوسطة"/>
    <s v="08:00-10:00"/>
    <d v="2026-01-01T09:33:00"/>
    <d v="2026-01-01T09:43:00"/>
    <d v="2026-01-01T10:17:00"/>
    <d v="2026-01-01T10:32:00"/>
    <d v="2026-01-01T11:03:00"/>
    <d v="2026-01-01T11:38:00"/>
    <n v="4"/>
    <x v="1"/>
    <s v="الدمام"/>
    <s v="الشاطئ"/>
    <s v="مستودع الدمام"/>
    <n v="3000"/>
    <x v="0"/>
    <x v="0"/>
    <x v="0"/>
    <x v="0"/>
    <x v="2"/>
    <x v="5"/>
  </r>
  <r>
    <s v="ORD-2026-100301"/>
    <s v="CUS80028"/>
    <d v="2026-02-12T00:00:00"/>
    <s v="D015"/>
    <n v="38"/>
    <n v="6.4"/>
    <s v="سيارة سيدان"/>
    <s v="16:00-18:00"/>
    <d v="2026-02-12T08:17:00"/>
    <d v="2026-02-12T08:22:00"/>
    <d v="2026-02-12T08:58:00"/>
    <d v="2026-02-12T09:13:00"/>
    <d v="2026-02-12T10:13:00"/>
    <d v="2026-02-12T10:40:00"/>
    <n v="1"/>
    <x v="1"/>
    <s v="مكة المكرمة"/>
    <s v="العزيزية"/>
    <s v="مستودع مكة المكرمة"/>
    <n v="2500"/>
    <x v="0"/>
    <x v="0"/>
    <x v="0"/>
    <x v="0"/>
    <x v="0"/>
    <x v="10"/>
  </r>
  <r>
    <s v="ORD-2026-100302"/>
    <s v="CUS24710"/>
    <d v="2026-01-22T00:00:00"/>
    <s v="D019"/>
    <n v="16"/>
    <n v="8.8000000000000007"/>
    <s v="سيارة سيدان"/>
    <s v="18:00-20:00"/>
    <d v="2026-01-22T09:39:00"/>
    <d v="2026-01-22T09:54:00"/>
    <d v="2026-01-22T10:08:00"/>
    <d v="2026-01-22T10:21:00"/>
    <d v="2026-01-22T10:57:00"/>
    <d v="2026-01-22T11:07:00"/>
    <n v="4"/>
    <x v="1"/>
    <s v="المدينة المنورة"/>
    <s v="العنابس"/>
    <s v="مستودع المدينة المنورة"/>
    <n v="2000"/>
    <x v="0"/>
    <x v="1"/>
    <x v="2"/>
    <x v="2"/>
    <x v="2"/>
    <x v="14"/>
  </r>
  <r>
    <s v="ORD-2026-100303"/>
    <s v="CUS77652"/>
    <d v="2026-02-17T00:00:00"/>
    <s v="D026"/>
    <n v="10"/>
    <n v="7.6"/>
    <s v="شاحنة صغيرة"/>
    <s v="20:00-22:00"/>
    <d v="2026-02-17T08:03:00"/>
    <d v="2026-02-17T08:24:00"/>
    <d v="2026-02-17T08:53:00"/>
    <d v="2026-02-17T09:04:00"/>
    <d v="2026-02-17T09:35:00"/>
    <d v="2026-02-17T10:10:00"/>
    <n v="6"/>
    <x v="1"/>
    <s v="الرياض"/>
    <s v="حطين"/>
    <s v="مستودع الرياض الرئيسي"/>
    <n v="5000"/>
    <x v="0"/>
    <x v="0"/>
    <x v="0"/>
    <x v="0"/>
    <x v="0"/>
    <x v="8"/>
  </r>
  <r>
    <s v="ORD-2026-100304"/>
    <s v="CUS37504"/>
    <d v="2026-03-28T00:00:00"/>
    <s v="D005"/>
    <n v="7"/>
    <n v="7.7"/>
    <s v="شاحنة متوسطة"/>
    <s v="08:00-10:00"/>
    <d v="2026-03-28T06:01:00"/>
    <d v="2026-03-28T06:15:00"/>
    <d v="2026-03-28T06:30:00"/>
    <d v="2026-03-28T06:37:00"/>
    <d v="2026-03-28T07:08:00"/>
    <d v="2026-03-28T07:42:00"/>
    <n v="1"/>
    <x v="2"/>
    <s v="جدة"/>
    <s v="الصفا"/>
    <s v="مستودع جدة الرئيسي"/>
    <n v="4000"/>
    <x v="0"/>
    <x v="0"/>
    <x v="0"/>
    <x v="0"/>
    <x v="0"/>
    <x v="10"/>
  </r>
  <r>
    <s v="ORD-2026-100305"/>
    <s v="CUS51744"/>
    <d v="2026-02-11T00:00:00"/>
    <s v="D007"/>
    <n v="22"/>
    <n v="8.3000000000000007"/>
    <s v="فان"/>
    <s v="18:00-20:00"/>
    <d v="2026-02-11T06:30:00"/>
    <d v="2026-02-11T06:43:00"/>
    <d v="2026-02-11T07:12:00"/>
    <d v="2026-02-11T07:22:00"/>
    <d v="2026-02-11T07:49:00"/>
    <d v="2026-02-11T08:01:00"/>
    <n v="1"/>
    <x v="1"/>
    <s v="جدة"/>
    <s v="الروضة"/>
    <s v="مستودع جدة الرئيسي"/>
    <n v="4000"/>
    <x v="0"/>
    <x v="0"/>
    <x v="0"/>
    <x v="0"/>
    <x v="2"/>
    <x v="9"/>
  </r>
  <r>
    <s v="ORD-2026-100306"/>
    <s v="CUS61369"/>
    <d v="2026-02-04T00:00:00"/>
    <s v="D005"/>
    <n v="20"/>
    <n v="5.4"/>
    <s v="سيارة سيدان"/>
    <s v="16:00-18:00"/>
    <d v="2026-02-04T09:48:00"/>
    <d v="2026-02-04T10:03:00"/>
    <d v="2026-02-04T11:22:00"/>
    <d v="2026-02-04T11:41:00"/>
    <d v="2026-02-04T11:54:00"/>
    <d v="2026-02-04T12:07:00"/>
    <n v="1"/>
    <x v="1"/>
    <s v="الدمام"/>
    <s v="المزروعية"/>
    <s v="مستودع الدمام"/>
    <n v="3000"/>
    <x v="0"/>
    <x v="0"/>
    <x v="0"/>
    <x v="0"/>
    <x v="1"/>
    <x v="12"/>
  </r>
  <r>
    <s v="ORD-2026-100307"/>
    <s v="CUS71000"/>
    <d v="2026-01-23T00:00:00"/>
    <s v="D023"/>
    <n v="27"/>
    <n v="6.5"/>
    <s v="دراجة نارية"/>
    <s v="18:00-20:00"/>
    <d v="2026-01-23T09:14:00"/>
    <d v="2026-01-23T09:40:00"/>
    <d v="2026-01-23T10:58:00"/>
    <d v="2026-01-23T11:05:00"/>
    <d v="2026-01-23T12:03:00"/>
    <d v="2026-01-23T12:37:00"/>
    <n v="5"/>
    <x v="2"/>
    <s v="المدينة المنورة"/>
    <s v="العنابس"/>
    <s v="مستودع المدينة المنورة"/>
    <n v="2000"/>
    <x v="0"/>
    <x v="0"/>
    <x v="0"/>
    <x v="0"/>
    <x v="0"/>
    <x v="0"/>
  </r>
  <r>
    <s v="ORD-2026-100308"/>
    <s v="CUS55693"/>
    <d v="2026-03-02T00:00:00"/>
    <s v="D008"/>
    <n v="21"/>
    <n v="11.3"/>
    <s v="فان"/>
    <s v="10:00-12:00"/>
    <d v="2026-03-02T08:59:00"/>
    <d v="2026-03-02T09:25:00"/>
    <d v="2026-03-02T10:17:00"/>
    <d v="2026-03-02T10:32:00"/>
    <d v="2026-03-02T11:11:00"/>
    <d v="2026-03-02T11:47:00"/>
    <n v="1"/>
    <x v="6"/>
    <s v="جدة"/>
    <s v="الزهراء"/>
    <s v="مستودع جدة الرئيسي"/>
    <n v="4000"/>
    <x v="0"/>
    <x v="0"/>
    <x v="0"/>
    <x v="0"/>
    <x v="3"/>
    <x v="3"/>
  </r>
  <r>
    <s v="ORD-2026-100309"/>
    <s v="CUS60307"/>
    <d v="2026-03-19T00:00:00"/>
    <s v="D019"/>
    <n v="11"/>
    <n v="7.2"/>
    <s v="شاحنة صغيرة"/>
    <s v="12:00-14:00"/>
    <d v="2026-03-19T08:22:00"/>
    <d v="2026-03-19T08:47:00"/>
    <d v="2026-03-19T09:06:00"/>
    <d v="2026-03-19T09:20:00"/>
    <d v="2026-03-19T10:04:00"/>
    <d v="2026-03-19T10:38:00"/>
    <n v="4"/>
    <x v="1"/>
    <s v="جدة"/>
    <s v="النزهة"/>
    <s v="مستودع جدة الرئيسي"/>
    <n v="4000"/>
    <x v="0"/>
    <x v="0"/>
    <x v="0"/>
    <x v="0"/>
    <x v="3"/>
    <x v="4"/>
  </r>
  <r>
    <s v="ORD-2026-100310"/>
    <s v="CUS52647"/>
    <d v="2026-01-09T00:00:00"/>
    <s v="D011"/>
    <n v="32"/>
    <n v="10.3"/>
    <s v="فان"/>
    <s v="16:00-18:00"/>
    <d v="2026-01-09T09:21:00"/>
    <d v="2026-01-09T09:36:00"/>
    <d v="2026-01-09T10:55:00"/>
    <d v="2026-01-09T11:07:00"/>
    <d v="2026-01-09T11:28:00"/>
    <d v="2026-01-09T11:37:00"/>
    <n v="6"/>
    <x v="1"/>
    <s v="جدة"/>
    <s v="الأندلس"/>
    <s v="مستودع جدة الرئيسي"/>
    <n v="4000"/>
    <x v="0"/>
    <x v="0"/>
    <x v="0"/>
    <x v="0"/>
    <x v="2"/>
    <x v="4"/>
  </r>
  <r>
    <s v="ORD-2026-100311"/>
    <s v="CUS93379"/>
    <d v="2026-03-13T00:00:00"/>
    <s v="D004"/>
    <n v="24"/>
    <n v="11.6"/>
    <s v="شاحنة صغيرة"/>
    <s v="16:00-18:00"/>
    <d v="2026-03-13T06:27:00"/>
    <d v="2026-03-13T06:53:00"/>
    <d v="2026-03-13T08:19:00"/>
    <d v="2026-03-13T08:36:00"/>
    <d v="2026-03-13T09:06:00"/>
    <d v="2026-03-13T09:42:00"/>
    <n v="6"/>
    <x v="1"/>
    <s v="مكة المكرمة"/>
    <s v="الشوقية"/>
    <s v="مستودع مكة المكرمة"/>
    <n v="2500"/>
    <x v="0"/>
    <x v="0"/>
    <x v="0"/>
    <x v="0"/>
    <x v="0"/>
    <x v="5"/>
  </r>
  <r>
    <s v="ORD-2026-100312"/>
    <s v="CUS55123"/>
    <d v="2026-01-01T00:00:00"/>
    <s v="D025"/>
    <n v="14"/>
    <n v="7.6"/>
    <s v="سيارة سيدان"/>
    <s v="14:00-16:00"/>
    <d v="2026-01-01T08:37:00"/>
    <d v="2026-01-01T09:00:00"/>
    <d v="2026-01-01T10:07:00"/>
    <d v="2026-01-01T10:18:00"/>
    <d v="2026-01-01T10:41:00"/>
    <d v="2026-01-01T11:06:00"/>
    <n v="3"/>
    <x v="1"/>
    <s v="جدة"/>
    <s v="الصفا"/>
    <s v="مستودع جدة الرئيسي"/>
    <n v="4000"/>
    <x v="0"/>
    <x v="0"/>
    <x v="0"/>
    <x v="0"/>
    <x v="0"/>
    <x v="12"/>
  </r>
  <r>
    <s v="ORD-2026-100313"/>
    <s v="CUS87353"/>
    <d v="2026-01-12T00:00:00"/>
    <s v="D019"/>
    <n v="13"/>
    <n v="10.8"/>
    <s v="شاحنة صغيرة"/>
    <s v="12:00-14:00"/>
    <d v="2026-01-12T09:50:00"/>
    <d v="2026-01-12T10:12:00"/>
    <d v="2026-01-12T10:28:00"/>
    <d v="2026-01-12T10:33:00"/>
    <d v="2026-01-12T11:28:00"/>
    <d v="2026-01-12T12:08:00"/>
    <n v="7"/>
    <x v="1"/>
    <s v="الرياض"/>
    <s v="السليمانية"/>
    <s v="مستودع الرياض الرئيسي"/>
    <n v="5000"/>
    <x v="0"/>
    <x v="0"/>
    <x v="0"/>
    <x v="0"/>
    <x v="4"/>
    <x v="12"/>
  </r>
  <r>
    <s v="ORD-2026-100314"/>
    <s v="CUS97826"/>
    <d v="2026-02-20T00:00:00"/>
    <s v="D021"/>
    <n v="30"/>
    <n v="7.1"/>
    <s v="شاحنة متوسطة"/>
    <s v="10:00-12:00"/>
    <d v="2026-02-20T08:49:00"/>
    <d v="2026-02-20T08:59:00"/>
    <d v="2026-02-20T10:09:00"/>
    <d v="2026-02-20T10:18:00"/>
    <d v="2026-02-20T10:40:00"/>
    <d v="2026-02-20T11:20:00"/>
    <n v="4"/>
    <x v="1"/>
    <s v="الدمام"/>
    <s v="الجلوية"/>
    <s v="مستودع الدمام"/>
    <n v="3000"/>
    <x v="0"/>
    <x v="0"/>
    <x v="0"/>
    <x v="0"/>
    <x v="2"/>
    <x v="1"/>
  </r>
  <r>
    <s v="ORD-2026-100315"/>
    <s v="CUS69558"/>
    <d v="2026-01-17T00:00:00"/>
    <s v="D005"/>
    <n v="6"/>
    <n v="5.2"/>
    <s v="فان"/>
    <s v="18:00-20:00"/>
    <d v="2026-01-17T07:51:00"/>
    <d v="2026-01-17T08:00:00"/>
    <d v="2026-01-17T08:20:00"/>
    <d v="2026-01-17T08:29:00"/>
    <d v="2026-01-17T09:20:00"/>
    <d v="2026-01-17T09:51:00"/>
    <n v="7"/>
    <x v="1"/>
    <s v="الرياض"/>
    <s v="النزهة"/>
    <s v="مستودع الرياض الرئيسي"/>
    <n v="5000"/>
    <x v="0"/>
    <x v="0"/>
    <x v="0"/>
    <x v="0"/>
    <x v="2"/>
    <x v="14"/>
  </r>
  <r>
    <s v="ORD-2026-100316"/>
    <s v="CUS84468"/>
    <d v="2026-03-07T00:00:00"/>
    <s v="D014"/>
    <n v="29"/>
    <n v="6.8"/>
    <s v="دراجة نارية"/>
    <s v="14:00-16:00"/>
    <d v="2026-03-07T08:34:00"/>
    <d v="2026-03-07T08:39:00"/>
    <d v="2026-03-07T10:02:00"/>
    <d v="2026-03-07T10:22:00"/>
    <d v="2026-03-07T11:18:00"/>
    <d v="2026-03-07T11:38:00"/>
    <n v="6"/>
    <x v="1"/>
    <s v="المدينة المنورة"/>
    <s v="العنابس"/>
    <s v="مستودع المدينة المنورة"/>
    <n v="2000"/>
    <x v="0"/>
    <x v="0"/>
    <x v="0"/>
    <x v="0"/>
    <x v="2"/>
    <x v="7"/>
  </r>
  <r>
    <s v="ORD-2026-100317"/>
    <s v="CUS97650"/>
    <d v="2026-03-03T00:00:00"/>
    <s v="D023"/>
    <n v="35"/>
    <n v="11.7"/>
    <s v="شاحنة صغيرة"/>
    <s v="10:00-12:00"/>
    <d v="2026-03-03T09:06:00"/>
    <d v="2026-03-03T09:34:00"/>
    <d v="2026-03-03T10:51:00"/>
    <d v="2026-03-03T11:04:00"/>
    <d v="2026-03-03T11:43:00"/>
    <d v="2026-03-03T12:21:00"/>
    <n v="1"/>
    <x v="1"/>
    <s v="الدمام"/>
    <s v="العزيزية"/>
    <s v="مستودع الدمام"/>
    <n v="3000"/>
    <x v="0"/>
    <x v="0"/>
    <x v="0"/>
    <x v="0"/>
    <x v="0"/>
    <x v="10"/>
  </r>
  <r>
    <s v="ORD-2026-100318"/>
    <s v="CUS88333"/>
    <d v="2026-01-10T00:00:00"/>
    <s v="D022"/>
    <n v="8"/>
    <n v="11.2"/>
    <s v="شاحنة متوسطة"/>
    <s v="20:00-22:00"/>
    <d v="2026-01-10T06:02:00"/>
    <d v="2026-01-10T06:22:00"/>
    <d v="2026-01-10T07:30:00"/>
    <d v="2026-01-10T07:50:00"/>
    <d v="2026-01-10T08:36:00"/>
    <d v="2026-01-10T09:02:00"/>
    <n v="4"/>
    <x v="1"/>
    <s v="المدينة المنورة"/>
    <s v="الحرة الغربية"/>
    <s v="مستودع المدينة المنورة"/>
    <n v="2000"/>
    <x v="1"/>
    <x v="0"/>
    <x v="0"/>
    <x v="0"/>
    <x v="3"/>
    <x v="0"/>
  </r>
  <r>
    <s v="ORD-2026-100319"/>
    <s v="CUS46073"/>
    <d v="2026-02-08T00:00:00"/>
    <s v="D024"/>
    <n v="8"/>
    <n v="9"/>
    <s v="شاحنة متوسطة"/>
    <s v="10:00-12:00"/>
    <d v="2026-02-08T08:26:00"/>
    <d v="2026-02-08T08:32:00"/>
    <d v="2026-02-08T09:19:00"/>
    <d v="2026-02-08T09:24:00"/>
    <d v="2026-02-08T09:52:00"/>
    <d v="2026-02-08T10:28:00"/>
    <n v="1"/>
    <x v="6"/>
    <s v="المدينة المنورة"/>
    <s v="الحرة الغربية"/>
    <s v="مستودع المدينة المنورة"/>
    <n v="2000"/>
    <x v="0"/>
    <x v="0"/>
    <x v="0"/>
    <x v="0"/>
    <x v="3"/>
    <x v="11"/>
  </r>
  <r>
    <s v="ORD-2026-100320"/>
    <s v="CUS75004"/>
    <d v="2026-02-02T00:00:00"/>
    <s v="D001"/>
    <n v="14"/>
    <n v="9.3000000000000007"/>
    <s v="سيارة سيدان"/>
    <s v="20:00-22:00"/>
    <d v="2026-02-02T06:44:00"/>
    <d v="2026-02-02T06:57:00"/>
    <d v="2026-02-02T07:37:00"/>
    <d v="2026-02-02T07:57:00"/>
    <d v="2026-02-02T08:18:00"/>
    <d v="2026-02-02T08:56:00"/>
    <n v="7"/>
    <x v="6"/>
    <s v="الرياض"/>
    <s v="الملقا"/>
    <s v="مستودع الرياض الرئيسي"/>
    <n v="5000"/>
    <x v="1"/>
    <x v="0"/>
    <x v="0"/>
    <x v="0"/>
    <x v="0"/>
    <x v="1"/>
  </r>
  <r>
    <s v="ORD-2026-100321"/>
    <s v="CUS79798"/>
    <d v="2026-02-22T00:00:00"/>
    <s v="D025"/>
    <n v="33"/>
    <n v="9.8000000000000007"/>
    <s v="دراجة نارية"/>
    <s v="10:00-12:00"/>
    <d v="2026-02-22T08:27:00"/>
    <d v="2026-02-22T08:55:00"/>
    <d v="2026-02-22T09:49:00"/>
    <d v="2026-02-22T09:55:00"/>
    <d v="2026-02-22T10:46:00"/>
    <d v="2026-02-22T11:07:00"/>
    <n v="7"/>
    <x v="1"/>
    <s v="مكة المكرمة"/>
    <s v="الشوقية"/>
    <s v="مستودع مكة المكرمة"/>
    <n v="2500"/>
    <x v="0"/>
    <x v="0"/>
    <x v="0"/>
    <x v="0"/>
    <x v="2"/>
    <x v="4"/>
  </r>
  <r>
    <s v="ORD-2026-100322"/>
    <s v="CUS45728"/>
    <d v="2026-01-30T00:00:00"/>
    <s v="D013"/>
    <n v="21"/>
    <n v="5.2"/>
    <s v="فان"/>
    <s v="08:00-10:00"/>
    <d v="2026-01-30T07:13:00"/>
    <d v="2026-01-30T07:43:00"/>
    <d v="2026-01-30T08:50:00"/>
    <d v="2026-01-30T09:07:00"/>
    <d v="2026-01-30T10:00:00"/>
    <d v="2026-01-30T10:25:00"/>
    <n v="5"/>
    <x v="1"/>
    <s v="مكة المكرمة"/>
    <s v="أجياد"/>
    <s v="مستودع مكة المكرمة"/>
    <n v="2500"/>
    <x v="0"/>
    <x v="1"/>
    <x v="2"/>
    <x v="4"/>
    <x v="2"/>
    <x v="10"/>
  </r>
  <r>
    <s v="ORD-2026-100323"/>
    <s v="CUS18906"/>
    <d v="2026-02-12T00:00:00"/>
    <s v="D009"/>
    <n v="21"/>
    <n v="9.1999999999999993"/>
    <s v="فان"/>
    <s v="14:00-16:00"/>
    <d v="2026-02-12T09:17:00"/>
    <d v="2026-02-12T09:43:00"/>
    <d v="2026-02-12T10:23:00"/>
    <d v="2026-02-12T10:34:00"/>
    <d v="2026-02-12T11:17:00"/>
    <d v="2026-02-12T11:43:00"/>
    <n v="6"/>
    <x v="1"/>
    <s v="الدمام"/>
    <s v="العزيزية"/>
    <s v="مستودع الدمام"/>
    <n v="3000"/>
    <x v="0"/>
    <x v="0"/>
    <x v="0"/>
    <x v="0"/>
    <x v="0"/>
    <x v="1"/>
  </r>
  <r>
    <s v="ORD-2026-100324"/>
    <s v="CUS21322"/>
    <d v="2026-01-02T00:00:00"/>
    <s v="D014"/>
    <n v="33"/>
    <n v="6.8"/>
    <s v="سيارة سيدان"/>
    <s v="12:00-14:00"/>
    <d v="2026-01-02T06:49:00"/>
    <d v="2026-01-02T06:55:00"/>
    <d v="2026-01-02T07:08:00"/>
    <d v="2026-01-02T07:15:00"/>
    <d v="2026-01-02T07:28:00"/>
    <d v="2026-01-02T08:11:00"/>
    <n v="6"/>
    <x v="1"/>
    <s v="الرياض"/>
    <s v="النزهة"/>
    <s v="مستودع الرياض الرئيسي"/>
    <n v="5000"/>
    <x v="0"/>
    <x v="0"/>
    <x v="0"/>
    <x v="0"/>
    <x v="1"/>
    <x v="8"/>
  </r>
  <r>
    <s v="ORD-2026-100325"/>
    <s v="CUS46344"/>
    <d v="2026-03-19T00:00:00"/>
    <s v="D005"/>
    <n v="16"/>
    <n v="11.2"/>
    <s v="دراجة نارية"/>
    <s v="12:00-14:00"/>
    <d v="2026-03-19T07:15:00"/>
    <d v="2026-03-19T07:34:00"/>
    <d v="2026-03-19T07:53:00"/>
    <d v="2026-03-19T08:12:00"/>
    <d v="2026-03-19T08:39:00"/>
    <d v="2026-03-19T09:11:00"/>
    <n v="6"/>
    <x v="1"/>
    <s v="مكة المكرمة"/>
    <s v="المسفلة"/>
    <s v="مستودع مكة المكرمة"/>
    <n v="2500"/>
    <x v="0"/>
    <x v="0"/>
    <x v="0"/>
    <x v="0"/>
    <x v="3"/>
    <x v="8"/>
  </r>
  <r>
    <s v="ORD-2026-100326"/>
    <s v="CUS94323"/>
    <d v="2026-01-08T00:00:00"/>
    <s v="D013"/>
    <n v="8"/>
    <n v="6.1"/>
    <s v="سيارة سيدان"/>
    <s v="10:00-12:00"/>
    <d v="2026-01-08T07:52:00"/>
    <d v="2026-01-08T07:59:00"/>
    <d v="2026-01-08T09:11:00"/>
    <d v="2026-01-08T09:22:00"/>
    <d v="2026-01-08T10:11:00"/>
    <d v="2026-01-08T10:41:00"/>
    <n v="2"/>
    <x v="1"/>
    <s v="مكة المكرمة"/>
    <s v="الزاهر"/>
    <s v="مستودع مكة المكرمة"/>
    <n v="2500"/>
    <x v="0"/>
    <x v="0"/>
    <x v="0"/>
    <x v="0"/>
    <x v="2"/>
    <x v="13"/>
  </r>
  <r>
    <s v="ORD-2026-100327"/>
    <s v="CUS53231"/>
    <d v="2026-01-14T00:00:00"/>
    <s v="D030"/>
    <n v="11"/>
    <n v="4.3"/>
    <s v="شاحنة صغيرة"/>
    <s v="16:00-18:00"/>
    <d v="2026-01-14T09:06:00"/>
    <d v="2026-01-14T09:19:00"/>
    <d v="2026-01-14T10:26:00"/>
    <d v="2026-01-14T10:31:00"/>
    <d v="2026-01-14T11:12:00"/>
    <d v="2026-01-14T11:26:00"/>
    <n v="6"/>
    <x v="1"/>
    <s v="مكة المكرمة"/>
    <s v="الزاهر"/>
    <s v="مستودع مكة المكرمة"/>
    <n v="2500"/>
    <x v="1"/>
    <x v="0"/>
    <x v="0"/>
    <x v="0"/>
    <x v="3"/>
    <x v="0"/>
  </r>
  <r>
    <s v="ORD-2026-100328"/>
    <s v="CUS94813"/>
    <d v="2026-02-20T00:00:00"/>
    <s v="D019"/>
    <n v="35"/>
    <n v="7.5"/>
    <s v="شاحنة صغيرة"/>
    <s v="16:00-18:00"/>
    <d v="2026-02-20T06:57:00"/>
    <d v="2026-02-20T07:02:00"/>
    <d v="2026-02-20T08:01:00"/>
    <d v="2026-02-20T08:21:00"/>
    <d v="2026-02-20T08:38:00"/>
    <d v="2026-02-20T09:19:00"/>
    <n v="5"/>
    <x v="1"/>
    <s v="الرياض"/>
    <s v="الربوة"/>
    <s v="مستودع الرياض الرئيسي"/>
    <n v="5000"/>
    <x v="0"/>
    <x v="0"/>
    <x v="0"/>
    <x v="0"/>
    <x v="2"/>
    <x v="10"/>
  </r>
  <r>
    <s v="ORD-2026-100329"/>
    <s v="CUS92941"/>
    <d v="2026-01-12T00:00:00"/>
    <s v="D012"/>
    <n v="10"/>
    <n v="10.7"/>
    <s v="سيارة سيدان"/>
    <s v="18:00-20:00"/>
    <d v="2026-01-12T06:51:00"/>
    <d v="2026-01-12T07:01:00"/>
    <d v="2026-01-12T08:21:00"/>
    <d v="2026-01-12T08:27:00"/>
    <d v="2026-01-12T09:01:00"/>
    <d v="2026-01-12T09:18:00"/>
    <n v="3"/>
    <x v="1"/>
    <s v="المدينة المنورة"/>
    <s v="الحرة الغربية"/>
    <s v="مستودع المدينة المنورة"/>
    <n v="2000"/>
    <x v="0"/>
    <x v="0"/>
    <x v="0"/>
    <x v="0"/>
    <x v="2"/>
    <x v="8"/>
  </r>
  <r>
    <s v="ORD-2026-100330"/>
    <s v="CUS15611"/>
    <d v="2026-02-26T00:00:00"/>
    <s v="D024"/>
    <n v="7"/>
    <n v="5.5"/>
    <s v="شاحنة متوسطة"/>
    <s v="10:00-12:00"/>
    <d v="2026-02-26T08:05:00"/>
    <d v="2026-02-26T08:22:00"/>
    <d v="2026-02-26T08:40:00"/>
    <d v="2026-02-26T08:54:00"/>
    <d v="2026-02-26T09:35:00"/>
    <d v="2026-02-26T10:14:00"/>
    <n v="7"/>
    <x v="1"/>
    <s v="جدة"/>
    <s v="الزهراء"/>
    <s v="مستودع جدة الرئيسي"/>
    <n v="4000"/>
    <x v="1"/>
    <x v="0"/>
    <x v="0"/>
    <x v="0"/>
    <x v="2"/>
    <x v="6"/>
  </r>
  <r>
    <s v="ORD-2026-100331"/>
    <s v="CUS11882"/>
    <d v="2026-02-21T00:00:00"/>
    <s v="D004"/>
    <n v="38"/>
    <n v="7.7"/>
    <s v="شاحنة متوسطة"/>
    <s v="10:00-12:00"/>
    <d v="2026-02-21T09:09:00"/>
    <d v="2026-02-21T09:32:00"/>
    <d v="2026-02-21T10:11:00"/>
    <d v="2026-02-21T10:18:00"/>
    <d v="2026-02-21T10:30:00"/>
    <d v="2026-02-21T10:44:00"/>
    <n v="4"/>
    <x v="1"/>
    <s v="جدة"/>
    <s v="الأندلس"/>
    <s v="مستودع جدة الرئيسي"/>
    <n v="4000"/>
    <x v="0"/>
    <x v="1"/>
    <x v="0"/>
    <x v="2"/>
    <x v="0"/>
    <x v="14"/>
  </r>
  <r>
    <s v="ORD-2026-100332"/>
    <s v="CUS98918"/>
    <d v="2026-01-23T00:00:00"/>
    <s v="D021"/>
    <n v="11"/>
    <n v="7.6"/>
    <s v="دراجة نارية"/>
    <s v="20:00-22:00"/>
    <d v="2026-01-23T08:31:00"/>
    <d v="2026-01-23T08:38:00"/>
    <d v="2026-01-23T09:01:00"/>
    <d v="2026-01-23T09:09:00"/>
    <d v="2026-01-23T09:50:00"/>
    <d v="2026-01-23T10:33:00"/>
    <n v="7"/>
    <x v="1"/>
    <s v="الرياض"/>
    <s v="الروضة"/>
    <s v="مستودع الرياض الرئيسي"/>
    <n v="5000"/>
    <x v="0"/>
    <x v="0"/>
    <x v="0"/>
    <x v="0"/>
    <x v="2"/>
    <x v="1"/>
  </r>
  <r>
    <s v="ORD-2026-100333"/>
    <s v="CUS86282"/>
    <d v="2026-02-21T00:00:00"/>
    <s v="D011"/>
    <n v="25"/>
    <n v="10.7"/>
    <s v="دراجة نارية"/>
    <s v="20:00-22:00"/>
    <d v="2026-02-21T06:11:00"/>
    <d v="2026-02-21T06:34:00"/>
    <d v="2026-02-21T07:06:00"/>
    <d v="2026-02-21T07:21:00"/>
    <d v="2026-02-21T07:35:00"/>
    <d v="2026-02-21T07:47:00"/>
    <n v="3"/>
    <x v="4"/>
    <s v="الرياض"/>
    <s v="الملقا"/>
    <s v="مستودع الرياض الرئيسي"/>
    <n v="5000"/>
    <x v="0"/>
    <x v="0"/>
    <x v="0"/>
    <x v="0"/>
    <x v="3"/>
    <x v="2"/>
  </r>
  <r>
    <s v="ORD-2026-100334"/>
    <s v="CUS28754"/>
    <d v="2026-01-06T00:00:00"/>
    <s v="D005"/>
    <n v="15"/>
    <n v="4.0999999999999996"/>
    <s v="فان"/>
    <s v="08:00-10:00"/>
    <d v="2026-01-06T06:01:00"/>
    <d v="2026-01-06T06:06:00"/>
    <d v="2026-01-06T06:38:00"/>
    <d v="2026-01-06T06:45:00"/>
    <d v="2026-01-06T07:40:00"/>
    <d v="2026-01-06T08:22:00"/>
    <n v="3"/>
    <x v="1"/>
    <s v="الرياض"/>
    <s v="السليمانية"/>
    <s v="مستودع الرياض الرئيسي"/>
    <n v="5000"/>
    <x v="0"/>
    <x v="0"/>
    <x v="0"/>
    <x v="0"/>
    <x v="0"/>
    <x v="2"/>
  </r>
  <r>
    <s v="ORD-2026-100335"/>
    <s v="CUS83100"/>
    <d v="2026-03-23T00:00:00"/>
    <s v="D009"/>
    <n v="31"/>
    <n v="5.9"/>
    <s v="دراجة نارية"/>
    <s v="16:00-18:00"/>
    <d v="2026-03-23T08:57:00"/>
    <d v="2026-03-23T09:03:00"/>
    <d v="2026-03-23T10:29:00"/>
    <d v="2026-03-23T10:39:00"/>
    <d v="2026-03-23T11:34:00"/>
    <d v="2026-03-23T12:10:00"/>
    <n v="5"/>
    <x v="1"/>
    <s v="المدينة المنورة"/>
    <s v="العنابس"/>
    <s v="مستودع المدينة المنورة"/>
    <n v="2000"/>
    <x v="0"/>
    <x v="0"/>
    <x v="0"/>
    <x v="0"/>
    <x v="2"/>
    <x v="7"/>
  </r>
  <r>
    <s v="ORD-2026-100336"/>
    <s v="CUS15651"/>
    <d v="2026-01-31T00:00:00"/>
    <s v="D007"/>
    <n v="28"/>
    <n v="10.9"/>
    <s v="شاحنة متوسطة"/>
    <s v="16:00-18:00"/>
    <d v="2026-01-31T06:56:00"/>
    <d v="2026-01-31T07:15:00"/>
    <d v="2026-01-31T08:45:00"/>
    <d v="2026-01-31T08:56:00"/>
    <d v="2026-01-31T09:23:00"/>
    <d v="2026-01-31T09:31:00"/>
    <n v="2"/>
    <x v="3"/>
    <s v="الرياض"/>
    <s v="النزهة"/>
    <s v="مستودع الرياض الرئيسي"/>
    <n v="5000"/>
    <x v="0"/>
    <x v="1"/>
    <x v="3"/>
    <x v="4"/>
    <x v="3"/>
    <x v="10"/>
  </r>
  <r>
    <s v="ORD-2026-100337"/>
    <s v="CUS68303"/>
    <d v="2026-01-07T00:00:00"/>
    <s v="D021"/>
    <n v="18"/>
    <n v="7.5"/>
    <s v="سيارة سيدان"/>
    <s v="16:00-18:00"/>
    <d v="2026-01-07T09:26:00"/>
    <d v="2026-01-07T09:55:00"/>
    <d v="2026-01-07T11:03:00"/>
    <d v="2026-01-07T11:09:00"/>
    <d v="2026-01-07T11:25:00"/>
    <d v="2026-01-07T11:33:00"/>
    <n v="5"/>
    <x v="6"/>
    <s v="الدمام"/>
    <s v="الشاطئ"/>
    <s v="مستودع الدمام"/>
    <n v="3000"/>
    <x v="0"/>
    <x v="0"/>
    <x v="0"/>
    <x v="0"/>
    <x v="0"/>
    <x v="0"/>
  </r>
  <r>
    <s v="ORD-2026-100338"/>
    <s v="CUS67129"/>
    <d v="2026-03-17T00:00:00"/>
    <s v="D019"/>
    <n v="17"/>
    <n v="10"/>
    <s v="سيارة سيدان"/>
    <s v="10:00-12:00"/>
    <d v="2026-03-17T09:19:00"/>
    <d v="2026-03-17T09:27:00"/>
    <d v="2026-03-17T10:18:00"/>
    <d v="2026-03-17T10:30:00"/>
    <d v="2026-03-17T10:46:00"/>
    <d v="2026-03-17T11:06:00"/>
    <n v="6"/>
    <x v="1"/>
    <s v="الدمام"/>
    <s v="الجلوية"/>
    <s v="مستودع الدمام"/>
    <n v="3000"/>
    <x v="0"/>
    <x v="1"/>
    <x v="0"/>
    <x v="4"/>
    <x v="2"/>
    <x v="7"/>
  </r>
  <r>
    <s v="ORD-2026-100339"/>
    <s v="CUS70106"/>
    <d v="2026-01-19T00:00:00"/>
    <s v="D007"/>
    <n v="16"/>
    <n v="7.1"/>
    <s v="دراجة نارية"/>
    <s v="14:00-16:00"/>
    <d v="2026-01-19T09:04:00"/>
    <d v="2026-01-19T09:15:00"/>
    <d v="2026-01-19T10:45:00"/>
    <d v="2026-01-19T11:01:00"/>
    <d v="2026-01-19T11:28:00"/>
    <d v="2026-01-19T11:45:00"/>
    <n v="3"/>
    <x v="2"/>
    <s v="المدينة المنورة"/>
    <s v="العنابس"/>
    <s v="مستودع المدينة المنورة"/>
    <n v="2000"/>
    <x v="0"/>
    <x v="0"/>
    <x v="0"/>
    <x v="0"/>
    <x v="1"/>
    <x v="4"/>
  </r>
  <r>
    <s v="ORD-2026-100340"/>
    <s v="CUS66113"/>
    <d v="2026-02-23T00:00:00"/>
    <s v="D006"/>
    <n v="23"/>
    <n v="8.8000000000000007"/>
    <s v="شاحنة متوسطة"/>
    <s v="10:00-12:00"/>
    <d v="2026-02-23T08:27:00"/>
    <d v="2026-02-23T08:49:00"/>
    <d v="2026-02-23T09:28:00"/>
    <d v="2026-02-23T09:35:00"/>
    <d v="2026-02-23T10:11:00"/>
    <d v="2026-02-23T10:49:00"/>
    <n v="4"/>
    <x v="1"/>
    <s v="الدمام"/>
    <s v="الفيصلية"/>
    <s v="مستودع الدمام"/>
    <n v="3000"/>
    <x v="0"/>
    <x v="0"/>
    <x v="0"/>
    <x v="0"/>
    <x v="2"/>
    <x v="7"/>
  </r>
  <r>
    <s v="ORD-2026-100341"/>
    <s v="CUS22844"/>
    <d v="2026-02-01T00:00:00"/>
    <s v="D008"/>
    <n v="19"/>
    <n v="11.1"/>
    <s v="شاحنة متوسطة"/>
    <s v="10:00-12:00"/>
    <d v="2026-02-01T09:53:00"/>
    <d v="2026-02-01T10:16:00"/>
    <d v="2026-02-01T10:26:00"/>
    <d v="2026-02-01T10:44:00"/>
    <d v="2026-02-01T10:56:00"/>
    <d v="2026-02-01T11:03:00"/>
    <n v="4"/>
    <x v="1"/>
    <s v="الدمام"/>
    <s v="الجلوية"/>
    <s v="مستودع الدمام"/>
    <n v="3000"/>
    <x v="0"/>
    <x v="0"/>
    <x v="0"/>
    <x v="0"/>
    <x v="2"/>
    <x v="3"/>
  </r>
  <r>
    <s v="ORD-2026-100342"/>
    <s v="CUS86501"/>
    <d v="2026-02-27T00:00:00"/>
    <s v="D016"/>
    <n v="40"/>
    <n v="10"/>
    <s v="فان"/>
    <s v="10:00-12:00"/>
    <d v="2026-02-27T06:33:00"/>
    <d v="2026-02-27T06:49:00"/>
    <d v="2026-02-27T07:36:00"/>
    <d v="2026-02-27T07:48:00"/>
    <d v="2026-02-27T08:39:00"/>
    <d v="2026-02-27T08:49:00"/>
    <n v="1"/>
    <x v="1"/>
    <s v="جدة"/>
    <s v="الحمراء"/>
    <s v="مستودع جدة الرئيسي"/>
    <n v="4000"/>
    <x v="0"/>
    <x v="0"/>
    <x v="0"/>
    <x v="0"/>
    <x v="0"/>
    <x v="0"/>
  </r>
  <r>
    <s v="ORD-2026-100343"/>
    <s v="CUS37151"/>
    <d v="2026-01-04T00:00:00"/>
    <s v="D015"/>
    <n v="30"/>
    <n v="5.5"/>
    <s v="سيارة سيدان"/>
    <s v="18:00-20:00"/>
    <d v="2026-01-04T07:58:00"/>
    <d v="2026-01-04T08:25:00"/>
    <d v="2026-01-04T08:35:00"/>
    <d v="2026-01-04T08:42:00"/>
    <d v="2026-01-04T09:16:00"/>
    <d v="2026-01-04T09:42:00"/>
    <n v="5"/>
    <x v="4"/>
    <s v="مكة المكرمة"/>
    <s v="الشوقية"/>
    <s v="مستودع مكة المكرمة"/>
    <n v="2500"/>
    <x v="0"/>
    <x v="0"/>
    <x v="0"/>
    <x v="0"/>
    <x v="2"/>
    <x v="13"/>
  </r>
  <r>
    <s v="ORD-2026-100344"/>
    <s v="CUS36832"/>
    <d v="2026-03-29T00:00:00"/>
    <s v="D003"/>
    <n v="8"/>
    <n v="8.1"/>
    <s v="سيارة سيدان"/>
    <s v="08:00-10:00"/>
    <d v="2026-03-29T06:28:00"/>
    <d v="2026-03-29T06:45:00"/>
    <d v="2026-03-29T07:41:00"/>
    <d v="2026-03-29T08:00:00"/>
    <d v="2026-03-29T08:49:00"/>
    <d v="2026-03-29T08:56:00"/>
    <n v="3"/>
    <x v="1"/>
    <s v="المدينة المنورة"/>
    <s v="الحرة الغربية"/>
    <s v="مستودع المدينة المنورة"/>
    <n v="2000"/>
    <x v="0"/>
    <x v="0"/>
    <x v="0"/>
    <x v="0"/>
    <x v="2"/>
    <x v="3"/>
  </r>
  <r>
    <s v="ORD-2026-100345"/>
    <s v="CUS75726"/>
    <d v="2026-01-18T00:00:00"/>
    <s v="D011"/>
    <n v="12"/>
    <n v="9.1999999999999993"/>
    <s v="شاحنة متوسطة"/>
    <s v="20:00-22:00"/>
    <d v="2026-01-18T08:59:00"/>
    <d v="2026-01-18T09:10:00"/>
    <d v="2026-01-18T09:48:00"/>
    <d v="2026-01-18T10:03:00"/>
    <d v="2026-01-18T10:35:00"/>
    <d v="2026-01-18T10:57:00"/>
    <n v="5"/>
    <x v="1"/>
    <s v="جدة"/>
    <s v="النزهة"/>
    <s v="مستودع جدة الرئيسي"/>
    <n v="4000"/>
    <x v="0"/>
    <x v="0"/>
    <x v="0"/>
    <x v="0"/>
    <x v="2"/>
    <x v="4"/>
  </r>
  <r>
    <s v="ORD-2026-100346"/>
    <s v="CUS29392"/>
    <d v="2026-03-09T00:00:00"/>
    <s v="D027"/>
    <n v="39"/>
    <n v="9.4"/>
    <s v="شاحنة متوسطة"/>
    <s v="12:00-14:00"/>
    <d v="2026-03-09T07:55:00"/>
    <d v="2026-03-09T08:19:00"/>
    <d v="2026-03-09T09:16:00"/>
    <d v="2026-03-09T09:23:00"/>
    <d v="2026-03-09T09:45:00"/>
    <d v="2026-03-09T10:19:00"/>
    <n v="1"/>
    <x v="3"/>
    <s v="الرياض"/>
    <s v="الربوة"/>
    <s v="مستودع الرياض الرئيسي"/>
    <n v="5000"/>
    <x v="0"/>
    <x v="1"/>
    <x v="0"/>
    <x v="2"/>
    <x v="3"/>
    <x v="0"/>
  </r>
  <r>
    <s v="ORD-2026-100347"/>
    <s v="CUS54024"/>
    <d v="2026-03-05T00:00:00"/>
    <s v="D005"/>
    <n v="6"/>
    <n v="6.3"/>
    <s v="شاحنة متوسطة"/>
    <s v="10:00-12:00"/>
    <d v="2026-03-05T08:01:00"/>
    <d v="2026-03-05T08:17:00"/>
    <d v="2026-03-05T09:20:00"/>
    <d v="2026-03-05T09:39:00"/>
    <d v="2026-03-05T10:36:00"/>
    <d v="2026-03-05T10:42:00"/>
    <n v="3"/>
    <x v="6"/>
    <s v="جدة"/>
    <s v="النزهة"/>
    <s v="مستودع جدة الرئيسي"/>
    <n v="4000"/>
    <x v="0"/>
    <x v="0"/>
    <x v="0"/>
    <x v="0"/>
    <x v="0"/>
    <x v="10"/>
  </r>
  <r>
    <s v="ORD-2026-100348"/>
    <s v="CUS16202"/>
    <d v="2026-02-22T00:00:00"/>
    <s v="D019"/>
    <n v="36"/>
    <n v="8.6999999999999993"/>
    <s v="شاحنة متوسطة"/>
    <s v="20:00-22:00"/>
    <d v="2026-02-22T08:20:00"/>
    <d v="2026-02-22T08:39:00"/>
    <d v="2026-02-22T09:47:00"/>
    <d v="2026-02-22T10:01:00"/>
    <d v="2026-02-22T10:47:00"/>
    <d v="2026-02-22T11:00:00"/>
    <n v="7"/>
    <x v="1"/>
    <s v="الدمام"/>
    <s v="الشاطئ"/>
    <s v="مستودع الدمام"/>
    <n v="3000"/>
    <x v="0"/>
    <x v="0"/>
    <x v="0"/>
    <x v="0"/>
    <x v="2"/>
    <x v="11"/>
  </r>
  <r>
    <s v="ORD-2026-100349"/>
    <s v="CUS34182"/>
    <d v="2026-01-19T00:00:00"/>
    <s v="D012"/>
    <n v="15"/>
    <n v="8.9"/>
    <s v="دراجة نارية"/>
    <s v="18:00-20:00"/>
    <d v="2026-01-19T08:17:00"/>
    <d v="2026-01-19T08:31:00"/>
    <d v="2026-01-19T09:04:00"/>
    <d v="2026-01-19T09:14:00"/>
    <d v="2026-01-19T10:09:00"/>
    <d v="2026-01-19T10:23:00"/>
    <n v="2"/>
    <x v="6"/>
    <s v="الدمام"/>
    <s v="الجلوية"/>
    <s v="مستودع الدمام"/>
    <n v="3000"/>
    <x v="1"/>
    <x v="0"/>
    <x v="0"/>
    <x v="0"/>
    <x v="2"/>
    <x v="6"/>
  </r>
  <r>
    <s v="ORD-2026-100350"/>
    <s v="CUS76507"/>
    <d v="2026-01-27T00:00:00"/>
    <s v="D018"/>
    <n v="27"/>
    <n v="5.2"/>
    <s v="فان"/>
    <s v="16:00-18:00"/>
    <d v="2026-01-27T06:41:00"/>
    <d v="2026-01-27T07:03:00"/>
    <d v="2026-01-27T07:51:00"/>
    <d v="2026-01-27T07:59:00"/>
    <d v="2026-01-27T08:10:00"/>
    <d v="2026-01-27T08:40:00"/>
    <n v="4"/>
    <x v="1"/>
    <s v="الرياض"/>
    <s v="الورود"/>
    <s v="مستودع الرياض الرئيسي"/>
    <n v="5000"/>
    <x v="1"/>
    <x v="1"/>
    <x v="1"/>
    <x v="3"/>
    <x v="0"/>
    <x v="9"/>
  </r>
  <r>
    <s v="ORD-2026-100351"/>
    <s v="CUS62642"/>
    <d v="2026-02-12T00:00:00"/>
    <s v="D021"/>
    <n v="23"/>
    <n v="11.8"/>
    <s v="شاحنة متوسطة"/>
    <s v="18:00-20:00"/>
    <d v="2026-02-12T06:37:00"/>
    <d v="2026-02-12T07:07:00"/>
    <d v="2026-02-12T08:29:00"/>
    <d v="2026-02-12T08:48:00"/>
    <d v="2026-02-12T09:19:00"/>
    <d v="2026-02-12T09:31:00"/>
    <n v="6"/>
    <x v="1"/>
    <s v="الدمام"/>
    <s v="الجلوية"/>
    <s v="مستودع الدمام"/>
    <n v="3000"/>
    <x v="0"/>
    <x v="0"/>
    <x v="0"/>
    <x v="0"/>
    <x v="1"/>
    <x v="7"/>
  </r>
  <r>
    <s v="ORD-2026-100352"/>
    <s v="CUS61697"/>
    <d v="2026-03-21T00:00:00"/>
    <s v="D027"/>
    <n v="27"/>
    <n v="4.7"/>
    <s v="شاحنة صغيرة"/>
    <s v="16:00-18:00"/>
    <d v="2026-03-21T08:44:00"/>
    <d v="2026-03-21T08:55:00"/>
    <d v="2026-03-21T10:19:00"/>
    <d v="2026-03-21T10:31:00"/>
    <d v="2026-03-21T11:31:00"/>
    <d v="2026-03-21T11:53:00"/>
    <n v="2"/>
    <x v="0"/>
    <s v="جدة"/>
    <s v="الشاطئ"/>
    <s v="مستودع جدة الرئيسي"/>
    <n v="4000"/>
    <x v="0"/>
    <x v="0"/>
    <x v="0"/>
    <x v="0"/>
    <x v="0"/>
    <x v="9"/>
  </r>
  <r>
    <s v="ORD-2026-100353"/>
    <s v="CUS64474"/>
    <d v="2026-01-25T00:00:00"/>
    <s v="D016"/>
    <n v="37"/>
    <n v="11.5"/>
    <s v="سيارة سيدان"/>
    <s v="14:00-16:00"/>
    <d v="2026-01-25T06:37:00"/>
    <d v="2026-01-25T07:04:00"/>
    <d v="2026-01-25T08:08:00"/>
    <d v="2026-01-25T08:24:00"/>
    <d v="2026-01-25T08:58:00"/>
    <d v="2026-01-25T09:26:00"/>
    <n v="1"/>
    <x v="1"/>
    <s v="الدمام"/>
    <s v="المزروعية"/>
    <s v="مستودع الدمام"/>
    <n v="3000"/>
    <x v="0"/>
    <x v="1"/>
    <x v="0"/>
    <x v="2"/>
    <x v="0"/>
    <x v="4"/>
  </r>
  <r>
    <s v="ORD-2026-100354"/>
    <s v="CUS10867"/>
    <d v="2026-02-26T00:00:00"/>
    <s v="D010"/>
    <n v="32"/>
    <n v="9.8000000000000007"/>
    <s v="فان"/>
    <s v="10:00-12:00"/>
    <d v="2026-02-26T09:33:00"/>
    <d v="2026-02-26T09:56:00"/>
    <d v="2026-02-26T11:22:00"/>
    <d v="2026-02-26T11:29:00"/>
    <d v="2026-02-26T11:48:00"/>
    <d v="2026-02-26T12:06:00"/>
    <n v="3"/>
    <x v="1"/>
    <s v="جدة"/>
    <s v="الأندلس"/>
    <s v="مستودع جدة الرئيسي"/>
    <n v="4000"/>
    <x v="0"/>
    <x v="1"/>
    <x v="0"/>
    <x v="6"/>
    <x v="0"/>
    <x v="8"/>
  </r>
  <r>
    <s v="ORD-2026-100355"/>
    <s v="CUS83306"/>
    <d v="2026-02-22T00:00:00"/>
    <s v="D021"/>
    <n v="16"/>
    <n v="8.4"/>
    <s v="شاحنة متوسطة"/>
    <s v="20:00-22:00"/>
    <d v="2026-02-22T09:54:00"/>
    <d v="2026-02-22T10:03:00"/>
    <d v="2026-02-22T10:38:00"/>
    <d v="2026-02-22T10:48:00"/>
    <d v="2026-02-22T11:22:00"/>
    <d v="2026-02-22T11:45:00"/>
    <n v="5"/>
    <x v="1"/>
    <s v="الدمام"/>
    <s v="الجلوية"/>
    <s v="مستودع الدمام"/>
    <n v="3000"/>
    <x v="0"/>
    <x v="0"/>
    <x v="0"/>
    <x v="0"/>
    <x v="2"/>
    <x v="4"/>
  </r>
  <r>
    <s v="ORD-2026-100356"/>
    <s v="CUS88497"/>
    <d v="2026-03-01T00:00:00"/>
    <s v="D008"/>
    <n v="14"/>
    <n v="6.1"/>
    <s v="فان"/>
    <s v="08:00-10:00"/>
    <d v="2026-03-01T08:47:00"/>
    <d v="2026-03-01T09:13:00"/>
    <d v="2026-03-01T09:59:00"/>
    <d v="2026-03-01T10:17:00"/>
    <d v="2026-03-01T10:38:00"/>
    <d v="2026-03-01T11:14:00"/>
    <n v="6"/>
    <x v="1"/>
    <s v="الرياض"/>
    <s v="العليا"/>
    <s v="مستودع الرياض الرئيسي"/>
    <n v="5000"/>
    <x v="0"/>
    <x v="0"/>
    <x v="0"/>
    <x v="0"/>
    <x v="2"/>
    <x v="8"/>
  </r>
  <r>
    <s v="ORD-2026-100357"/>
    <s v="CUS45739"/>
    <d v="2026-02-16T00:00:00"/>
    <s v="D019"/>
    <n v="32"/>
    <n v="10.9"/>
    <s v="فان"/>
    <s v="18:00-20:00"/>
    <d v="2026-02-16T09:29:00"/>
    <d v="2026-02-16T09:37:00"/>
    <d v="2026-02-16T10:34:00"/>
    <d v="2026-02-16T10:39:00"/>
    <d v="2026-02-16T11:05:00"/>
    <d v="2026-02-16T11:20:00"/>
    <n v="5"/>
    <x v="5"/>
    <s v="مكة المكرمة"/>
    <s v="المسفلة"/>
    <s v="مستودع مكة المكرمة"/>
    <n v="2500"/>
    <x v="0"/>
    <x v="0"/>
    <x v="0"/>
    <x v="0"/>
    <x v="2"/>
    <x v="7"/>
  </r>
  <r>
    <s v="ORD-2026-100358"/>
    <s v="CUS57516"/>
    <d v="2026-02-16T00:00:00"/>
    <s v="D014"/>
    <n v="23"/>
    <n v="6.3"/>
    <s v="شاحنة صغيرة"/>
    <s v="16:00-18:00"/>
    <d v="2026-02-16T06:49:00"/>
    <d v="2026-02-16T07:18:00"/>
    <d v="2026-02-16T08:48:00"/>
    <d v="2026-02-16T08:58:00"/>
    <d v="2026-02-16T09:56:00"/>
    <d v="2026-02-16T10:07:00"/>
    <n v="5"/>
    <x v="1"/>
    <s v="الدمام"/>
    <s v="العزيزية"/>
    <s v="مستودع الدمام"/>
    <n v="3000"/>
    <x v="0"/>
    <x v="1"/>
    <x v="2"/>
    <x v="5"/>
    <x v="0"/>
    <x v="0"/>
  </r>
  <r>
    <s v="ORD-2026-100359"/>
    <s v="CUS78898"/>
    <d v="2026-01-13T00:00:00"/>
    <s v="D018"/>
    <n v="14"/>
    <n v="4.0999999999999996"/>
    <s v="شاحنة متوسطة"/>
    <s v="12:00-14:00"/>
    <d v="2026-01-13T07:35:00"/>
    <d v="2026-01-13T08:04:00"/>
    <d v="2026-01-13T09:16:00"/>
    <d v="2026-01-13T09:34:00"/>
    <d v="2026-01-13T10:05:00"/>
    <d v="2026-01-13T10:20:00"/>
    <n v="1"/>
    <x v="0"/>
    <s v="المدينة المنورة"/>
    <s v="الحرة الغربية"/>
    <s v="مستودع المدينة المنورة"/>
    <n v="2000"/>
    <x v="0"/>
    <x v="0"/>
    <x v="0"/>
    <x v="0"/>
    <x v="0"/>
    <x v="13"/>
  </r>
  <r>
    <s v="ORD-2026-100360"/>
    <s v="CUS25544"/>
    <d v="2026-03-10T00:00:00"/>
    <s v="D023"/>
    <n v="31"/>
    <n v="7.7"/>
    <s v="شاحنة صغيرة"/>
    <s v="08:00-10:00"/>
    <d v="2026-03-10T09:29:00"/>
    <d v="2026-03-10T09:38:00"/>
    <d v="2026-03-10T09:50:00"/>
    <d v="2026-03-10T10:10:00"/>
    <d v="2026-03-10T10:42:00"/>
    <d v="2026-03-10T11:06:00"/>
    <n v="6"/>
    <x v="1"/>
    <s v="المدينة المنورة"/>
    <s v="العوالي"/>
    <s v="مستودع المدينة المنورة"/>
    <n v="2000"/>
    <x v="0"/>
    <x v="1"/>
    <x v="2"/>
    <x v="2"/>
    <x v="0"/>
    <x v="7"/>
  </r>
  <r>
    <s v="ORD-2026-100361"/>
    <s v="CUS17768"/>
    <d v="2026-01-29T00:00:00"/>
    <s v="D005"/>
    <n v="19"/>
    <n v="6.5"/>
    <s v="دراجة نارية"/>
    <s v="10:00-12:00"/>
    <d v="2026-01-29T06:20:00"/>
    <d v="2026-01-29T06:38:00"/>
    <d v="2026-01-29T07:02:00"/>
    <d v="2026-01-29T07:09:00"/>
    <d v="2026-01-29T07:20:00"/>
    <d v="2026-01-29T07:55:00"/>
    <n v="7"/>
    <x v="1"/>
    <s v="جدة"/>
    <s v="الصفا"/>
    <s v="مستودع جدة الرئيسي"/>
    <n v="4000"/>
    <x v="0"/>
    <x v="0"/>
    <x v="0"/>
    <x v="0"/>
    <x v="0"/>
    <x v="13"/>
  </r>
  <r>
    <s v="ORD-2026-100362"/>
    <s v="CUS85989"/>
    <d v="2026-03-02T00:00:00"/>
    <s v="D004"/>
    <n v="9"/>
    <n v="6.4"/>
    <s v="شاحنة صغيرة"/>
    <s v="20:00-22:00"/>
    <d v="2026-03-02T06:24:00"/>
    <d v="2026-03-02T06:54:00"/>
    <d v="2026-03-02T07:19:00"/>
    <d v="2026-03-02T07:30:00"/>
    <d v="2026-03-02T08:17:00"/>
    <d v="2026-03-02T08:34:00"/>
    <n v="2"/>
    <x v="1"/>
    <s v="الدمام"/>
    <s v="العزيزية"/>
    <s v="مستودع الدمام"/>
    <n v="3000"/>
    <x v="0"/>
    <x v="0"/>
    <x v="0"/>
    <x v="0"/>
    <x v="0"/>
    <x v="11"/>
  </r>
  <r>
    <s v="ORD-2026-100363"/>
    <s v="CUS22934"/>
    <d v="2026-02-14T00:00:00"/>
    <s v="D012"/>
    <n v="37"/>
    <n v="10.199999999999999"/>
    <s v="شاحنة متوسطة"/>
    <s v="10:00-12:00"/>
    <d v="2026-02-14T08:09:00"/>
    <d v="2026-02-14T08:32:00"/>
    <d v="2026-02-14T08:50:00"/>
    <d v="2026-02-14T08:58:00"/>
    <d v="2026-02-14T09:45:00"/>
    <d v="2026-02-14T09:50:00"/>
    <n v="5"/>
    <x v="3"/>
    <s v="جدة"/>
    <s v="الأندلس"/>
    <s v="مستودع جدة الرئيسي"/>
    <n v="4000"/>
    <x v="1"/>
    <x v="0"/>
    <x v="0"/>
    <x v="0"/>
    <x v="0"/>
    <x v="7"/>
  </r>
  <r>
    <s v="ORD-2026-100364"/>
    <s v="CUS24459"/>
    <d v="2026-01-28T00:00:00"/>
    <s v="D030"/>
    <n v="28"/>
    <n v="9.6"/>
    <s v="دراجة نارية"/>
    <s v="14:00-16:00"/>
    <d v="2026-01-28T08:52:00"/>
    <d v="2026-01-28T09:00:00"/>
    <d v="2026-01-28T09:33:00"/>
    <d v="2026-01-28T09:49:00"/>
    <d v="2026-01-28T10:23:00"/>
    <d v="2026-01-28T10:55:00"/>
    <n v="2"/>
    <x v="1"/>
    <s v="المدينة المنورة"/>
    <s v="العنابس"/>
    <s v="مستودع المدينة المنورة"/>
    <n v="2000"/>
    <x v="0"/>
    <x v="0"/>
    <x v="0"/>
    <x v="0"/>
    <x v="2"/>
    <x v="4"/>
  </r>
  <r>
    <s v="ORD-2026-100365"/>
    <s v="CUS66093"/>
    <d v="2026-03-08T00:00:00"/>
    <s v="D005"/>
    <n v="23"/>
    <n v="8.5"/>
    <s v="شاحنة صغيرة"/>
    <s v="08:00-10:00"/>
    <d v="2026-03-08T07:23:00"/>
    <d v="2026-03-08T07:43:00"/>
    <d v="2026-03-08T08:07:00"/>
    <d v="2026-03-08T08:24:00"/>
    <d v="2026-03-08T08:52:00"/>
    <d v="2026-03-08T09:26:00"/>
    <n v="5"/>
    <x v="1"/>
    <s v="مكة المكرمة"/>
    <s v="الزاهر"/>
    <s v="مستودع مكة المكرمة"/>
    <n v="2500"/>
    <x v="0"/>
    <x v="1"/>
    <x v="1"/>
    <x v="6"/>
    <x v="2"/>
    <x v="1"/>
  </r>
  <r>
    <s v="ORD-2026-100366"/>
    <s v="CUS18481"/>
    <d v="2026-01-25T00:00:00"/>
    <s v="D028"/>
    <n v="28"/>
    <n v="5.4"/>
    <s v="فان"/>
    <s v="18:00-20:00"/>
    <d v="2026-01-25T06:26:00"/>
    <d v="2026-01-25T06:43:00"/>
    <d v="2026-01-25T07:49:00"/>
    <d v="2026-01-25T07:56:00"/>
    <d v="2026-01-25T08:13:00"/>
    <d v="2026-01-25T08:27:00"/>
    <n v="4"/>
    <x v="1"/>
    <s v="الرياض"/>
    <s v="الربوة"/>
    <s v="مستودع الرياض الرئيسي"/>
    <n v="5000"/>
    <x v="0"/>
    <x v="0"/>
    <x v="0"/>
    <x v="0"/>
    <x v="0"/>
    <x v="14"/>
  </r>
  <r>
    <s v="ORD-2026-100367"/>
    <s v="CUS29316"/>
    <d v="2026-02-16T00:00:00"/>
    <s v="D007"/>
    <n v="30"/>
    <n v="5"/>
    <s v="فان"/>
    <s v="18:00-20:00"/>
    <d v="2026-02-16T08:07:00"/>
    <d v="2026-02-16T08:20:00"/>
    <d v="2026-02-16T09:44:00"/>
    <d v="2026-02-16T09:57:00"/>
    <d v="2026-02-16T10:55:00"/>
    <d v="2026-02-16T11:25:00"/>
    <n v="3"/>
    <x v="1"/>
    <s v="الدمام"/>
    <s v="الفيصلية"/>
    <s v="مستودع الدمام"/>
    <n v="3000"/>
    <x v="0"/>
    <x v="0"/>
    <x v="0"/>
    <x v="0"/>
    <x v="2"/>
    <x v="11"/>
  </r>
  <r>
    <s v="ORD-2026-100368"/>
    <s v="CUS20029"/>
    <d v="2026-02-28T00:00:00"/>
    <s v="D004"/>
    <n v="36"/>
    <n v="8"/>
    <s v="دراجة نارية"/>
    <s v="08:00-10:00"/>
    <d v="2026-02-28T06:25:00"/>
    <d v="2026-02-28T06:53:00"/>
    <d v="2026-02-28T07:09:00"/>
    <d v="2026-02-28T07:16:00"/>
    <d v="2026-02-28T07:57:00"/>
    <d v="2026-02-28T08:03:00"/>
    <n v="2"/>
    <x v="1"/>
    <s v="الرياض"/>
    <s v="الروضة"/>
    <s v="مستودع الرياض الرئيسي"/>
    <n v="5000"/>
    <x v="0"/>
    <x v="0"/>
    <x v="0"/>
    <x v="0"/>
    <x v="2"/>
    <x v="8"/>
  </r>
  <r>
    <s v="ORD-2026-100369"/>
    <s v="CUS68997"/>
    <d v="2026-03-26T00:00:00"/>
    <s v="D025"/>
    <n v="34"/>
    <n v="5.6"/>
    <s v="فان"/>
    <s v="14:00-16:00"/>
    <d v="2026-03-26T08:09:00"/>
    <d v="2026-03-26T08:22:00"/>
    <d v="2026-03-26T09:41:00"/>
    <d v="2026-03-26T09:56:00"/>
    <d v="2026-03-26T10:40:00"/>
    <d v="2026-03-26T11:19:00"/>
    <n v="1"/>
    <x v="1"/>
    <s v="المدينة المنورة"/>
    <s v="العنابس"/>
    <s v="مستودع المدينة المنورة"/>
    <n v="2000"/>
    <x v="0"/>
    <x v="0"/>
    <x v="0"/>
    <x v="0"/>
    <x v="0"/>
    <x v="12"/>
  </r>
  <r>
    <s v="ORD-2026-100370"/>
    <s v="CUS96517"/>
    <d v="2026-02-10T00:00:00"/>
    <s v="D028"/>
    <n v="34"/>
    <n v="4.3"/>
    <s v="دراجة نارية"/>
    <s v="16:00-18:00"/>
    <d v="2026-02-10T08:48:00"/>
    <d v="2026-02-10T09:17:00"/>
    <d v="2026-02-10T10:05:00"/>
    <d v="2026-02-10T10:15:00"/>
    <d v="2026-02-10T10:56:00"/>
    <d v="2026-02-10T11:28:00"/>
    <n v="2"/>
    <x v="1"/>
    <s v="مكة المكرمة"/>
    <s v="أجياد"/>
    <s v="مستودع مكة المكرمة"/>
    <n v="2500"/>
    <x v="0"/>
    <x v="0"/>
    <x v="0"/>
    <x v="0"/>
    <x v="2"/>
    <x v="4"/>
  </r>
  <r>
    <s v="ORD-2026-100371"/>
    <s v="CUS15913"/>
    <d v="2026-03-12T00:00:00"/>
    <s v="D022"/>
    <n v="35"/>
    <n v="8.5"/>
    <s v="دراجة نارية"/>
    <s v="16:00-18:00"/>
    <d v="2026-03-12T06:14:00"/>
    <d v="2026-03-12T06:31:00"/>
    <d v="2026-03-12T07:14:00"/>
    <d v="2026-03-12T07:34:00"/>
    <d v="2026-03-12T08:21:00"/>
    <d v="2026-03-12T08:50:00"/>
    <n v="5"/>
    <x v="1"/>
    <s v="المدينة المنورة"/>
    <s v="العنابس"/>
    <s v="مستودع المدينة المنورة"/>
    <n v="2000"/>
    <x v="0"/>
    <x v="0"/>
    <x v="0"/>
    <x v="0"/>
    <x v="1"/>
    <x v="13"/>
  </r>
  <r>
    <s v="ORD-2026-100372"/>
    <s v="CUS18585"/>
    <d v="2026-01-17T00:00:00"/>
    <s v="D027"/>
    <n v="6"/>
    <n v="10.1"/>
    <s v="سيارة سيدان"/>
    <s v="14:00-16:00"/>
    <d v="2026-01-17T06:24:00"/>
    <d v="2026-01-17T06:42:00"/>
    <d v="2026-01-17T07:36:00"/>
    <d v="2026-01-17T07:52:00"/>
    <d v="2026-01-17T08:28:00"/>
    <d v="2026-01-17T08:55:00"/>
    <n v="1"/>
    <x v="1"/>
    <s v="الدمام"/>
    <s v="الشاطئ"/>
    <s v="مستودع الدمام"/>
    <n v="3000"/>
    <x v="0"/>
    <x v="0"/>
    <x v="0"/>
    <x v="0"/>
    <x v="2"/>
    <x v="5"/>
  </r>
  <r>
    <s v="ORD-2026-100373"/>
    <s v="CUS85043"/>
    <d v="2026-02-09T00:00:00"/>
    <s v="D004"/>
    <n v="6"/>
    <n v="8.3000000000000007"/>
    <s v="شاحنة صغيرة"/>
    <s v="14:00-16:00"/>
    <d v="2026-02-09T08:48:00"/>
    <d v="2026-02-09T09:06:00"/>
    <d v="2026-02-09T10:28:00"/>
    <d v="2026-02-09T10:46:00"/>
    <d v="2026-02-09T11:13:00"/>
    <d v="2026-02-09T11:19:00"/>
    <n v="6"/>
    <x v="1"/>
    <s v="الدمام"/>
    <s v="الفيصلية"/>
    <s v="مستودع الدمام"/>
    <n v="3000"/>
    <x v="0"/>
    <x v="0"/>
    <x v="0"/>
    <x v="0"/>
    <x v="2"/>
    <x v="6"/>
  </r>
  <r>
    <s v="ORD-2026-100374"/>
    <s v="CUS80232"/>
    <d v="2026-01-13T00:00:00"/>
    <s v="D026"/>
    <n v="18"/>
    <n v="6.7"/>
    <s v="شاحنة متوسطة"/>
    <s v="20:00-22:00"/>
    <d v="2026-01-13T09:15:00"/>
    <d v="2026-01-13T09:41:00"/>
    <d v="2026-01-13T10:34:00"/>
    <d v="2026-01-13T10:44:00"/>
    <d v="2026-01-13T11:33:00"/>
    <d v="2026-01-13T11:57:00"/>
    <n v="3"/>
    <x v="1"/>
    <s v="مكة المكرمة"/>
    <s v="العزيزية"/>
    <s v="مستودع مكة المكرمة"/>
    <n v="2500"/>
    <x v="0"/>
    <x v="0"/>
    <x v="0"/>
    <x v="0"/>
    <x v="0"/>
    <x v="8"/>
  </r>
  <r>
    <s v="ORD-2026-100375"/>
    <s v="CUS49563"/>
    <d v="2026-01-28T00:00:00"/>
    <s v="D010"/>
    <n v="24"/>
    <n v="12"/>
    <s v="فان"/>
    <s v="20:00-22:00"/>
    <d v="2026-01-28T06:57:00"/>
    <d v="2026-01-28T07:21:00"/>
    <d v="2026-01-28T07:42:00"/>
    <d v="2026-01-28T07:50:00"/>
    <d v="2026-01-28T08:37:00"/>
    <d v="2026-01-28T09:03:00"/>
    <n v="3"/>
    <x v="0"/>
    <s v="الدمام"/>
    <s v="العزيزية"/>
    <s v="مستودع الدمام"/>
    <n v="3000"/>
    <x v="0"/>
    <x v="0"/>
    <x v="0"/>
    <x v="0"/>
    <x v="0"/>
    <x v="10"/>
  </r>
  <r>
    <s v="ORD-2026-100376"/>
    <s v="CUS37912"/>
    <d v="2026-03-06T00:00:00"/>
    <s v="D026"/>
    <n v="39"/>
    <n v="6.5"/>
    <s v="فان"/>
    <s v="14:00-16:00"/>
    <d v="2026-03-06T07:04:00"/>
    <d v="2026-03-06T07:28:00"/>
    <d v="2026-03-06T08:43:00"/>
    <d v="2026-03-06T09:02:00"/>
    <d v="2026-03-06T09:54:00"/>
    <d v="2026-03-06T10:34:00"/>
    <n v="2"/>
    <x v="1"/>
    <s v="الدمام"/>
    <s v="الجلوية"/>
    <s v="مستودع الدمام"/>
    <n v="3000"/>
    <x v="0"/>
    <x v="0"/>
    <x v="0"/>
    <x v="0"/>
    <x v="3"/>
    <x v="4"/>
  </r>
  <r>
    <s v="ORD-2026-100377"/>
    <s v="CUS18444"/>
    <d v="2026-03-26T00:00:00"/>
    <s v="D027"/>
    <n v="39"/>
    <n v="10.5"/>
    <s v="فان"/>
    <s v="16:00-18:00"/>
    <d v="2026-03-26T09:06:00"/>
    <d v="2026-03-26T09:31:00"/>
    <d v="2026-03-26T09:48:00"/>
    <d v="2026-03-26T09:59:00"/>
    <d v="2026-03-26T10:32:00"/>
    <d v="2026-03-26T11:06:00"/>
    <n v="2"/>
    <x v="2"/>
    <s v="مكة المكرمة"/>
    <s v="الزاهر"/>
    <s v="مستودع مكة المكرمة"/>
    <n v="2500"/>
    <x v="0"/>
    <x v="0"/>
    <x v="0"/>
    <x v="0"/>
    <x v="2"/>
    <x v="6"/>
  </r>
  <r>
    <s v="ORD-2026-100378"/>
    <s v="CUS14850"/>
    <d v="2026-03-23T00:00:00"/>
    <s v="D007"/>
    <n v="23"/>
    <n v="9.1999999999999993"/>
    <s v="سيارة سيدان"/>
    <s v="18:00-20:00"/>
    <d v="2026-03-23T08:33:00"/>
    <d v="2026-03-23T08:45:00"/>
    <d v="2026-03-23T09:46:00"/>
    <d v="2026-03-23T09:58:00"/>
    <d v="2026-03-23T10:15:00"/>
    <d v="2026-03-23T10:29:00"/>
    <n v="2"/>
    <x v="5"/>
    <s v="مكة المكرمة"/>
    <s v="الزاهر"/>
    <s v="مستودع مكة المكرمة"/>
    <n v="2500"/>
    <x v="0"/>
    <x v="0"/>
    <x v="0"/>
    <x v="0"/>
    <x v="2"/>
    <x v="10"/>
  </r>
  <r>
    <s v="ORD-2026-100379"/>
    <s v="CUS63347"/>
    <d v="2026-01-26T00:00:00"/>
    <s v="D006"/>
    <n v="6"/>
    <n v="6.1"/>
    <s v="سيارة سيدان"/>
    <s v="18:00-20:00"/>
    <d v="2026-01-26T08:20:00"/>
    <d v="2026-01-26T08:30:00"/>
    <d v="2026-01-26T08:45:00"/>
    <d v="2026-01-26T09:05:00"/>
    <d v="2026-01-26T10:05:00"/>
    <d v="2026-01-26T10:11:00"/>
    <n v="1"/>
    <x v="1"/>
    <s v="الدمام"/>
    <s v="الفيصلية"/>
    <s v="مستودع الدمام"/>
    <n v="3000"/>
    <x v="0"/>
    <x v="0"/>
    <x v="0"/>
    <x v="0"/>
    <x v="0"/>
    <x v="5"/>
  </r>
  <r>
    <s v="ORD-2026-100380"/>
    <s v="CUS61111"/>
    <d v="2026-02-16T00:00:00"/>
    <s v="D022"/>
    <n v="13"/>
    <n v="5.9"/>
    <s v="شاحنة متوسطة"/>
    <s v="18:00-20:00"/>
    <d v="2026-02-16T08:08:00"/>
    <d v="2026-02-16T08:16:00"/>
    <d v="2026-02-16T09:32:00"/>
    <d v="2026-02-16T09:45:00"/>
    <d v="2026-02-16T10:26:00"/>
    <d v="2026-02-16T10:36:00"/>
    <n v="2"/>
    <x v="1"/>
    <s v="الرياض"/>
    <s v="السليمانية"/>
    <s v="مستودع الرياض الرئيسي"/>
    <n v="5000"/>
    <x v="0"/>
    <x v="0"/>
    <x v="0"/>
    <x v="0"/>
    <x v="0"/>
    <x v="0"/>
  </r>
  <r>
    <s v="ORD-2026-100381"/>
    <s v="CUS46403"/>
    <d v="2026-01-31T00:00:00"/>
    <s v="D030"/>
    <n v="14"/>
    <n v="4.9000000000000004"/>
    <s v="دراجة نارية"/>
    <s v="12:00-14:00"/>
    <d v="2026-01-31T07:52:00"/>
    <d v="2026-01-31T08:10:00"/>
    <d v="2026-01-31T08:52:00"/>
    <d v="2026-01-31T08:58:00"/>
    <d v="2026-01-31T09:39:00"/>
    <d v="2026-01-31T10:18:00"/>
    <n v="3"/>
    <x v="1"/>
    <s v="مكة المكرمة"/>
    <s v="الشوقية"/>
    <s v="مستودع مكة المكرمة"/>
    <n v="2500"/>
    <x v="0"/>
    <x v="0"/>
    <x v="0"/>
    <x v="0"/>
    <x v="2"/>
    <x v="2"/>
  </r>
  <r>
    <s v="ORD-2026-100382"/>
    <s v="CUS80111"/>
    <d v="2026-01-19T00:00:00"/>
    <s v="D012"/>
    <n v="24"/>
    <n v="4.2"/>
    <s v="شاحنة متوسطة"/>
    <s v="08:00-10:00"/>
    <d v="2026-01-19T09:35:00"/>
    <d v="2026-01-19T10:03:00"/>
    <d v="2026-01-19T10:19:00"/>
    <d v="2026-01-19T10:31:00"/>
    <d v="2026-01-19T10:57:00"/>
    <d v="2026-01-19T11:37:00"/>
    <n v="4"/>
    <x v="1"/>
    <s v="مكة المكرمة"/>
    <s v="الزاهر"/>
    <s v="مستودع مكة المكرمة"/>
    <n v="2500"/>
    <x v="1"/>
    <x v="0"/>
    <x v="0"/>
    <x v="0"/>
    <x v="0"/>
    <x v="8"/>
  </r>
  <r>
    <s v="ORD-2026-100383"/>
    <s v="CUS45918"/>
    <d v="2026-01-31T00:00:00"/>
    <s v="D028"/>
    <n v="5"/>
    <n v="11.3"/>
    <s v="فان"/>
    <s v="12:00-14:00"/>
    <d v="2026-01-31T07:17:00"/>
    <d v="2026-01-31T07:24:00"/>
    <d v="2026-01-31T08:04:00"/>
    <d v="2026-01-31T08:18:00"/>
    <d v="2026-01-31T08:41:00"/>
    <d v="2026-01-31T08:56:00"/>
    <n v="4"/>
    <x v="1"/>
    <s v="مكة المكرمة"/>
    <s v="أجياد"/>
    <s v="مستودع مكة المكرمة"/>
    <n v="2500"/>
    <x v="0"/>
    <x v="0"/>
    <x v="0"/>
    <x v="0"/>
    <x v="2"/>
    <x v="7"/>
  </r>
  <r>
    <s v="ORD-2026-100384"/>
    <s v="CUS13584"/>
    <d v="2026-01-11T00:00:00"/>
    <s v="D027"/>
    <n v="31"/>
    <n v="11.4"/>
    <s v="سيارة سيدان"/>
    <s v="18:00-20:00"/>
    <d v="2026-01-11T07:48:00"/>
    <d v="2026-01-11T07:56:00"/>
    <d v="2026-01-11T08:26:00"/>
    <d v="2026-01-11T08:39:00"/>
    <d v="2026-01-11T09:21:00"/>
    <d v="2026-01-11T09:30:00"/>
    <n v="3"/>
    <x v="1"/>
    <s v="مكة المكرمة"/>
    <s v="أجياد"/>
    <s v="مستودع مكة المكرمة"/>
    <n v="2500"/>
    <x v="0"/>
    <x v="0"/>
    <x v="0"/>
    <x v="0"/>
    <x v="2"/>
    <x v="0"/>
  </r>
  <r>
    <s v="ORD-2026-100385"/>
    <s v="CUS51864"/>
    <d v="2026-01-07T00:00:00"/>
    <s v="D021"/>
    <n v="33"/>
    <n v="10.3"/>
    <s v="دراجة نارية"/>
    <s v="08:00-10:00"/>
    <d v="2026-01-07T07:42:00"/>
    <d v="2026-01-07T07:53:00"/>
    <d v="2026-01-07T09:23:00"/>
    <d v="2026-01-07T09:37:00"/>
    <d v="2026-01-07T10:07:00"/>
    <d v="2026-01-07T10:48:00"/>
    <n v="1"/>
    <x v="3"/>
    <s v="جدة"/>
    <s v="الصفا"/>
    <s v="مستودع جدة الرئيسي"/>
    <n v="4000"/>
    <x v="0"/>
    <x v="1"/>
    <x v="1"/>
    <x v="6"/>
    <x v="0"/>
    <x v="3"/>
  </r>
  <r>
    <s v="ORD-2026-100386"/>
    <s v="CUS83207"/>
    <d v="2026-02-27T00:00:00"/>
    <s v="D016"/>
    <n v="16"/>
    <n v="9.5"/>
    <s v="سيارة سيدان"/>
    <s v="20:00-22:00"/>
    <d v="2026-02-27T07:12:00"/>
    <d v="2026-02-27T07:23:00"/>
    <d v="2026-02-27T07:43:00"/>
    <d v="2026-02-27T08:01:00"/>
    <d v="2026-02-27T08:34:00"/>
    <d v="2026-02-27T08:50:00"/>
    <n v="4"/>
    <x v="1"/>
    <s v="جدة"/>
    <s v="الروضة"/>
    <s v="مستودع جدة الرئيسي"/>
    <n v="4000"/>
    <x v="1"/>
    <x v="1"/>
    <x v="1"/>
    <x v="3"/>
    <x v="0"/>
    <x v="5"/>
  </r>
  <r>
    <s v="ORD-2026-100387"/>
    <s v="CUS69468"/>
    <d v="2026-03-24T00:00:00"/>
    <s v="D020"/>
    <n v="34"/>
    <n v="5.6"/>
    <s v="دراجة نارية"/>
    <s v="08:00-10:00"/>
    <d v="2026-03-24T07:42:00"/>
    <d v="2026-03-24T08:06:00"/>
    <d v="2026-03-24T09:10:00"/>
    <d v="2026-03-24T09:23:00"/>
    <d v="2026-03-24T09:42:00"/>
    <d v="2026-03-24T09:52:00"/>
    <n v="3"/>
    <x v="0"/>
    <s v="جدة"/>
    <s v="الحمراء"/>
    <s v="مستودع جدة الرئيسي"/>
    <n v="4000"/>
    <x v="0"/>
    <x v="0"/>
    <x v="0"/>
    <x v="0"/>
    <x v="2"/>
    <x v="5"/>
  </r>
  <r>
    <s v="ORD-2026-100388"/>
    <s v="CUS29129"/>
    <d v="2026-03-28T00:00:00"/>
    <s v="D016"/>
    <n v="18"/>
    <n v="5.5"/>
    <s v="سيارة سيدان"/>
    <s v="12:00-14:00"/>
    <d v="2026-03-28T09:11:00"/>
    <d v="2026-03-28T09:31:00"/>
    <d v="2026-03-28T10:29:00"/>
    <d v="2026-03-28T10:38:00"/>
    <d v="2026-03-28T11:15:00"/>
    <d v="2026-03-28T11:33:00"/>
    <n v="5"/>
    <x v="5"/>
    <s v="الرياض"/>
    <s v="حطين"/>
    <s v="مستودع الرياض الرئيسي"/>
    <n v="5000"/>
    <x v="0"/>
    <x v="0"/>
    <x v="0"/>
    <x v="0"/>
    <x v="3"/>
    <x v="3"/>
  </r>
  <r>
    <s v="ORD-2026-100389"/>
    <s v="CUS65481"/>
    <d v="2026-01-04T00:00:00"/>
    <s v="D010"/>
    <n v="33"/>
    <n v="11.3"/>
    <s v="سيارة سيدان"/>
    <s v="16:00-18:00"/>
    <d v="2026-01-04T08:55:00"/>
    <d v="2026-01-04T09:20:00"/>
    <d v="2026-01-04T10:28:00"/>
    <d v="2026-01-04T10:35:00"/>
    <d v="2026-01-04T10:45:00"/>
    <d v="2026-01-04T11:20:00"/>
    <n v="2"/>
    <x v="1"/>
    <s v="الدمام"/>
    <s v="الفيصلية"/>
    <s v="مستودع الدمام"/>
    <n v="3000"/>
    <x v="1"/>
    <x v="0"/>
    <x v="0"/>
    <x v="0"/>
    <x v="3"/>
    <x v="12"/>
  </r>
  <r>
    <s v="ORD-2026-100390"/>
    <s v="CUS83342"/>
    <d v="2026-03-18T00:00:00"/>
    <s v="D009"/>
    <n v="40"/>
    <n v="4.5"/>
    <s v="سيارة سيدان"/>
    <s v="10:00-12:00"/>
    <d v="2026-03-18T08:00:00"/>
    <d v="2026-03-18T08:16:00"/>
    <d v="2026-03-18T09:43:00"/>
    <d v="2026-03-18T09:49:00"/>
    <d v="2026-03-18T09:59:00"/>
    <d v="2026-03-18T10:20:00"/>
    <n v="5"/>
    <x v="1"/>
    <s v="الرياض"/>
    <s v="النزهة"/>
    <s v="مستودع الرياض الرئيسي"/>
    <n v="5000"/>
    <x v="0"/>
    <x v="0"/>
    <x v="0"/>
    <x v="0"/>
    <x v="2"/>
    <x v="5"/>
  </r>
  <r>
    <s v="ORD-2026-100391"/>
    <s v="CUS57263"/>
    <d v="2026-01-06T00:00:00"/>
    <s v="D019"/>
    <n v="15"/>
    <n v="8"/>
    <s v="سيارة سيدان"/>
    <s v="14:00-16:00"/>
    <d v="2026-01-06T06:33:00"/>
    <d v="2026-01-06T06:40:00"/>
    <d v="2026-01-06T07:30:00"/>
    <d v="2026-01-06T07:48:00"/>
    <d v="2026-01-06T08:07:00"/>
    <d v="2026-01-06T08:28:00"/>
    <n v="1"/>
    <x v="1"/>
    <s v="جدة"/>
    <s v="الروضة"/>
    <s v="مستودع جدة الرئيسي"/>
    <n v="4000"/>
    <x v="1"/>
    <x v="0"/>
    <x v="0"/>
    <x v="0"/>
    <x v="0"/>
    <x v="11"/>
  </r>
  <r>
    <s v="ORD-2026-100392"/>
    <s v="CUS44108"/>
    <d v="2026-02-25T00:00:00"/>
    <s v="D010"/>
    <n v="21"/>
    <n v="8.1"/>
    <s v="فان"/>
    <s v="10:00-12:00"/>
    <d v="2026-02-25T07:20:00"/>
    <d v="2026-02-25T07:48:00"/>
    <d v="2026-02-25T09:00:00"/>
    <d v="2026-02-25T09:09:00"/>
    <d v="2026-02-25T09:54:00"/>
    <d v="2026-02-25T10:39:00"/>
    <n v="7"/>
    <x v="1"/>
    <s v="الدمام"/>
    <s v="المزروعية"/>
    <s v="مستودع الدمام"/>
    <n v="3000"/>
    <x v="0"/>
    <x v="0"/>
    <x v="0"/>
    <x v="0"/>
    <x v="3"/>
    <x v="4"/>
  </r>
  <r>
    <s v="ORD-2026-100393"/>
    <s v="CUS47239"/>
    <d v="2026-01-21T00:00:00"/>
    <s v="D023"/>
    <n v="12"/>
    <n v="12"/>
    <s v="فان"/>
    <s v="08:00-10:00"/>
    <d v="2026-01-21T07:53:00"/>
    <d v="2026-01-21T08:09:00"/>
    <d v="2026-01-21T09:30:00"/>
    <d v="2026-01-21T09:50:00"/>
    <d v="2026-01-21T10:29:00"/>
    <d v="2026-01-21T11:05:00"/>
    <n v="1"/>
    <x v="1"/>
    <s v="مكة المكرمة"/>
    <s v="أجياد"/>
    <s v="مستودع مكة المكرمة"/>
    <n v="2500"/>
    <x v="0"/>
    <x v="0"/>
    <x v="0"/>
    <x v="0"/>
    <x v="1"/>
    <x v="1"/>
  </r>
  <r>
    <s v="ORD-2026-100394"/>
    <s v="CUS53077"/>
    <d v="2026-01-24T00:00:00"/>
    <s v="D027"/>
    <n v="37"/>
    <n v="10.6"/>
    <s v="شاحنة متوسطة"/>
    <s v="18:00-20:00"/>
    <d v="2026-01-24T08:29:00"/>
    <d v="2026-01-24T08:40:00"/>
    <d v="2026-01-24T10:04:00"/>
    <d v="2026-01-24T10:09:00"/>
    <d v="2026-01-24T10:52:00"/>
    <d v="2026-01-24T11:33:00"/>
    <n v="2"/>
    <x v="1"/>
    <s v="جدة"/>
    <s v="الصفا"/>
    <s v="مستودع جدة الرئيسي"/>
    <n v="4000"/>
    <x v="0"/>
    <x v="0"/>
    <x v="0"/>
    <x v="0"/>
    <x v="0"/>
    <x v="5"/>
  </r>
  <r>
    <s v="ORD-2026-100395"/>
    <s v="CUS96005"/>
    <d v="2026-01-04T00:00:00"/>
    <s v="D010"/>
    <n v="28"/>
    <n v="8.6999999999999993"/>
    <s v="شاحنة صغيرة"/>
    <s v="20:00-22:00"/>
    <d v="2026-01-04T07:22:00"/>
    <d v="2026-01-04T07:31:00"/>
    <d v="2026-01-04T07:44:00"/>
    <d v="2026-01-04T07:51:00"/>
    <d v="2026-01-04T08:30:00"/>
    <d v="2026-01-04T09:05:00"/>
    <n v="4"/>
    <x v="1"/>
    <s v="الرياض"/>
    <s v="السليمانية"/>
    <s v="مستودع الرياض الرئيسي"/>
    <n v="5000"/>
    <x v="0"/>
    <x v="0"/>
    <x v="0"/>
    <x v="0"/>
    <x v="2"/>
    <x v="7"/>
  </r>
  <r>
    <s v="ORD-2026-100396"/>
    <s v="CUS62286"/>
    <d v="2026-03-21T00:00:00"/>
    <s v="D015"/>
    <n v="13"/>
    <n v="5.7"/>
    <s v="شاحنة صغيرة"/>
    <s v="20:00-22:00"/>
    <d v="2026-03-21T08:44:00"/>
    <d v="2026-03-21T08:58:00"/>
    <d v="2026-03-21T09:49:00"/>
    <d v="2026-03-21T09:55:00"/>
    <d v="2026-03-21T10:52:00"/>
    <d v="2026-03-21T11:01:00"/>
    <n v="5"/>
    <x v="1"/>
    <s v="الدمام"/>
    <s v="المزروعية"/>
    <s v="مستودع الدمام"/>
    <n v="3000"/>
    <x v="0"/>
    <x v="0"/>
    <x v="0"/>
    <x v="0"/>
    <x v="3"/>
    <x v="3"/>
  </r>
  <r>
    <s v="ORD-2026-100397"/>
    <s v="CUS57060"/>
    <d v="2026-01-12T00:00:00"/>
    <s v="D001"/>
    <n v="29"/>
    <n v="10.199999999999999"/>
    <s v="سيارة سيدان"/>
    <s v="18:00-20:00"/>
    <d v="2026-01-12T09:12:00"/>
    <d v="2026-01-12T09:37:00"/>
    <d v="2026-01-12T10:06:00"/>
    <d v="2026-01-12T10:14:00"/>
    <d v="2026-01-12T10:43:00"/>
    <d v="2026-01-12T11:19:00"/>
    <n v="7"/>
    <x v="1"/>
    <s v="جدة"/>
    <s v="الزهراء"/>
    <s v="مستودع جدة الرئيسي"/>
    <n v="4000"/>
    <x v="0"/>
    <x v="0"/>
    <x v="0"/>
    <x v="0"/>
    <x v="0"/>
    <x v="14"/>
  </r>
  <r>
    <s v="ORD-2026-100398"/>
    <s v="CUS54793"/>
    <d v="2026-03-27T00:00:00"/>
    <s v="D004"/>
    <n v="17"/>
    <n v="7.9"/>
    <s v="فان"/>
    <s v="14:00-16:00"/>
    <d v="2026-03-27T07:08:00"/>
    <d v="2026-03-27T07:31:00"/>
    <d v="2026-03-27T08:57:00"/>
    <d v="2026-03-27T09:15:00"/>
    <d v="2026-03-27T09:30:00"/>
    <d v="2026-03-27T10:02:00"/>
    <n v="7"/>
    <x v="1"/>
    <s v="الدمام"/>
    <s v="المزروعية"/>
    <s v="مستودع الدمام"/>
    <n v="3000"/>
    <x v="0"/>
    <x v="0"/>
    <x v="0"/>
    <x v="0"/>
    <x v="1"/>
    <x v="9"/>
  </r>
  <r>
    <s v="ORD-2026-100399"/>
    <s v="CUS49375"/>
    <d v="2026-03-01T00:00:00"/>
    <s v="D022"/>
    <n v="14"/>
    <n v="11.4"/>
    <s v="شاحنة متوسطة"/>
    <s v="18:00-20:00"/>
    <d v="2026-03-01T08:45:00"/>
    <d v="2026-03-01T09:06:00"/>
    <d v="2026-03-01T09:26:00"/>
    <d v="2026-03-01T09:40:00"/>
    <d v="2026-03-01T10:19:00"/>
    <d v="2026-03-01T10:51:00"/>
    <n v="1"/>
    <x v="1"/>
    <s v="جدة"/>
    <s v="الصفا"/>
    <s v="مستودع جدة الرئيسي"/>
    <n v="4000"/>
    <x v="0"/>
    <x v="0"/>
    <x v="0"/>
    <x v="0"/>
    <x v="1"/>
    <x v="5"/>
  </r>
  <r>
    <s v="ORD-2026-100400"/>
    <s v="CUS75987"/>
    <d v="2026-02-01T00:00:00"/>
    <s v="D017"/>
    <n v="8"/>
    <n v="8.4"/>
    <s v="شاحنة صغيرة"/>
    <s v="16:00-18:00"/>
    <d v="2026-02-01T06:27:00"/>
    <d v="2026-02-01T06:48:00"/>
    <d v="2026-02-01T07:52:00"/>
    <d v="2026-02-01T08:10:00"/>
    <d v="2026-02-01T08:26:00"/>
    <d v="2026-02-01T09:00:00"/>
    <n v="6"/>
    <x v="1"/>
    <s v="مكة المكرمة"/>
    <s v="الزاهر"/>
    <s v="مستودع مكة المكرمة"/>
    <n v="2500"/>
    <x v="0"/>
    <x v="0"/>
    <x v="0"/>
    <x v="0"/>
    <x v="2"/>
    <x v="3"/>
  </r>
  <r>
    <s v="ORD-2026-100401"/>
    <s v="CUS34535"/>
    <d v="2026-01-03T00:00:00"/>
    <s v="D004"/>
    <n v="16"/>
    <n v="10.7"/>
    <s v="شاحنة صغيرة"/>
    <s v="08:00-10:00"/>
    <d v="2026-01-03T07:46:00"/>
    <d v="2026-01-03T08:13:00"/>
    <d v="2026-01-03T09:01:00"/>
    <d v="2026-01-03T09:16:00"/>
    <d v="2026-01-03T10:03:00"/>
    <d v="2026-01-03T10:37:00"/>
    <n v="7"/>
    <x v="1"/>
    <s v="مكة المكرمة"/>
    <s v="الشوقية"/>
    <s v="مستودع مكة المكرمة"/>
    <n v="2500"/>
    <x v="0"/>
    <x v="0"/>
    <x v="0"/>
    <x v="0"/>
    <x v="0"/>
    <x v="1"/>
  </r>
  <r>
    <s v="ORD-2026-100402"/>
    <s v="CUS57281"/>
    <d v="2026-01-28T00:00:00"/>
    <s v="D006"/>
    <n v="11"/>
    <n v="7.5"/>
    <s v="شاحنة صغيرة"/>
    <s v="08:00-10:00"/>
    <d v="2026-01-28T07:41:00"/>
    <d v="2026-01-28T07:49:00"/>
    <d v="2026-01-28T08:00:00"/>
    <d v="2026-01-28T08:10:00"/>
    <d v="2026-01-28T09:01:00"/>
    <d v="2026-01-28T09:36:00"/>
    <n v="4"/>
    <x v="1"/>
    <s v="الرياض"/>
    <s v="الروضة"/>
    <s v="مستودع الرياض الرئيسي"/>
    <n v="5000"/>
    <x v="0"/>
    <x v="1"/>
    <x v="3"/>
    <x v="5"/>
    <x v="2"/>
    <x v="13"/>
  </r>
  <r>
    <s v="ORD-2026-100403"/>
    <s v="CUS21284"/>
    <d v="2026-03-30T00:00:00"/>
    <s v="D022"/>
    <n v="10"/>
    <n v="5"/>
    <s v="شاحنة صغيرة"/>
    <s v="10:00-12:00"/>
    <d v="2026-03-30T06:28:00"/>
    <d v="2026-03-30T06:33:00"/>
    <d v="2026-03-30T07:07:00"/>
    <d v="2026-03-30T07:12:00"/>
    <d v="2026-03-30T07:35:00"/>
    <d v="2026-03-30T08:10:00"/>
    <n v="6"/>
    <x v="3"/>
    <s v="مكة المكرمة"/>
    <s v="الزاهر"/>
    <s v="مستودع مكة المكرمة"/>
    <n v="2500"/>
    <x v="0"/>
    <x v="0"/>
    <x v="0"/>
    <x v="0"/>
    <x v="0"/>
    <x v="2"/>
  </r>
  <r>
    <s v="ORD-2026-100404"/>
    <s v="CUS16674"/>
    <d v="2026-02-08T00:00:00"/>
    <s v="D025"/>
    <n v="35"/>
    <n v="7.4"/>
    <s v="شاحنة صغيرة"/>
    <s v="10:00-12:00"/>
    <d v="2026-02-08T09:51:00"/>
    <d v="2026-02-08T10:00:00"/>
    <d v="2026-02-08T11:06:00"/>
    <d v="2026-02-08T11:26:00"/>
    <d v="2026-02-08T12:06:00"/>
    <d v="2026-02-08T12:12:00"/>
    <n v="7"/>
    <x v="1"/>
    <s v="مكة المكرمة"/>
    <s v="الشوقية"/>
    <s v="مستودع مكة المكرمة"/>
    <n v="2500"/>
    <x v="0"/>
    <x v="0"/>
    <x v="0"/>
    <x v="0"/>
    <x v="0"/>
    <x v="12"/>
  </r>
  <r>
    <s v="ORD-2026-100405"/>
    <s v="CUS12492"/>
    <d v="2026-02-12T00:00:00"/>
    <s v="D001"/>
    <n v="31"/>
    <n v="10.8"/>
    <s v="شاحنة متوسطة"/>
    <s v="16:00-18:00"/>
    <d v="2026-02-12T09:07:00"/>
    <d v="2026-02-12T09:29:00"/>
    <d v="2026-02-12T10:16:00"/>
    <d v="2026-02-12T10:22:00"/>
    <d v="2026-02-12T11:03:00"/>
    <d v="2026-02-12T11:33:00"/>
    <n v="4"/>
    <x v="1"/>
    <s v="الرياض"/>
    <s v="السليمانية"/>
    <s v="مستودع الرياض الرئيسي"/>
    <n v="5000"/>
    <x v="0"/>
    <x v="1"/>
    <x v="3"/>
    <x v="2"/>
    <x v="0"/>
    <x v="9"/>
  </r>
  <r>
    <s v="ORD-2026-100406"/>
    <s v="CUS87025"/>
    <d v="2026-02-24T00:00:00"/>
    <s v="D019"/>
    <n v="9"/>
    <n v="6.1"/>
    <s v="فان"/>
    <s v="14:00-16:00"/>
    <d v="2026-02-24T06:29:00"/>
    <d v="2026-02-24T06:49:00"/>
    <d v="2026-02-24T08:18:00"/>
    <d v="2026-02-24T08:34:00"/>
    <d v="2026-02-24T09:12:00"/>
    <d v="2026-02-24T09:44:00"/>
    <n v="1"/>
    <x v="2"/>
    <s v="الدمام"/>
    <s v="المزروعية"/>
    <s v="مستودع الدمام"/>
    <n v="3000"/>
    <x v="0"/>
    <x v="0"/>
    <x v="0"/>
    <x v="0"/>
    <x v="3"/>
    <x v="2"/>
  </r>
  <r>
    <s v="ORD-2026-100407"/>
    <s v="CUS30488"/>
    <d v="2026-03-29T00:00:00"/>
    <s v="D011"/>
    <n v="13"/>
    <n v="11.1"/>
    <s v="فان"/>
    <s v="14:00-16:00"/>
    <d v="2026-03-29T09:33:00"/>
    <d v="2026-03-29T09:59:00"/>
    <d v="2026-03-29T10:55:00"/>
    <d v="2026-03-29T11:15:00"/>
    <d v="2026-03-29T11:35:00"/>
    <d v="2026-03-29T12:19:00"/>
    <n v="2"/>
    <x v="1"/>
    <s v="المدينة المنورة"/>
    <s v="العنابس"/>
    <s v="مستودع المدينة المنورة"/>
    <n v="2000"/>
    <x v="0"/>
    <x v="0"/>
    <x v="0"/>
    <x v="0"/>
    <x v="1"/>
    <x v="2"/>
  </r>
  <r>
    <s v="ORD-2026-100408"/>
    <s v="CUS24938"/>
    <d v="2026-03-19T00:00:00"/>
    <s v="D016"/>
    <n v="36"/>
    <n v="6.4"/>
    <s v="دراجة نارية"/>
    <s v="16:00-18:00"/>
    <d v="2026-03-19T06:12:00"/>
    <d v="2026-03-19T06:17:00"/>
    <d v="2026-03-19T07:12:00"/>
    <d v="2026-03-19T07:25:00"/>
    <d v="2026-03-19T07:57:00"/>
    <d v="2026-03-19T08:12:00"/>
    <n v="2"/>
    <x v="1"/>
    <s v="الرياض"/>
    <s v="السليمانية"/>
    <s v="مستودع الرياض الرئيسي"/>
    <n v="5000"/>
    <x v="0"/>
    <x v="0"/>
    <x v="0"/>
    <x v="0"/>
    <x v="1"/>
    <x v="12"/>
  </r>
  <r>
    <s v="ORD-2026-100409"/>
    <s v="CUS24539"/>
    <d v="2026-03-21T00:00:00"/>
    <s v="D008"/>
    <n v="36"/>
    <n v="6.1"/>
    <s v="سيارة سيدان"/>
    <s v="20:00-22:00"/>
    <d v="2026-03-21T07:30:00"/>
    <d v="2026-03-21T07:59:00"/>
    <d v="2026-03-21T08:14:00"/>
    <d v="2026-03-21T08:27:00"/>
    <d v="2026-03-21T08:46:00"/>
    <d v="2026-03-21T09:23:00"/>
    <n v="5"/>
    <x v="1"/>
    <s v="الرياض"/>
    <s v="حطين"/>
    <s v="مستودع الرياض الرئيسي"/>
    <n v="5000"/>
    <x v="0"/>
    <x v="1"/>
    <x v="3"/>
    <x v="4"/>
    <x v="0"/>
    <x v="3"/>
  </r>
  <r>
    <s v="ORD-2026-100410"/>
    <s v="CUS57675"/>
    <d v="2026-01-14T00:00:00"/>
    <s v="D026"/>
    <n v="40"/>
    <n v="4.3"/>
    <s v="شاحنة صغيرة"/>
    <s v="10:00-12:00"/>
    <d v="2026-01-14T08:41:00"/>
    <d v="2026-01-14T08:49:00"/>
    <d v="2026-01-14T09:25:00"/>
    <d v="2026-01-14T09:41:00"/>
    <d v="2026-01-14T10:01:00"/>
    <d v="2026-01-14T10:24:00"/>
    <n v="6"/>
    <x v="1"/>
    <s v="المدينة المنورة"/>
    <s v="العوالي"/>
    <s v="مستودع المدينة المنورة"/>
    <n v="2000"/>
    <x v="0"/>
    <x v="0"/>
    <x v="0"/>
    <x v="0"/>
    <x v="1"/>
    <x v="10"/>
  </r>
  <r>
    <s v="ORD-2026-100411"/>
    <s v="CUS42171"/>
    <d v="2026-02-12T00:00:00"/>
    <s v="D027"/>
    <n v="17"/>
    <n v="7.5"/>
    <s v="فان"/>
    <s v="20:00-22:00"/>
    <d v="2026-02-12T09:16:00"/>
    <d v="2026-02-12T09:21:00"/>
    <d v="2026-02-12T10:02:00"/>
    <d v="2026-02-12T10:22:00"/>
    <d v="2026-02-12T10:53:00"/>
    <d v="2026-02-12T11:16:00"/>
    <n v="5"/>
    <x v="5"/>
    <s v="جدة"/>
    <s v="الحمراء"/>
    <s v="مستودع جدة الرئيسي"/>
    <n v="4000"/>
    <x v="0"/>
    <x v="0"/>
    <x v="0"/>
    <x v="0"/>
    <x v="2"/>
    <x v="10"/>
  </r>
  <r>
    <s v="ORD-2026-100412"/>
    <s v="CUS51262"/>
    <d v="2026-01-20T00:00:00"/>
    <s v="D025"/>
    <n v="19"/>
    <n v="5.0999999999999996"/>
    <s v="فان"/>
    <s v="14:00-16:00"/>
    <d v="2026-01-20T09:55:00"/>
    <d v="2026-01-20T10:13:00"/>
    <d v="2026-01-20T11:21:00"/>
    <d v="2026-01-20T11:37:00"/>
    <d v="2026-01-20T11:48:00"/>
    <d v="2026-01-20T12:21:00"/>
    <n v="2"/>
    <x v="1"/>
    <s v="المدينة المنورة"/>
    <s v="العنابس"/>
    <s v="مستودع المدينة المنورة"/>
    <n v="2000"/>
    <x v="0"/>
    <x v="0"/>
    <x v="0"/>
    <x v="0"/>
    <x v="1"/>
    <x v="6"/>
  </r>
  <r>
    <s v="ORD-2026-100413"/>
    <s v="CUS51116"/>
    <d v="2026-02-21T00:00:00"/>
    <s v="D025"/>
    <n v="8"/>
    <n v="7.1"/>
    <s v="شاحنة صغيرة"/>
    <s v="18:00-20:00"/>
    <d v="2026-02-21T09:56:00"/>
    <d v="2026-02-21T10:21:00"/>
    <d v="2026-02-21T10:50:00"/>
    <d v="2026-02-21T10:56:00"/>
    <d v="2026-02-21T11:46:00"/>
    <d v="2026-02-21T12:24:00"/>
    <n v="3"/>
    <x v="1"/>
    <s v="جدة"/>
    <s v="الشاطئ"/>
    <s v="مستودع جدة الرئيسي"/>
    <n v="4000"/>
    <x v="0"/>
    <x v="0"/>
    <x v="0"/>
    <x v="0"/>
    <x v="0"/>
    <x v="0"/>
  </r>
  <r>
    <s v="ORD-2026-100414"/>
    <s v="CUS80442"/>
    <d v="2026-02-14T00:00:00"/>
    <s v="D001"/>
    <n v="14"/>
    <n v="9.6"/>
    <s v="فان"/>
    <s v="18:00-20:00"/>
    <d v="2026-02-14T06:52:00"/>
    <d v="2026-02-14T07:14:00"/>
    <d v="2026-02-14T08:43:00"/>
    <d v="2026-02-14T09:02:00"/>
    <d v="2026-02-14T09:56:00"/>
    <d v="2026-02-14T10:23:00"/>
    <n v="7"/>
    <x v="1"/>
    <s v="الدمام"/>
    <s v="المزروعية"/>
    <s v="مستودع الدمام"/>
    <n v="3000"/>
    <x v="0"/>
    <x v="0"/>
    <x v="0"/>
    <x v="0"/>
    <x v="2"/>
    <x v="7"/>
  </r>
  <r>
    <s v="ORD-2026-100415"/>
    <s v="CUS65410"/>
    <d v="2026-02-12T00:00:00"/>
    <s v="D013"/>
    <n v="39"/>
    <n v="6.3"/>
    <s v="شاحنة صغيرة"/>
    <s v="16:00-18:00"/>
    <d v="2026-02-12T08:21:00"/>
    <d v="2026-02-12T08:35:00"/>
    <d v="2026-02-12T09:51:00"/>
    <d v="2026-02-12T10:06:00"/>
    <d v="2026-02-12T11:04:00"/>
    <d v="2026-02-12T11:49:00"/>
    <n v="2"/>
    <x v="0"/>
    <s v="جدة"/>
    <s v="النزهة"/>
    <s v="مستودع جدة الرئيسي"/>
    <n v="4000"/>
    <x v="0"/>
    <x v="0"/>
    <x v="0"/>
    <x v="0"/>
    <x v="0"/>
    <x v="0"/>
  </r>
  <r>
    <s v="ORD-2026-100416"/>
    <s v="CUS92279"/>
    <d v="2026-03-06T00:00:00"/>
    <s v="D004"/>
    <n v="21"/>
    <n v="9"/>
    <s v="سيارة سيدان"/>
    <s v="08:00-10:00"/>
    <d v="2026-03-06T06:12:00"/>
    <d v="2026-03-06T06:41:00"/>
    <d v="2026-03-06T07:06:00"/>
    <d v="2026-03-06T07:25:00"/>
    <d v="2026-03-06T07:54:00"/>
    <d v="2026-03-06T08:35:00"/>
    <n v="6"/>
    <x v="5"/>
    <s v="الرياض"/>
    <s v="الورود"/>
    <s v="مستودع الرياض الرئيسي"/>
    <n v="5000"/>
    <x v="1"/>
    <x v="0"/>
    <x v="0"/>
    <x v="0"/>
    <x v="0"/>
    <x v="13"/>
  </r>
  <r>
    <s v="ORD-2026-100417"/>
    <s v="CUS65796"/>
    <d v="2026-03-27T00:00:00"/>
    <s v="D018"/>
    <n v="27"/>
    <n v="6.4"/>
    <s v="شاحنة متوسطة"/>
    <s v="18:00-20:00"/>
    <d v="2026-03-27T06:35:00"/>
    <d v="2026-03-27T07:02:00"/>
    <d v="2026-03-27T08:00:00"/>
    <d v="2026-03-27T08:12:00"/>
    <d v="2026-03-27T08:28:00"/>
    <d v="2026-03-27T08:53:00"/>
    <n v="5"/>
    <x v="1"/>
    <s v="المدينة المنورة"/>
    <s v="قباء"/>
    <s v="مستودع المدينة المنورة"/>
    <n v="2000"/>
    <x v="0"/>
    <x v="0"/>
    <x v="0"/>
    <x v="0"/>
    <x v="1"/>
    <x v="0"/>
  </r>
  <r>
    <s v="ORD-2026-100418"/>
    <s v="CUS74165"/>
    <d v="2026-02-22T00:00:00"/>
    <s v="D003"/>
    <n v="32"/>
    <n v="11.1"/>
    <s v="فان"/>
    <s v="10:00-12:00"/>
    <d v="2026-02-22T07:54:00"/>
    <d v="2026-02-22T08:01:00"/>
    <d v="2026-02-22T08:58:00"/>
    <d v="2026-02-22T09:15:00"/>
    <d v="2026-02-22T10:02:00"/>
    <d v="2026-02-22T10:42:00"/>
    <n v="5"/>
    <x v="1"/>
    <s v="الرياض"/>
    <s v="العليا"/>
    <s v="مستودع الرياض الرئيسي"/>
    <n v="5000"/>
    <x v="0"/>
    <x v="0"/>
    <x v="0"/>
    <x v="0"/>
    <x v="0"/>
    <x v="4"/>
  </r>
  <r>
    <s v="ORD-2026-100419"/>
    <s v="CUS24461"/>
    <d v="2026-02-23T00:00:00"/>
    <s v="D027"/>
    <n v="37"/>
    <n v="5"/>
    <s v="فان"/>
    <s v="10:00-12:00"/>
    <d v="2026-02-23T09:00:00"/>
    <d v="2026-02-23T09:21:00"/>
    <d v="2026-02-23T10:38:00"/>
    <d v="2026-02-23T10:46:00"/>
    <d v="2026-02-23T11:40:00"/>
    <d v="2026-02-23T11:58:00"/>
    <n v="4"/>
    <x v="1"/>
    <s v="جدة"/>
    <s v="الزهراء"/>
    <s v="مستودع جدة الرئيسي"/>
    <n v="4000"/>
    <x v="0"/>
    <x v="1"/>
    <x v="2"/>
    <x v="3"/>
    <x v="2"/>
    <x v="12"/>
  </r>
  <r>
    <s v="ORD-2026-100420"/>
    <s v="CUS74067"/>
    <d v="2026-01-16T00:00:00"/>
    <s v="D012"/>
    <n v="7"/>
    <n v="8.1999999999999993"/>
    <s v="شاحنة صغيرة"/>
    <s v="12:00-14:00"/>
    <d v="2026-01-16T07:18:00"/>
    <d v="2026-01-16T07:34:00"/>
    <d v="2026-01-16T08:22:00"/>
    <d v="2026-01-16T08:36:00"/>
    <d v="2026-01-16T09:17:00"/>
    <d v="2026-01-16T09:23:00"/>
    <n v="7"/>
    <x v="0"/>
    <s v="المدينة المنورة"/>
    <s v="الحرة الغربية"/>
    <s v="مستودع المدينة المنورة"/>
    <n v="2000"/>
    <x v="0"/>
    <x v="1"/>
    <x v="2"/>
    <x v="5"/>
    <x v="3"/>
    <x v="1"/>
  </r>
  <r>
    <s v="ORD-2026-100421"/>
    <s v="CUS70415"/>
    <d v="2026-01-01T00:00:00"/>
    <s v="D004"/>
    <n v="9"/>
    <n v="11"/>
    <s v="فان"/>
    <s v="14:00-16:00"/>
    <d v="2026-01-01T08:26:00"/>
    <d v="2026-01-01T08:40:00"/>
    <d v="2026-01-01T10:02:00"/>
    <d v="2026-01-01T10:21:00"/>
    <d v="2026-01-01T10:52:00"/>
    <d v="2026-01-01T11:21:00"/>
    <n v="4"/>
    <x v="1"/>
    <s v="المدينة المنورة"/>
    <s v="الحرة الغربية"/>
    <s v="مستودع المدينة المنورة"/>
    <n v="2000"/>
    <x v="0"/>
    <x v="0"/>
    <x v="0"/>
    <x v="0"/>
    <x v="3"/>
    <x v="10"/>
  </r>
  <r>
    <s v="ORD-2026-100422"/>
    <s v="CUS31707"/>
    <d v="2026-02-27T00:00:00"/>
    <s v="D022"/>
    <n v="25"/>
    <n v="4.7"/>
    <s v="شاحنة متوسطة"/>
    <s v="18:00-20:00"/>
    <d v="2026-02-27T08:39:00"/>
    <d v="2026-02-27T08:57:00"/>
    <d v="2026-02-27T09:56:00"/>
    <d v="2026-02-27T10:08:00"/>
    <d v="2026-02-27T10:43:00"/>
    <d v="2026-02-27T11:09:00"/>
    <n v="5"/>
    <x v="2"/>
    <s v="مكة المكرمة"/>
    <s v="الشوقية"/>
    <s v="مستودع مكة المكرمة"/>
    <n v="2500"/>
    <x v="0"/>
    <x v="0"/>
    <x v="0"/>
    <x v="0"/>
    <x v="0"/>
    <x v="1"/>
  </r>
  <r>
    <s v="ORD-2026-100423"/>
    <s v="CUS33559"/>
    <d v="2026-01-04T00:00:00"/>
    <s v="D019"/>
    <n v="12"/>
    <n v="9.1999999999999993"/>
    <s v="شاحنة صغيرة"/>
    <s v="10:00-12:00"/>
    <d v="2026-01-04T08:38:00"/>
    <d v="2026-01-04T09:00:00"/>
    <d v="2026-01-04T10:23:00"/>
    <d v="2026-01-04T10:29:00"/>
    <d v="2026-01-04T11:15:00"/>
    <d v="2026-01-04T11:53:00"/>
    <n v="2"/>
    <x v="1"/>
    <s v="الدمام"/>
    <s v="المزروعية"/>
    <s v="مستودع الدمام"/>
    <n v="3000"/>
    <x v="0"/>
    <x v="0"/>
    <x v="0"/>
    <x v="0"/>
    <x v="0"/>
    <x v="9"/>
  </r>
  <r>
    <s v="ORD-2026-100424"/>
    <s v="CUS23019"/>
    <d v="2026-01-03T00:00:00"/>
    <s v="D009"/>
    <n v="33"/>
    <n v="4.7"/>
    <s v="شاحنة متوسطة"/>
    <s v="16:00-18:00"/>
    <d v="2026-01-03T07:22:00"/>
    <d v="2026-01-03T07:39:00"/>
    <d v="2026-01-03T09:04:00"/>
    <d v="2026-01-03T09:10:00"/>
    <d v="2026-01-03T09:51:00"/>
    <d v="2026-01-03T09:57:00"/>
    <n v="3"/>
    <x v="1"/>
    <s v="جدة"/>
    <s v="الزهراء"/>
    <s v="مستودع جدة الرئيسي"/>
    <n v="4000"/>
    <x v="0"/>
    <x v="1"/>
    <x v="2"/>
    <x v="4"/>
    <x v="3"/>
    <x v="8"/>
  </r>
  <r>
    <s v="ORD-2026-100425"/>
    <s v="CUS52495"/>
    <d v="2026-03-11T00:00:00"/>
    <s v="D006"/>
    <n v="16"/>
    <n v="6"/>
    <s v="شاحنة صغيرة"/>
    <s v="10:00-12:00"/>
    <d v="2026-03-11T07:18:00"/>
    <d v="2026-03-11T07:36:00"/>
    <d v="2026-03-11T08:07:00"/>
    <d v="2026-03-11T08:13:00"/>
    <d v="2026-03-11T09:02:00"/>
    <d v="2026-03-11T09:27:00"/>
    <n v="2"/>
    <x v="6"/>
    <s v="الدمام"/>
    <s v="الفيصلية"/>
    <s v="مستودع الدمام"/>
    <n v="3000"/>
    <x v="0"/>
    <x v="0"/>
    <x v="0"/>
    <x v="0"/>
    <x v="3"/>
    <x v="5"/>
  </r>
  <r>
    <s v="ORD-2026-100426"/>
    <s v="CUS40636"/>
    <d v="2026-02-03T00:00:00"/>
    <s v="D013"/>
    <n v="17"/>
    <n v="5.9"/>
    <s v="شاحنة متوسطة"/>
    <s v="16:00-18:00"/>
    <d v="2026-02-03T07:00:00"/>
    <d v="2026-02-03T07:20:00"/>
    <d v="2026-02-03T08:35:00"/>
    <d v="2026-02-03T08:52:00"/>
    <d v="2026-02-03T09:09:00"/>
    <d v="2026-02-03T09:31:00"/>
    <n v="1"/>
    <x v="1"/>
    <s v="الرياض"/>
    <s v="العليا"/>
    <s v="مستودع الرياض الرئيسي"/>
    <n v="5000"/>
    <x v="0"/>
    <x v="0"/>
    <x v="0"/>
    <x v="0"/>
    <x v="4"/>
    <x v="10"/>
  </r>
  <r>
    <s v="ORD-2026-100427"/>
    <s v="CUS80455"/>
    <d v="2026-01-03T00:00:00"/>
    <s v="D009"/>
    <n v="20"/>
    <n v="10.1"/>
    <s v="دراجة نارية"/>
    <s v="12:00-14:00"/>
    <d v="2026-01-03T08:25:00"/>
    <d v="2026-01-03T08:43:00"/>
    <d v="2026-01-03T09:50:00"/>
    <d v="2026-01-03T09:57:00"/>
    <d v="2026-01-03T10:47:00"/>
    <d v="2026-01-03T11:24:00"/>
    <n v="2"/>
    <x v="1"/>
    <s v="المدينة المنورة"/>
    <s v="العوالي"/>
    <s v="مستودع المدينة المنورة"/>
    <n v="2000"/>
    <x v="0"/>
    <x v="0"/>
    <x v="0"/>
    <x v="0"/>
    <x v="3"/>
    <x v="2"/>
  </r>
  <r>
    <s v="ORD-2026-100428"/>
    <s v="CUS37886"/>
    <d v="2026-02-24T00:00:00"/>
    <s v="D030"/>
    <n v="7"/>
    <n v="4"/>
    <s v="فان"/>
    <s v="20:00-22:00"/>
    <d v="2026-02-24T08:38:00"/>
    <d v="2026-02-24T08:52:00"/>
    <d v="2026-02-24T09:23:00"/>
    <d v="2026-02-24T09:28:00"/>
    <d v="2026-02-24T09:41:00"/>
    <d v="2026-02-24T10:16:00"/>
    <n v="3"/>
    <x v="1"/>
    <s v="المدينة المنورة"/>
    <s v="العنابس"/>
    <s v="مستودع المدينة المنورة"/>
    <n v="2000"/>
    <x v="0"/>
    <x v="0"/>
    <x v="0"/>
    <x v="0"/>
    <x v="2"/>
    <x v="10"/>
  </r>
  <r>
    <s v="ORD-2026-100429"/>
    <s v="CUS51720"/>
    <d v="2026-03-16T00:00:00"/>
    <s v="D027"/>
    <n v="7"/>
    <n v="5.3"/>
    <s v="شاحنة متوسطة"/>
    <s v="16:00-18:00"/>
    <d v="2026-03-16T06:17:00"/>
    <d v="2026-03-16T06:31:00"/>
    <d v="2026-03-16T06:52:00"/>
    <d v="2026-03-16T07:09:00"/>
    <d v="2026-03-16T08:03:00"/>
    <d v="2026-03-16T08:15:00"/>
    <n v="7"/>
    <x v="0"/>
    <s v="المدينة المنورة"/>
    <s v="الحرة الغربية"/>
    <s v="مستودع المدينة المنورة"/>
    <n v="2000"/>
    <x v="1"/>
    <x v="1"/>
    <x v="1"/>
    <x v="6"/>
    <x v="2"/>
    <x v="3"/>
  </r>
  <r>
    <s v="ORD-2026-100430"/>
    <s v="CUS64154"/>
    <d v="2026-03-29T00:00:00"/>
    <s v="D011"/>
    <n v="22"/>
    <n v="6"/>
    <s v="سيارة سيدان"/>
    <s v="12:00-14:00"/>
    <d v="2026-03-29T06:53:00"/>
    <d v="2026-03-29T07:12:00"/>
    <d v="2026-03-29T08:38:00"/>
    <d v="2026-03-29T08:53:00"/>
    <d v="2026-03-29T09:04:00"/>
    <d v="2026-03-29T09:17:00"/>
    <n v="6"/>
    <x v="1"/>
    <s v="الدمام"/>
    <s v="الجلوية"/>
    <s v="مستودع الدمام"/>
    <n v="3000"/>
    <x v="0"/>
    <x v="0"/>
    <x v="0"/>
    <x v="0"/>
    <x v="4"/>
    <x v="14"/>
  </r>
  <r>
    <s v="ORD-2026-100431"/>
    <s v="CUS35295"/>
    <d v="2026-03-13T00:00:00"/>
    <s v="D029"/>
    <n v="39"/>
    <n v="4.5999999999999996"/>
    <s v="شاحنة صغيرة"/>
    <s v="16:00-18:00"/>
    <d v="2026-03-13T06:07:00"/>
    <d v="2026-03-13T06:33:00"/>
    <d v="2026-03-13T07:39:00"/>
    <d v="2026-03-13T07:47:00"/>
    <d v="2026-03-13T08:19:00"/>
    <d v="2026-03-13T08:48:00"/>
    <n v="7"/>
    <x v="1"/>
    <s v="مكة المكرمة"/>
    <s v="أجياد"/>
    <s v="مستودع مكة المكرمة"/>
    <n v="2500"/>
    <x v="0"/>
    <x v="1"/>
    <x v="0"/>
    <x v="3"/>
    <x v="2"/>
    <x v="5"/>
  </r>
  <r>
    <s v="ORD-2026-100432"/>
    <s v="CUS89433"/>
    <d v="2026-02-26T00:00:00"/>
    <s v="D001"/>
    <n v="6"/>
    <n v="10.1"/>
    <s v="سيارة سيدان"/>
    <s v="10:00-12:00"/>
    <d v="2026-02-26T06:23:00"/>
    <d v="2026-02-26T06:47:00"/>
    <d v="2026-02-26T08:17:00"/>
    <d v="2026-02-26T08:31:00"/>
    <d v="2026-02-26T09:26:00"/>
    <d v="2026-02-26T09:45:00"/>
    <n v="2"/>
    <x v="1"/>
    <s v="جدة"/>
    <s v="الصفا"/>
    <s v="مستودع جدة الرئيسي"/>
    <n v="4000"/>
    <x v="1"/>
    <x v="0"/>
    <x v="0"/>
    <x v="0"/>
    <x v="2"/>
    <x v="0"/>
  </r>
  <r>
    <s v="ORD-2026-100433"/>
    <s v="CUS26702"/>
    <d v="2026-01-27T00:00:00"/>
    <s v="D001"/>
    <n v="30"/>
    <n v="4.9000000000000004"/>
    <s v="سيارة سيدان"/>
    <s v="16:00-18:00"/>
    <d v="2026-01-27T08:08:00"/>
    <d v="2026-01-27T08:28:00"/>
    <d v="2026-01-27T08:59:00"/>
    <d v="2026-01-27T09:10:00"/>
    <d v="2026-01-27T10:02:00"/>
    <d v="2026-01-27T10:43:00"/>
    <n v="6"/>
    <x v="1"/>
    <s v="جدة"/>
    <s v="الأندلس"/>
    <s v="مستودع جدة الرئيسي"/>
    <n v="4000"/>
    <x v="0"/>
    <x v="0"/>
    <x v="0"/>
    <x v="0"/>
    <x v="1"/>
    <x v="8"/>
  </r>
  <r>
    <s v="ORD-2026-100434"/>
    <s v="CUS45918"/>
    <d v="2026-02-03T00:00:00"/>
    <s v="D030"/>
    <n v="38"/>
    <n v="9.8000000000000007"/>
    <s v="سيارة سيدان"/>
    <s v="10:00-12:00"/>
    <d v="2026-02-03T09:37:00"/>
    <d v="2026-02-03T10:03:00"/>
    <d v="2026-02-03T10:15:00"/>
    <d v="2026-02-03T10:28:00"/>
    <d v="2026-02-03T11:21:00"/>
    <d v="2026-02-03T12:01:00"/>
    <n v="4"/>
    <x v="4"/>
    <s v="المدينة المنورة"/>
    <s v="قباء"/>
    <s v="مستودع المدينة المنورة"/>
    <n v="2000"/>
    <x v="0"/>
    <x v="1"/>
    <x v="0"/>
    <x v="5"/>
    <x v="2"/>
    <x v="12"/>
  </r>
  <r>
    <s v="ORD-2026-100435"/>
    <s v="CUS65550"/>
    <d v="2026-01-16T00:00:00"/>
    <s v="D022"/>
    <n v="36"/>
    <n v="6.9"/>
    <s v="شاحنة صغيرة"/>
    <s v="18:00-20:00"/>
    <d v="2026-01-16T06:57:00"/>
    <d v="2026-01-16T07:03:00"/>
    <d v="2026-01-16T07:48:00"/>
    <d v="2026-01-16T08:06:00"/>
    <d v="2026-01-16T08:50:00"/>
    <d v="2026-01-16T09:23:00"/>
    <n v="3"/>
    <x v="3"/>
    <s v="المدينة المنورة"/>
    <s v="العنابس"/>
    <s v="مستودع المدينة المنورة"/>
    <n v="2000"/>
    <x v="0"/>
    <x v="1"/>
    <x v="0"/>
    <x v="1"/>
    <x v="3"/>
    <x v="0"/>
  </r>
  <r>
    <s v="ORD-2026-100436"/>
    <s v="CUS17134"/>
    <d v="2026-01-10T00:00:00"/>
    <s v="D030"/>
    <n v="15"/>
    <n v="6.6"/>
    <s v="شاحنة صغيرة"/>
    <s v="18:00-20:00"/>
    <d v="2026-01-10T08:40:00"/>
    <d v="2026-01-10T08:48:00"/>
    <d v="2026-01-10T09:01:00"/>
    <d v="2026-01-10T09:21:00"/>
    <d v="2026-01-10T09:58:00"/>
    <d v="2026-01-10T10:04:00"/>
    <n v="5"/>
    <x v="1"/>
    <s v="جدة"/>
    <s v="الزهراء"/>
    <s v="مستودع جدة الرئيسي"/>
    <n v="4000"/>
    <x v="1"/>
    <x v="1"/>
    <x v="1"/>
    <x v="3"/>
    <x v="2"/>
    <x v="6"/>
  </r>
  <r>
    <s v="ORD-2026-100437"/>
    <s v="CUS49514"/>
    <d v="2026-02-12T00:00:00"/>
    <s v="D017"/>
    <n v="33"/>
    <n v="10.1"/>
    <s v="فان"/>
    <s v="16:00-18:00"/>
    <d v="2026-02-12T06:31:00"/>
    <d v="2026-02-12T06:38:00"/>
    <d v="2026-02-12T06:55:00"/>
    <d v="2026-02-12T07:01:00"/>
    <d v="2026-02-12T07:35:00"/>
    <d v="2026-02-12T08:00:00"/>
    <n v="7"/>
    <x v="1"/>
    <s v="جدة"/>
    <s v="الحمراء"/>
    <s v="مستودع جدة الرئيسي"/>
    <n v="4000"/>
    <x v="0"/>
    <x v="0"/>
    <x v="0"/>
    <x v="0"/>
    <x v="0"/>
    <x v="7"/>
  </r>
  <r>
    <s v="ORD-2026-100438"/>
    <s v="CUS66112"/>
    <d v="2026-03-20T00:00:00"/>
    <s v="D021"/>
    <n v="11"/>
    <n v="9.4"/>
    <s v="شاحنة متوسطة"/>
    <s v="08:00-10:00"/>
    <d v="2026-03-20T07:15:00"/>
    <d v="2026-03-20T07:32:00"/>
    <d v="2026-03-20T08:33:00"/>
    <d v="2026-03-20T08:41:00"/>
    <d v="2026-03-20T09:30:00"/>
    <d v="2026-03-20T10:01:00"/>
    <n v="2"/>
    <x v="1"/>
    <s v="مكة المكرمة"/>
    <s v="العزيزية"/>
    <s v="مستودع مكة المكرمة"/>
    <n v="2500"/>
    <x v="0"/>
    <x v="0"/>
    <x v="0"/>
    <x v="0"/>
    <x v="2"/>
    <x v="4"/>
  </r>
  <r>
    <s v="ORD-2026-100439"/>
    <s v="CUS56581"/>
    <d v="2026-03-21T00:00:00"/>
    <s v="D020"/>
    <n v="6"/>
    <n v="7.6"/>
    <s v="سيارة سيدان"/>
    <s v="16:00-18:00"/>
    <d v="2026-03-21T06:49:00"/>
    <d v="2026-03-21T06:57:00"/>
    <d v="2026-03-21T07:20:00"/>
    <d v="2026-03-21T07:25:00"/>
    <d v="2026-03-21T08:13:00"/>
    <d v="2026-03-21T08:22:00"/>
    <n v="5"/>
    <x v="1"/>
    <s v="الرياض"/>
    <s v="الورود"/>
    <s v="مستودع الرياض الرئيسي"/>
    <n v="5000"/>
    <x v="0"/>
    <x v="0"/>
    <x v="0"/>
    <x v="0"/>
    <x v="0"/>
    <x v="11"/>
  </r>
  <r>
    <s v="ORD-2026-100440"/>
    <s v="CUS54944"/>
    <d v="2026-02-23T00:00:00"/>
    <s v="D016"/>
    <n v="16"/>
    <n v="5.9"/>
    <s v="شاحنة صغيرة"/>
    <s v="08:00-10:00"/>
    <d v="2026-02-23T06:32:00"/>
    <d v="2026-02-23T06:46:00"/>
    <d v="2026-02-23T08:10:00"/>
    <d v="2026-02-23T08:28:00"/>
    <d v="2026-02-23T09:10:00"/>
    <d v="2026-02-23T09:37:00"/>
    <n v="3"/>
    <x v="1"/>
    <s v="المدينة المنورة"/>
    <s v="العنابس"/>
    <s v="مستودع المدينة المنورة"/>
    <n v="2000"/>
    <x v="0"/>
    <x v="0"/>
    <x v="0"/>
    <x v="0"/>
    <x v="2"/>
    <x v="13"/>
  </r>
  <r>
    <s v="ORD-2026-100441"/>
    <s v="CUS88612"/>
    <d v="2026-02-07T00:00:00"/>
    <s v="D012"/>
    <n v="8"/>
    <n v="5.9"/>
    <s v="شاحنة متوسطة"/>
    <s v="20:00-22:00"/>
    <d v="2026-02-07T06:13:00"/>
    <d v="2026-02-07T06:31:00"/>
    <d v="2026-02-07T07:25:00"/>
    <d v="2026-02-07T07:36:00"/>
    <d v="2026-02-07T07:58:00"/>
    <d v="2026-02-07T08:43:00"/>
    <n v="2"/>
    <x v="1"/>
    <s v="الرياض"/>
    <s v="الملقا"/>
    <s v="مستودع الرياض الرئيسي"/>
    <n v="5000"/>
    <x v="0"/>
    <x v="0"/>
    <x v="0"/>
    <x v="0"/>
    <x v="0"/>
    <x v="4"/>
  </r>
  <r>
    <s v="ORD-2026-100442"/>
    <s v="CUS53452"/>
    <d v="2026-03-30T00:00:00"/>
    <s v="D011"/>
    <n v="24"/>
    <n v="7.3"/>
    <s v="دراجة نارية"/>
    <s v="08:00-10:00"/>
    <d v="2026-03-30T07:56:00"/>
    <d v="2026-03-30T08:26:00"/>
    <d v="2026-03-30T08:41:00"/>
    <d v="2026-03-30T09:01:00"/>
    <d v="2026-03-30T09:25:00"/>
    <d v="2026-03-30T09:30:00"/>
    <n v="6"/>
    <x v="3"/>
    <s v="المدينة المنورة"/>
    <s v="الحرة الغربية"/>
    <s v="مستودع المدينة المنورة"/>
    <n v="2000"/>
    <x v="0"/>
    <x v="0"/>
    <x v="0"/>
    <x v="0"/>
    <x v="2"/>
    <x v="3"/>
  </r>
  <r>
    <s v="ORD-2026-100443"/>
    <s v="CUS35929"/>
    <d v="2026-02-18T00:00:00"/>
    <s v="D007"/>
    <n v="5"/>
    <n v="6.9"/>
    <s v="شاحنة صغيرة"/>
    <s v="12:00-14:00"/>
    <d v="2026-02-18T06:07:00"/>
    <d v="2026-02-18T06:29:00"/>
    <d v="2026-02-18T06:53:00"/>
    <d v="2026-02-18T07:02:00"/>
    <d v="2026-02-18T07:30:00"/>
    <d v="2026-02-18T08:03:00"/>
    <n v="2"/>
    <x v="1"/>
    <s v="مكة المكرمة"/>
    <s v="الشوقية"/>
    <s v="مستودع مكة المكرمة"/>
    <n v="2500"/>
    <x v="0"/>
    <x v="0"/>
    <x v="0"/>
    <x v="0"/>
    <x v="0"/>
    <x v="2"/>
  </r>
  <r>
    <s v="ORD-2026-100444"/>
    <s v="CUS37556"/>
    <d v="2026-02-06T00:00:00"/>
    <s v="D006"/>
    <n v="16"/>
    <n v="6.7"/>
    <s v="شاحنة متوسطة"/>
    <s v="10:00-12:00"/>
    <d v="2026-02-06T06:45:00"/>
    <d v="2026-02-06T06:56:00"/>
    <d v="2026-02-06T07:08:00"/>
    <d v="2026-02-06T07:18:00"/>
    <d v="2026-02-06T07:44:00"/>
    <d v="2026-02-06T07:55:00"/>
    <n v="1"/>
    <x v="1"/>
    <s v="جدة"/>
    <s v="الروضة"/>
    <s v="مستودع جدة الرئيسي"/>
    <n v="4000"/>
    <x v="0"/>
    <x v="0"/>
    <x v="0"/>
    <x v="0"/>
    <x v="0"/>
    <x v="6"/>
  </r>
  <r>
    <s v="ORD-2026-100445"/>
    <s v="CUS42053"/>
    <d v="2026-02-09T00:00:00"/>
    <s v="D015"/>
    <n v="28"/>
    <n v="9.3000000000000007"/>
    <s v="شاحنة متوسطة"/>
    <s v="20:00-22:00"/>
    <d v="2026-02-09T08:39:00"/>
    <d v="2026-02-09T08:57:00"/>
    <d v="2026-02-09T09:15:00"/>
    <d v="2026-02-09T09:23:00"/>
    <d v="2026-02-09T09:42:00"/>
    <d v="2026-02-09T09:55:00"/>
    <n v="7"/>
    <x v="0"/>
    <s v="جدة"/>
    <s v="الروضة"/>
    <s v="مستودع جدة الرئيسي"/>
    <n v="4000"/>
    <x v="0"/>
    <x v="0"/>
    <x v="0"/>
    <x v="0"/>
    <x v="2"/>
    <x v="10"/>
  </r>
  <r>
    <s v="ORD-2026-100446"/>
    <s v="CUS90594"/>
    <d v="2026-01-06T00:00:00"/>
    <s v="D025"/>
    <n v="39"/>
    <n v="6.4"/>
    <s v="دراجة نارية"/>
    <s v="12:00-14:00"/>
    <d v="2026-01-06T07:03:00"/>
    <d v="2026-01-06T07:09:00"/>
    <d v="2026-01-06T08:39:00"/>
    <d v="2026-01-06T08:52:00"/>
    <d v="2026-01-06T09:10:00"/>
    <d v="2026-01-06T09:47:00"/>
    <n v="5"/>
    <x v="1"/>
    <s v="المدينة المنورة"/>
    <s v="قباء"/>
    <s v="مستودع المدينة المنورة"/>
    <n v="2000"/>
    <x v="0"/>
    <x v="0"/>
    <x v="0"/>
    <x v="0"/>
    <x v="2"/>
    <x v="10"/>
  </r>
  <r>
    <s v="ORD-2026-100447"/>
    <s v="CUS38773"/>
    <d v="2026-01-09T00:00:00"/>
    <s v="D006"/>
    <n v="37"/>
    <n v="7"/>
    <s v="شاحنة متوسطة"/>
    <s v="14:00-16:00"/>
    <d v="2026-01-09T06:45:00"/>
    <d v="2026-01-09T07:00:00"/>
    <d v="2026-01-09T07:57:00"/>
    <d v="2026-01-09T08:17:00"/>
    <d v="2026-01-09T09:12:00"/>
    <d v="2026-01-09T09:48:00"/>
    <n v="4"/>
    <x v="4"/>
    <s v="المدينة المنورة"/>
    <s v="العنابس"/>
    <s v="مستودع المدينة المنورة"/>
    <n v="2000"/>
    <x v="0"/>
    <x v="0"/>
    <x v="0"/>
    <x v="0"/>
    <x v="0"/>
    <x v="2"/>
  </r>
  <r>
    <s v="ORD-2026-100448"/>
    <s v="CUS54089"/>
    <d v="2026-01-26T00:00:00"/>
    <s v="D015"/>
    <n v="18"/>
    <n v="6.4"/>
    <s v="فان"/>
    <s v="16:00-18:00"/>
    <d v="2026-01-26T06:40:00"/>
    <d v="2026-01-26T06:56:00"/>
    <d v="2026-01-26T07:38:00"/>
    <d v="2026-01-26T07:45:00"/>
    <d v="2026-01-26T08:03:00"/>
    <d v="2026-01-26T08:13:00"/>
    <n v="3"/>
    <x v="1"/>
    <s v="جدة"/>
    <s v="الشاطئ"/>
    <s v="مستودع جدة الرئيسي"/>
    <n v="4000"/>
    <x v="0"/>
    <x v="0"/>
    <x v="0"/>
    <x v="0"/>
    <x v="2"/>
    <x v="13"/>
  </r>
  <r>
    <s v="ORD-2026-100449"/>
    <s v="CUS81650"/>
    <d v="2026-02-24T00:00:00"/>
    <s v="D015"/>
    <n v="31"/>
    <n v="6.9"/>
    <s v="فان"/>
    <s v="12:00-14:00"/>
    <d v="2026-02-24T07:09:00"/>
    <d v="2026-02-24T07:26:00"/>
    <d v="2026-02-24T07:39:00"/>
    <d v="2026-02-24T07:49:00"/>
    <d v="2026-02-24T08:27:00"/>
    <d v="2026-02-24T08:46:00"/>
    <n v="3"/>
    <x v="1"/>
    <s v="مكة المكرمة"/>
    <s v="أجياد"/>
    <s v="مستودع مكة المكرمة"/>
    <n v="2500"/>
    <x v="0"/>
    <x v="0"/>
    <x v="0"/>
    <x v="0"/>
    <x v="0"/>
    <x v="9"/>
  </r>
  <r>
    <s v="ORD-2026-100450"/>
    <s v="CUS89171"/>
    <d v="2026-03-24T00:00:00"/>
    <s v="D003"/>
    <n v="11"/>
    <n v="4.9000000000000004"/>
    <s v="سيارة سيدان"/>
    <s v="08:00-10:00"/>
    <d v="2026-03-24T08:19:00"/>
    <d v="2026-03-24T08:30:00"/>
    <d v="2026-03-24T09:22:00"/>
    <d v="2026-03-24T09:33:00"/>
    <d v="2026-03-24T10:26:00"/>
    <d v="2026-03-24T10:52:00"/>
    <n v="3"/>
    <x v="1"/>
    <s v="الدمام"/>
    <s v="الفيصلية"/>
    <s v="مستودع الدمام"/>
    <n v="3000"/>
    <x v="0"/>
    <x v="0"/>
    <x v="0"/>
    <x v="0"/>
    <x v="3"/>
    <x v="0"/>
  </r>
  <r>
    <s v="ORD-2026-100451"/>
    <s v="CUS37508"/>
    <d v="2026-01-18T00:00:00"/>
    <s v="D028"/>
    <n v="5"/>
    <n v="10.199999999999999"/>
    <s v="سيارة سيدان"/>
    <s v="20:00-22:00"/>
    <d v="2026-01-18T07:28:00"/>
    <d v="2026-01-18T07:58:00"/>
    <d v="2026-01-18T08:59:00"/>
    <d v="2026-01-18T09:16:00"/>
    <d v="2026-01-18T10:03:00"/>
    <d v="2026-01-18T10:08:00"/>
    <n v="4"/>
    <x v="1"/>
    <s v="المدينة المنورة"/>
    <s v="الحرة الغربية"/>
    <s v="مستودع المدينة المنورة"/>
    <n v="2000"/>
    <x v="1"/>
    <x v="1"/>
    <x v="3"/>
    <x v="2"/>
    <x v="3"/>
    <x v="0"/>
  </r>
  <r>
    <s v="ORD-2026-100452"/>
    <s v="CUS11268"/>
    <d v="2026-03-02T00:00:00"/>
    <s v="D008"/>
    <n v="34"/>
    <n v="6.7"/>
    <s v="شاحنة صغيرة"/>
    <s v="12:00-14:00"/>
    <d v="2026-03-02T09:36:00"/>
    <d v="2026-03-02T09:47:00"/>
    <d v="2026-03-02T10:51:00"/>
    <d v="2026-03-02T11:09:00"/>
    <d v="2026-03-02T11:32:00"/>
    <d v="2026-03-02T12:05:00"/>
    <n v="4"/>
    <x v="1"/>
    <s v="المدينة المنورة"/>
    <s v="العنابس"/>
    <s v="مستودع المدينة المنورة"/>
    <n v="2000"/>
    <x v="0"/>
    <x v="0"/>
    <x v="0"/>
    <x v="0"/>
    <x v="0"/>
    <x v="11"/>
  </r>
  <r>
    <s v="ORD-2026-100453"/>
    <s v="CUS84473"/>
    <d v="2026-03-05T00:00:00"/>
    <s v="D026"/>
    <n v="19"/>
    <n v="7.4"/>
    <s v="فان"/>
    <s v="20:00-22:00"/>
    <d v="2026-03-05T09:19:00"/>
    <d v="2026-03-05T09:46:00"/>
    <d v="2026-03-05T11:04:00"/>
    <d v="2026-03-05T11:18:00"/>
    <d v="2026-03-05T11:48:00"/>
    <d v="2026-03-05T12:30:00"/>
    <n v="1"/>
    <x v="1"/>
    <s v="الدمام"/>
    <s v="الشاطئ"/>
    <s v="مستودع الدمام"/>
    <n v="3000"/>
    <x v="0"/>
    <x v="0"/>
    <x v="0"/>
    <x v="0"/>
    <x v="0"/>
    <x v="6"/>
  </r>
  <r>
    <s v="ORD-2026-100454"/>
    <s v="CUS82470"/>
    <d v="2026-03-22T00:00:00"/>
    <s v="D026"/>
    <n v="29"/>
    <n v="5.6"/>
    <s v="فان"/>
    <s v="08:00-10:00"/>
    <d v="2026-03-22T08:16:00"/>
    <d v="2026-03-22T08:33:00"/>
    <d v="2026-03-22T09:07:00"/>
    <d v="2026-03-22T09:27:00"/>
    <d v="2026-03-22T09:43:00"/>
    <d v="2026-03-22T10:09:00"/>
    <n v="5"/>
    <x v="1"/>
    <s v="المدينة المنورة"/>
    <s v="العنابس"/>
    <s v="مستودع المدينة المنورة"/>
    <n v="2000"/>
    <x v="0"/>
    <x v="0"/>
    <x v="0"/>
    <x v="0"/>
    <x v="3"/>
    <x v="10"/>
  </r>
  <r>
    <s v="ORD-2026-100455"/>
    <s v="CUS63852"/>
    <d v="2026-01-23T00:00:00"/>
    <s v="D002"/>
    <n v="6"/>
    <n v="5.5"/>
    <s v="شاحنة صغيرة"/>
    <s v="14:00-16:00"/>
    <d v="2026-01-23T07:12:00"/>
    <d v="2026-01-23T07:23:00"/>
    <d v="2026-01-23T08:02:00"/>
    <d v="2026-01-23T08:16:00"/>
    <d v="2026-01-23T09:08:00"/>
    <d v="2026-01-23T09:46:00"/>
    <n v="1"/>
    <x v="1"/>
    <s v="المدينة المنورة"/>
    <s v="العنابس"/>
    <s v="مستودع المدينة المنورة"/>
    <n v="2000"/>
    <x v="0"/>
    <x v="0"/>
    <x v="0"/>
    <x v="0"/>
    <x v="2"/>
    <x v="5"/>
  </r>
  <r>
    <s v="ORD-2026-100456"/>
    <s v="CUS36604"/>
    <d v="2026-02-20T00:00:00"/>
    <s v="D006"/>
    <n v="39"/>
    <n v="7.3"/>
    <s v="شاحنة صغيرة"/>
    <s v="14:00-16:00"/>
    <d v="2026-02-20T09:51:00"/>
    <d v="2026-02-20T10:02:00"/>
    <d v="2026-02-20T10:28:00"/>
    <d v="2026-02-20T10:39:00"/>
    <d v="2026-02-20T11:08:00"/>
    <d v="2026-02-20T11:40:00"/>
    <n v="7"/>
    <x v="1"/>
    <s v="الرياض"/>
    <s v="الملقا"/>
    <s v="مستودع الرياض الرئيسي"/>
    <n v="5000"/>
    <x v="0"/>
    <x v="0"/>
    <x v="0"/>
    <x v="0"/>
    <x v="0"/>
    <x v="13"/>
  </r>
  <r>
    <s v="ORD-2026-100457"/>
    <s v="CUS94711"/>
    <d v="2026-03-06T00:00:00"/>
    <s v="D023"/>
    <n v="17"/>
    <n v="4.0999999999999996"/>
    <s v="دراجة نارية"/>
    <s v="14:00-16:00"/>
    <d v="2026-03-06T06:16:00"/>
    <d v="2026-03-06T06:33:00"/>
    <d v="2026-03-06T08:00:00"/>
    <d v="2026-03-06T08:12:00"/>
    <d v="2026-03-06T08:55:00"/>
    <d v="2026-03-06T09:21:00"/>
    <n v="5"/>
    <x v="1"/>
    <s v="مكة المكرمة"/>
    <s v="الزاهر"/>
    <s v="مستودع مكة المكرمة"/>
    <n v="2500"/>
    <x v="0"/>
    <x v="0"/>
    <x v="0"/>
    <x v="0"/>
    <x v="0"/>
    <x v="11"/>
  </r>
  <r>
    <s v="ORD-2026-100458"/>
    <s v="CUS80482"/>
    <d v="2026-02-28T00:00:00"/>
    <s v="D012"/>
    <n v="16"/>
    <n v="7.3"/>
    <s v="دراجة نارية"/>
    <s v="16:00-18:00"/>
    <d v="2026-02-28T09:07:00"/>
    <d v="2026-02-28T09:25:00"/>
    <d v="2026-02-28T10:33:00"/>
    <d v="2026-02-28T10:50:00"/>
    <d v="2026-02-28T11:42:00"/>
    <d v="2026-02-28T11:58:00"/>
    <n v="6"/>
    <x v="1"/>
    <s v="الدمام"/>
    <s v="الجلوية"/>
    <s v="مستودع الدمام"/>
    <n v="3000"/>
    <x v="0"/>
    <x v="1"/>
    <x v="1"/>
    <x v="2"/>
    <x v="3"/>
    <x v="10"/>
  </r>
  <r>
    <s v="ORD-2026-100459"/>
    <s v="CUS70542"/>
    <d v="2026-02-07T00:00:00"/>
    <s v="D022"/>
    <n v="36"/>
    <n v="7.3"/>
    <s v="شاحنة متوسطة"/>
    <s v="08:00-10:00"/>
    <d v="2026-02-07T07:34:00"/>
    <d v="2026-02-07T07:41:00"/>
    <d v="2026-02-07T08:04:00"/>
    <d v="2026-02-07T08:19:00"/>
    <d v="2026-02-07T08:55:00"/>
    <d v="2026-02-07T09:28:00"/>
    <n v="2"/>
    <x v="0"/>
    <s v="الرياض"/>
    <s v="حطين"/>
    <s v="مستودع الرياض الرئيسي"/>
    <n v="5000"/>
    <x v="0"/>
    <x v="0"/>
    <x v="0"/>
    <x v="0"/>
    <x v="0"/>
    <x v="10"/>
  </r>
  <r>
    <s v="ORD-2026-100460"/>
    <s v="CUS31150"/>
    <d v="2026-02-18T00:00:00"/>
    <s v="D011"/>
    <n v="30"/>
    <n v="4.3"/>
    <s v="سيارة سيدان"/>
    <s v="08:00-10:00"/>
    <d v="2026-02-18T09:01:00"/>
    <d v="2026-02-18T09:10:00"/>
    <d v="2026-02-18T10:01:00"/>
    <d v="2026-02-18T10:20:00"/>
    <d v="2026-02-18T11:01:00"/>
    <d v="2026-02-18T11:35:00"/>
    <n v="1"/>
    <x v="2"/>
    <s v="مكة المكرمة"/>
    <s v="الشوقية"/>
    <s v="مستودع مكة المكرمة"/>
    <n v="2500"/>
    <x v="0"/>
    <x v="1"/>
    <x v="1"/>
    <x v="4"/>
    <x v="0"/>
    <x v="1"/>
  </r>
  <r>
    <s v="ORD-2026-100461"/>
    <s v="CUS38333"/>
    <d v="2026-01-22T00:00:00"/>
    <s v="D027"/>
    <n v="16"/>
    <n v="6.4"/>
    <s v="شاحنة متوسطة"/>
    <s v="18:00-20:00"/>
    <d v="2026-01-22T07:40:00"/>
    <d v="2026-01-22T07:50:00"/>
    <d v="2026-01-22T08:09:00"/>
    <d v="2026-01-22T08:14:00"/>
    <d v="2026-01-22T09:07:00"/>
    <d v="2026-01-22T09:29:00"/>
    <n v="2"/>
    <x v="1"/>
    <s v="الرياض"/>
    <s v="النزهة"/>
    <s v="مستودع الرياض الرئيسي"/>
    <n v="5000"/>
    <x v="0"/>
    <x v="0"/>
    <x v="0"/>
    <x v="0"/>
    <x v="0"/>
    <x v="9"/>
  </r>
  <r>
    <s v="ORD-2026-100462"/>
    <s v="CUS54186"/>
    <d v="2026-02-26T00:00:00"/>
    <s v="D023"/>
    <n v="29"/>
    <n v="9.5"/>
    <s v="فان"/>
    <s v="08:00-10:00"/>
    <d v="2026-02-26T08:33:00"/>
    <d v="2026-02-26T08:38:00"/>
    <d v="2026-02-26T08:54:00"/>
    <d v="2026-02-26T09:11:00"/>
    <d v="2026-02-26T10:10:00"/>
    <d v="2026-02-26T10:27:00"/>
    <n v="2"/>
    <x v="1"/>
    <s v="الرياض"/>
    <s v="النزهة"/>
    <s v="مستودع الرياض الرئيسي"/>
    <n v="5000"/>
    <x v="0"/>
    <x v="0"/>
    <x v="0"/>
    <x v="0"/>
    <x v="2"/>
    <x v="7"/>
  </r>
  <r>
    <s v="ORD-2026-100463"/>
    <s v="CUS23878"/>
    <d v="2026-01-25T00:00:00"/>
    <s v="D022"/>
    <n v="11"/>
    <n v="10.4"/>
    <s v="دراجة نارية"/>
    <s v="18:00-20:00"/>
    <d v="2026-01-25T06:42:00"/>
    <d v="2026-01-25T06:48:00"/>
    <d v="2026-01-25T07:51:00"/>
    <d v="2026-01-25T07:59:00"/>
    <d v="2026-01-25T08:29:00"/>
    <d v="2026-01-25T08:54:00"/>
    <n v="5"/>
    <x v="1"/>
    <s v="الرياض"/>
    <s v="حطين"/>
    <s v="مستودع الرياض الرئيسي"/>
    <n v="5000"/>
    <x v="0"/>
    <x v="1"/>
    <x v="3"/>
    <x v="4"/>
    <x v="1"/>
    <x v="2"/>
  </r>
  <r>
    <s v="ORD-2026-100464"/>
    <s v="CUS23344"/>
    <d v="2026-02-15T00:00:00"/>
    <s v="D011"/>
    <n v="30"/>
    <n v="9.1999999999999993"/>
    <s v="شاحنة صغيرة"/>
    <s v="14:00-16:00"/>
    <d v="2026-02-15T06:54:00"/>
    <d v="2026-02-15T07:13:00"/>
    <d v="2026-02-15T07:51:00"/>
    <d v="2026-02-15T07:58:00"/>
    <d v="2026-02-15T08:50:00"/>
    <d v="2026-02-15T09:12:00"/>
    <n v="6"/>
    <x v="1"/>
    <s v="جدة"/>
    <s v="الحمراء"/>
    <s v="مستودع جدة الرئيسي"/>
    <n v="4000"/>
    <x v="0"/>
    <x v="1"/>
    <x v="3"/>
    <x v="5"/>
    <x v="0"/>
    <x v="4"/>
  </r>
  <r>
    <s v="ORD-2026-100465"/>
    <s v="CUS86681"/>
    <d v="2026-03-10T00:00:00"/>
    <s v="D026"/>
    <n v="21"/>
    <n v="11.7"/>
    <s v="شاحنة متوسطة"/>
    <s v="12:00-14:00"/>
    <d v="2026-03-10T08:41:00"/>
    <d v="2026-03-10T09:08:00"/>
    <d v="2026-03-10T10:07:00"/>
    <d v="2026-03-10T10:16:00"/>
    <d v="2026-03-10T10:47:00"/>
    <d v="2026-03-10T11:03:00"/>
    <n v="6"/>
    <x v="1"/>
    <s v="المدينة المنورة"/>
    <s v="قباء"/>
    <s v="مستودع المدينة المنورة"/>
    <n v="2000"/>
    <x v="0"/>
    <x v="1"/>
    <x v="3"/>
    <x v="3"/>
    <x v="2"/>
    <x v="13"/>
  </r>
  <r>
    <s v="ORD-2026-100466"/>
    <s v="CUS59250"/>
    <d v="2026-02-27T00:00:00"/>
    <s v="D013"/>
    <n v="37"/>
    <n v="8.6999999999999993"/>
    <s v="شاحنة صغيرة"/>
    <s v="10:00-12:00"/>
    <d v="2026-02-27T06:05:00"/>
    <d v="2026-02-27T06:29:00"/>
    <d v="2026-02-27T06:54:00"/>
    <d v="2026-02-27T07:08:00"/>
    <d v="2026-02-27T07:33:00"/>
    <d v="2026-02-27T08:05:00"/>
    <n v="7"/>
    <x v="6"/>
    <s v="المدينة المنورة"/>
    <s v="قباء"/>
    <s v="مستودع المدينة المنورة"/>
    <n v="2000"/>
    <x v="0"/>
    <x v="0"/>
    <x v="0"/>
    <x v="0"/>
    <x v="2"/>
    <x v="14"/>
  </r>
  <r>
    <s v="ORD-2026-100467"/>
    <s v="CUS97163"/>
    <d v="2026-01-27T00:00:00"/>
    <s v="D021"/>
    <n v="33"/>
    <n v="9.9"/>
    <s v="سيارة سيدان"/>
    <s v="10:00-12:00"/>
    <d v="2026-01-27T07:11:00"/>
    <d v="2026-01-27T07:26:00"/>
    <d v="2026-01-27T07:41:00"/>
    <d v="2026-01-27T07:59:00"/>
    <d v="2026-01-27T08:50:00"/>
    <d v="2026-01-27T09:13:00"/>
    <n v="7"/>
    <x v="2"/>
    <s v="الرياض"/>
    <s v="حطين"/>
    <s v="مستودع الرياض الرئيسي"/>
    <n v="5000"/>
    <x v="0"/>
    <x v="0"/>
    <x v="0"/>
    <x v="0"/>
    <x v="2"/>
    <x v="5"/>
  </r>
  <r>
    <s v="ORD-2026-100468"/>
    <s v="CUS81938"/>
    <d v="2026-02-01T00:00:00"/>
    <s v="D026"/>
    <n v="29"/>
    <n v="8.1999999999999993"/>
    <s v="دراجة نارية"/>
    <s v="14:00-16:00"/>
    <d v="2026-02-01T08:41:00"/>
    <d v="2026-02-01T08:46:00"/>
    <d v="2026-02-01T09:04:00"/>
    <d v="2026-02-01T09:24:00"/>
    <d v="2026-02-01T09:38:00"/>
    <d v="2026-02-01T09:55:00"/>
    <n v="1"/>
    <x v="1"/>
    <s v="جدة"/>
    <s v="النزهة"/>
    <s v="مستودع جدة الرئيسي"/>
    <n v="4000"/>
    <x v="0"/>
    <x v="0"/>
    <x v="0"/>
    <x v="0"/>
    <x v="1"/>
    <x v="13"/>
  </r>
  <r>
    <s v="ORD-2026-100469"/>
    <s v="CUS20487"/>
    <d v="2026-01-27T00:00:00"/>
    <s v="D008"/>
    <n v="32"/>
    <n v="9.8000000000000007"/>
    <s v="سيارة سيدان"/>
    <s v="10:00-12:00"/>
    <d v="2026-01-27T09:04:00"/>
    <d v="2026-01-27T09:15:00"/>
    <d v="2026-01-27T09:56:00"/>
    <d v="2026-01-27T10:14:00"/>
    <d v="2026-01-27T10:35:00"/>
    <d v="2026-01-27T11:18:00"/>
    <n v="2"/>
    <x v="1"/>
    <s v="المدينة المنورة"/>
    <s v="العوالي"/>
    <s v="مستودع المدينة المنورة"/>
    <n v="2000"/>
    <x v="0"/>
    <x v="1"/>
    <x v="1"/>
    <x v="5"/>
    <x v="0"/>
    <x v="4"/>
  </r>
  <r>
    <s v="ORD-2026-100470"/>
    <s v="CUS59866"/>
    <d v="2026-02-16T00:00:00"/>
    <s v="D013"/>
    <n v="35"/>
    <n v="7.5"/>
    <s v="شاحنة متوسطة"/>
    <s v="16:00-18:00"/>
    <d v="2026-02-16T09:08:00"/>
    <d v="2026-02-16T09:26:00"/>
    <d v="2026-02-16T09:55:00"/>
    <d v="2026-02-16T10:15:00"/>
    <d v="2026-02-16T10:26:00"/>
    <d v="2026-02-16T10:55:00"/>
    <n v="4"/>
    <x v="1"/>
    <s v="مكة المكرمة"/>
    <s v="الشوقية"/>
    <s v="مستودع مكة المكرمة"/>
    <n v="2500"/>
    <x v="0"/>
    <x v="1"/>
    <x v="1"/>
    <x v="6"/>
    <x v="0"/>
    <x v="11"/>
  </r>
  <r>
    <s v="ORD-2026-100471"/>
    <s v="CUS61727"/>
    <d v="2026-03-01T00:00:00"/>
    <s v="D010"/>
    <n v="29"/>
    <n v="8.5"/>
    <s v="فان"/>
    <s v="08:00-10:00"/>
    <d v="2026-03-01T07:25:00"/>
    <d v="2026-03-01T07:34:00"/>
    <d v="2026-03-01T08:44:00"/>
    <d v="2026-03-01T08:55:00"/>
    <d v="2026-03-01T09:14:00"/>
    <d v="2026-03-01T09:31:00"/>
    <n v="1"/>
    <x v="0"/>
    <s v="مكة المكرمة"/>
    <s v="الزاهر"/>
    <s v="مستودع مكة المكرمة"/>
    <n v="2500"/>
    <x v="0"/>
    <x v="0"/>
    <x v="0"/>
    <x v="0"/>
    <x v="2"/>
    <x v="12"/>
  </r>
  <r>
    <s v="ORD-2026-100472"/>
    <s v="CUS58258"/>
    <d v="2026-02-17T00:00:00"/>
    <s v="D013"/>
    <n v="9"/>
    <n v="7.3"/>
    <s v="شاحنة صغيرة"/>
    <s v="08:00-10:00"/>
    <d v="2026-02-17T07:38:00"/>
    <d v="2026-02-17T08:01:00"/>
    <d v="2026-02-17T08:31:00"/>
    <d v="2026-02-17T08:42:00"/>
    <d v="2026-02-17T09:40:00"/>
    <d v="2026-02-17T10:12:00"/>
    <n v="3"/>
    <x v="1"/>
    <s v="مكة المكرمة"/>
    <s v="الزاهر"/>
    <s v="مستودع مكة المكرمة"/>
    <n v="2500"/>
    <x v="0"/>
    <x v="0"/>
    <x v="0"/>
    <x v="0"/>
    <x v="0"/>
    <x v="10"/>
  </r>
  <r>
    <s v="ORD-2026-100473"/>
    <s v="CUS31158"/>
    <d v="2026-03-31T00:00:00"/>
    <s v="D002"/>
    <n v="20"/>
    <n v="5.9"/>
    <s v="شاحنة صغيرة"/>
    <s v="20:00-22:00"/>
    <d v="2026-03-31T07:32:00"/>
    <d v="2026-03-31T07:57:00"/>
    <d v="2026-03-31T08:10:00"/>
    <d v="2026-03-31T08:19:00"/>
    <d v="2026-03-31T08:45:00"/>
    <d v="2026-03-31T09:28:00"/>
    <n v="4"/>
    <x v="1"/>
    <s v="مكة المكرمة"/>
    <s v="أجياد"/>
    <s v="مستودع مكة المكرمة"/>
    <n v="2500"/>
    <x v="0"/>
    <x v="0"/>
    <x v="0"/>
    <x v="0"/>
    <x v="2"/>
    <x v="10"/>
  </r>
  <r>
    <s v="ORD-2026-100474"/>
    <s v="CUS63950"/>
    <d v="2026-01-02T00:00:00"/>
    <s v="D004"/>
    <n v="30"/>
    <n v="9.6"/>
    <s v="شاحنة صغيرة"/>
    <s v="16:00-18:00"/>
    <d v="2026-01-02T09:52:00"/>
    <d v="2026-01-02T10:03:00"/>
    <d v="2026-01-02T11:07:00"/>
    <d v="2026-01-02T11:17:00"/>
    <d v="2026-01-02T11:54:00"/>
    <d v="2026-01-02T12:15:00"/>
    <n v="6"/>
    <x v="1"/>
    <s v="الرياض"/>
    <s v="السليمانية"/>
    <s v="مستودع الرياض الرئيسي"/>
    <n v="5000"/>
    <x v="1"/>
    <x v="0"/>
    <x v="0"/>
    <x v="0"/>
    <x v="2"/>
    <x v="11"/>
  </r>
  <r>
    <s v="ORD-2026-100475"/>
    <s v="CUS32365"/>
    <d v="2026-01-12T00:00:00"/>
    <s v="D004"/>
    <n v="14"/>
    <n v="6.2"/>
    <s v="دراجة نارية"/>
    <s v="18:00-20:00"/>
    <d v="2026-01-12T07:41:00"/>
    <d v="2026-01-12T08:08:00"/>
    <d v="2026-01-12T08:57:00"/>
    <d v="2026-01-12T09:02:00"/>
    <d v="2026-01-12T09:22:00"/>
    <d v="2026-01-12T09:58:00"/>
    <n v="1"/>
    <x v="2"/>
    <s v="المدينة المنورة"/>
    <s v="الحرة الغربية"/>
    <s v="مستودع المدينة المنورة"/>
    <n v="2000"/>
    <x v="0"/>
    <x v="0"/>
    <x v="0"/>
    <x v="0"/>
    <x v="2"/>
    <x v="12"/>
  </r>
  <r>
    <s v="ORD-2026-100476"/>
    <s v="CUS63581"/>
    <d v="2026-01-23T00:00:00"/>
    <s v="D012"/>
    <n v="13"/>
    <n v="5.6"/>
    <s v="دراجة نارية"/>
    <s v="16:00-18:00"/>
    <d v="2026-01-23T06:28:00"/>
    <d v="2026-01-23T06:47:00"/>
    <d v="2026-01-23T08:09:00"/>
    <d v="2026-01-23T08:20:00"/>
    <d v="2026-01-23T08:41:00"/>
    <d v="2026-01-23T08:58:00"/>
    <n v="1"/>
    <x v="1"/>
    <s v="جدة"/>
    <s v="الصفا"/>
    <s v="مستودع جدة الرئيسي"/>
    <n v="4000"/>
    <x v="0"/>
    <x v="0"/>
    <x v="0"/>
    <x v="0"/>
    <x v="0"/>
    <x v="1"/>
  </r>
  <r>
    <s v="ORD-2026-100477"/>
    <s v="CUS10947"/>
    <d v="2026-02-26T00:00:00"/>
    <s v="D021"/>
    <n v="15"/>
    <n v="4.5999999999999996"/>
    <s v="شاحنة صغيرة"/>
    <s v="14:00-16:00"/>
    <d v="2026-02-26T06:31:00"/>
    <d v="2026-02-26T06:44:00"/>
    <d v="2026-02-26T07:02:00"/>
    <d v="2026-02-26T07:17:00"/>
    <d v="2026-02-26T07:28:00"/>
    <d v="2026-02-26T08:10:00"/>
    <n v="2"/>
    <x v="1"/>
    <s v="المدينة المنورة"/>
    <s v="العوالي"/>
    <s v="مستودع المدينة المنورة"/>
    <n v="2000"/>
    <x v="0"/>
    <x v="0"/>
    <x v="0"/>
    <x v="0"/>
    <x v="1"/>
    <x v="3"/>
  </r>
  <r>
    <s v="ORD-2026-100478"/>
    <s v="CUS62228"/>
    <d v="2026-03-27T00:00:00"/>
    <s v="D019"/>
    <n v="18"/>
    <n v="8.1999999999999993"/>
    <s v="شاحنة صغيرة"/>
    <s v="14:00-16:00"/>
    <d v="2026-03-27T08:34:00"/>
    <d v="2026-03-27T08:55:00"/>
    <d v="2026-03-27T09:39:00"/>
    <d v="2026-03-27T09:59:00"/>
    <d v="2026-03-27T10:39:00"/>
    <d v="2026-03-27T11:05:00"/>
    <n v="5"/>
    <x v="1"/>
    <s v="الرياض"/>
    <s v="النزهة"/>
    <s v="مستودع الرياض الرئيسي"/>
    <n v="5000"/>
    <x v="0"/>
    <x v="1"/>
    <x v="2"/>
    <x v="2"/>
    <x v="0"/>
    <x v="10"/>
  </r>
  <r>
    <s v="ORD-2026-100479"/>
    <s v="CUS69233"/>
    <d v="2026-02-18T00:00:00"/>
    <s v="D020"/>
    <n v="26"/>
    <n v="10.5"/>
    <s v="شاحنة صغيرة"/>
    <s v="14:00-16:00"/>
    <d v="2026-02-18T09:42:00"/>
    <d v="2026-02-18T10:09:00"/>
    <d v="2026-02-18T11:10:00"/>
    <d v="2026-02-18T11:19:00"/>
    <d v="2026-02-18T11:30:00"/>
    <d v="2026-02-18T12:13:00"/>
    <n v="1"/>
    <x v="1"/>
    <s v="الرياض"/>
    <s v="الورود"/>
    <s v="مستودع الرياض الرئيسي"/>
    <n v="5000"/>
    <x v="0"/>
    <x v="0"/>
    <x v="0"/>
    <x v="0"/>
    <x v="0"/>
    <x v="6"/>
  </r>
  <r>
    <s v="ORD-2026-100480"/>
    <s v="CUS55656"/>
    <d v="2026-03-21T00:00:00"/>
    <s v="D022"/>
    <n v="31"/>
    <n v="9.3000000000000007"/>
    <s v="شاحنة صغيرة"/>
    <s v="18:00-20:00"/>
    <d v="2026-03-21T09:28:00"/>
    <d v="2026-03-21T09:43:00"/>
    <d v="2026-03-21T09:55:00"/>
    <d v="2026-03-21T10:11:00"/>
    <d v="2026-03-21T10:23:00"/>
    <d v="2026-03-21T10:48:00"/>
    <n v="6"/>
    <x v="1"/>
    <s v="مكة المكرمة"/>
    <s v="المسفلة"/>
    <s v="مستودع مكة المكرمة"/>
    <n v="2500"/>
    <x v="0"/>
    <x v="0"/>
    <x v="0"/>
    <x v="0"/>
    <x v="2"/>
    <x v="8"/>
  </r>
  <r>
    <s v="ORD-2026-100481"/>
    <s v="CUS73198"/>
    <d v="2026-02-24T00:00:00"/>
    <s v="D030"/>
    <n v="29"/>
    <n v="6.4"/>
    <s v="دراجة نارية"/>
    <s v="18:00-20:00"/>
    <d v="2026-02-24T06:36:00"/>
    <d v="2026-02-24T06:57:00"/>
    <d v="2026-02-24T08:20:00"/>
    <d v="2026-02-24T08:26:00"/>
    <d v="2026-02-24T08:44:00"/>
    <d v="2026-02-24T09:20:00"/>
    <n v="7"/>
    <x v="2"/>
    <s v="مكة المكرمة"/>
    <s v="العزيزية"/>
    <s v="مستودع مكة المكرمة"/>
    <n v="2500"/>
    <x v="1"/>
    <x v="1"/>
    <x v="3"/>
    <x v="2"/>
    <x v="0"/>
    <x v="8"/>
  </r>
  <r>
    <s v="ORD-2026-100482"/>
    <s v="CUS26134"/>
    <d v="2026-03-26T00:00:00"/>
    <s v="D018"/>
    <n v="18"/>
    <n v="5.4"/>
    <s v="شاحنة صغيرة"/>
    <s v="08:00-10:00"/>
    <d v="2026-03-26T07:51:00"/>
    <d v="2026-03-26T08:18:00"/>
    <d v="2026-03-26T08:31:00"/>
    <d v="2026-03-26T08:41:00"/>
    <d v="2026-03-26T09:11:00"/>
    <d v="2026-03-26T09:40:00"/>
    <n v="7"/>
    <x v="1"/>
    <s v="جدة"/>
    <s v="الزهراء"/>
    <s v="مستودع جدة الرئيسي"/>
    <n v="4000"/>
    <x v="0"/>
    <x v="0"/>
    <x v="0"/>
    <x v="0"/>
    <x v="0"/>
    <x v="10"/>
  </r>
  <r>
    <s v="ORD-2026-100483"/>
    <s v="CUS83649"/>
    <d v="2026-03-27T00:00:00"/>
    <s v="D005"/>
    <n v="10"/>
    <n v="10.4"/>
    <s v="سيارة سيدان"/>
    <s v="20:00-22:00"/>
    <d v="2026-03-27T06:57:00"/>
    <d v="2026-03-27T07:20:00"/>
    <d v="2026-03-27T08:46:00"/>
    <d v="2026-03-27T08:53:00"/>
    <d v="2026-03-27T09:44:00"/>
    <d v="2026-03-27T10:10:00"/>
    <n v="4"/>
    <x v="1"/>
    <s v="المدينة المنورة"/>
    <s v="العنابس"/>
    <s v="مستودع المدينة المنورة"/>
    <n v="2000"/>
    <x v="0"/>
    <x v="0"/>
    <x v="0"/>
    <x v="0"/>
    <x v="0"/>
    <x v="3"/>
  </r>
  <r>
    <s v="ORD-2026-100484"/>
    <s v="CUS34885"/>
    <d v="2026-02-25T00:00:00"/>
    <s v="D026"/>
    <n v="21"/>
    <n v="4.9000000000000004"/>
    <s v="شاحنة صغيرة"/>
    <s v="08:00-10:00"/>
    <d v="2026-02-25T06:22:00"/>
    <d v="2026-02-25T06:37:00"/>
    <d v="2026-02-25T08:02:00"/>
    <d v="2026-02-25T08:13:00"/>
    <d v="2026-02-25T09:10:00"/>
    <d v="2026-02-25T09:22:00"/>
    <n v="5"/>
    <x v="1"/>
    <s v="جدة"/>
    <s v="الزهراء"/>
    <s v="مستودع جدة الرئيسي"/>
    <n v="4000"/>
    <x v="0"/>
    <x v="1"/>
    <x v="0"/>
    <x v="5"/>
    <x v="1"/>
    <x v="9"/>
  </r>
  <r>
    <s v="ORD-2026-100485"/>
    <s v="CUS47144"/>
    <d v="2026-02-19T00:00:00"/>
    <s v="D014"/>
    <n v="13"/>
    <n v="8.1999999999999993"/>
    <s v="شاحنة متوسطة"/>
    <s v="16:00-18:00"/>
    <d v="2026-02-19T06:56:00"/>
    <d v="2026-02-19T07:04:00"/>
    <d v="2026-02-19T08:04:00"/>
    <d v="2026-02-19T08:09:00"/>
    <d v="2026-02-19T08:53:00"/>
    <d v="2026-02-19T09:27:00"/>
    <n v="3"/>
    <x v="5"/>
    <s v="الدمام"/>
    <s v="الشاطئ"/>
    <s v="مستودع الدمام"/>
    <n v="3000"/>
    <x v="0"/>
    <x v="0"/>
    <x v="0"/>
    <x v="0"/>
    <x v="2"/>
    <x v="13"/>
  </r>
  <r>
    <s v="ORD-2026-100486"/>
    <s v="CUS37605"/>
    <d v="2026-01-19T00:00:00"/>
    <s v="D024"/>
    <n v="24"/>
    <n v="8"/>
    <s v="شاحنة صغيرة"/>
    <s v="12:00-14:00"/>
    <d v="2026-01-19T09:37:00"/>
    <d v="2026-01-19T10:04:00"/>
    <d v="2026-01-19T11:27:00"/>
    <d v="2026-01-19T11:47:00"/>
    <d v="2026-01-19T12:37:00"/>
    <d v="2026-01-19T12:55:00"/>
    <n v="4"/>
    <x v="1"/>
    <s v="الرياض"/>
    <s v="الورود"/>
    <s v="مستودع الرياض الرئيسي"/>
    <n v="5000"/>
    <x v="1"/>
    <x v="0"/>
    <x v="0"/>
    <x v="0"/>
    <x v="0"/>
    <x v="14"/>
  </r>
  <r>
    <s v="ORD-2026-100487"/>
    <s v="CUS47098"/>
    <d v="2026-01-29T00:00:00"/>
    <s v="D023"/>
    <n v="36"/>
    <n v="9.8000000000000007"/>
    <s v="سيارة سيدان"/>
    <s v="20:00-22:00"/>
    <d v="2026-01-29T08:48:00"/>
    <d v="2026-01-29T08:58:00"/>
    <d v="2026-01-29T09:10:00"/>
    <d v="2026-01-29T09:27:00"/>
    <d v="2026-01-29T09:58:00"/>
    <d v="2026-01-29T10:30:00"/>
    <n v="6"/>
    <x v="1"/>
    <s v="الرياض"/>
    <s v="الملقا"/>
    <s v="مستودع الرياض الرئيسي"/>
    <n v="5000"/>
    <x v="0"/>
    <x v="0"/>
    <x v="0"/>
    <x v="0"/>
    <x v="1"/>
    <x v="0"/>
  </r>
  <r>
    <s v="ORD-2026-100488"/>
    <s v="CUS28982"/>
    <d v="2026-02-06T00:00:00"/>
    <s v="D023"/>
    <n v="40"/>
    <n v="7.2"/>
    <s v="دراجة نارية"/>
    <s v="12:00-14:00"/>
    <d v="2026-02-06T09:12:00"/>
    <d v="2026-02-06T09:42:00"/>
    <d v="2026-02-06T11:06:00"/>
    <d v="2026-02-06T11:12:00"/>
    <d v="2026-02-06T12:07:00"/>
    <d v="2026-02-06T12:31:00"/>
    <n v="4"/>
    <x v="1"/>
    <s v="جدة"/>
    <s v="الصفا"/>
    <s v="مستودع جدة الرئيسي"/>
    <n v="4000"/>
    <x v="0"/>
    <x v="0"/>
    <x v="0"/>
    <x v="0"/>
    <x v="2"/>
    <x v="5"/>
  </r>
  <r>
    <s v="ORD-2026-100489"/>
    <s v="CUS54366"/>
    <d v="2026-01-27T00:00:00"/>
    <s v="D007"/>
    <n v="5"/>
    <n v="6.9"/>
    <s v="شاحنة متوسطة"/>
    <s v="08:00-10:00"/>
    <d v="2026-01-27T08:53:00"/>
    <d v="2026-01-27T09:23:00"/>
    <d v="2026-01-27T09:51:00"/>
    <d v="2026-01-27T10:08:00"/>
    <d v="2026-01-27T10:45:00"/>
    <d v="2026-01-27T11:00:00"/>
    <n v="1"/>
    <x v="4"/>
    <s v="جدة"/>
    <s v="الصفا"/>
    <s v="مستودع جدة الرئيسي"/>
    <n v="4000"/>
    <x v="0"/>
    <x v="0"/>
    <x v="0"/>
    <x v="0"/>
    <x v="0"/>
    <x v="10"/>
  </r>
  <r>
    <s v="ORD-2026-100490"/>
    <s v="CUS95237"/>
    <d v="2026-03-17T00:00:00"/>
    <s v="D014"/>
    <n v="30"/>
    <n v="6"/>
    <s v="شاحنة صغيرة"/>
    <s v="10:00-12:00"/>
    <d v="2026-03-17T07:41:00"/>
    <d v="2026-03-17T08:01:00"/>
    <d v="2026-03-17T08:49:00"/>
    <d v="2026-03-17T08:59:00"/>
    <d v="2026-03-17T09:50:00"/>
    <d v="2026-03-17T10:19:00"/>
    <n v="7"/>
    <x v="1"/>
    <s v="جدة"/>
    <s v="الصفا"/>
    <s v="مستودع جدة الرئيسي"/>
    <n v="4000"/>
    <x v="0"/>
    <x v="0"/>
    <x v="0"/>
    <x v="0"/>
    <x v="0"/>
    <x v="1"/>
  </r>
  <r>
    <s v="ORD-2026-100491"/>
    <s v="CUS33736"/>
    <d v="2026-02-18T00:00:00"/>
    <s v="D009"/>
    <n v="5"/>
    <n v="5"/>
    <s v="شاحنة صغيرة"/>
    <s v="08:00-10:00"/>
    <d v="2026-02-18T08:05:00"/>
    <d v="2026-02-18T08:30:00"/>
    <d v="2026-02-18T09:45:00"/>
    <d v="2026-02-18T09:57:00"/>
    <d v="2026-02-18T10:08:00"/>
    <d v="2026-02-18T10:50:00"/>
    <n v="5"/>
    <x v="1"/>
    <s v="مكة المكرمة"/>
    <s v="الزاهر"/>
    <s v="مستودع مكة المكرمة"/>
    <n v="2500"/>
    <x v="0"/>
    <x v="0"/>
    <x v="0"/>
    <x v="0"/>
    <x v="1"/>
    <x v="13"/>
  </r>
  <r>
    <s v="ORD-2026-100492"/>
    <s v="CUS86640"/>
    <d v="2026-02-19T00:00:00"/>
    <s v="D016"/>
    <n v="13"/>
    <n v="4.8"/>
    <s v="شاحنة صغيرة"/>
    <s v="18:00-20:00"/>
    <d v="2026-02-19T09:52:00"/>
    <d v="2026-02-19T10:22:00"/>
    <d v="2026-02-19T11:40:00"/>
    <d v="2026-02-19T11:50:00"/>
    <d v="2026-02-19T12:25:00"/>
    <d v="2026-02-19T12:31:00"/>
    <n v="4"/>
    <x v="1"/>
    <s v="مكة المكرمة"/>
    <s v="الزاهر"/>
    <s v="مستودع مكة المكرمة"/>
    <n v="2500"/>
    <x v="0"/>
    <x v="0"/>
    <x v="0"/>
    <x v="0"/>
    <x v="2"/>
    <x v="9"/>
  </r>
  <r>
    <s v="ORD-2026-100493"/>
    <s v="CUS14588"/>
    <d v="2026-03-10T00:00:00"/>
    <s v="D023"/>
    <n v="12"/>
    <n v="5.4"/>
    <s v="شاحنة متوسطة"/>
    <s v="18:00-20:00"/>
    <d v="2026-03-10T06:46:00"/>
    <d v="2026-03-10T06:51:00"/>
    <d v="2026-03-10T08:12:00"/>
    <d v="2026-03-10T08:31:00"/>
    <d v="2026-03-10T09:01:00"/>
    <d v="2026-03-10T09:13:00"/>
    <n v="1"/>
    <x v="3"/>
    <s v="الرياض"/>
    <s v="حطين"/>
    <s v="مستودع الرياض الرئيسي"/>
    <n v="5000"/>
    <x v="0"/>
    <x v="0"/>
    <x v="0"/>
    <x v="0"/>
    <x v="3"/>
    <x v="3"/>
  </r>
  <r>
    <s v="ORD-2026-100494"/>
    <s v="CUS78506"/>
    <d v="2026-01-11T00:00:00"/>
    <s v="D004"/>
    <n v="28"/>
    <n v="11.7"/>
    <s v="دراجة نارية"/>
    <s v="14:00-16:00"/>
    <d v="2026-01-11T08:48:00"/>
    <d v="2026-01-11T08:53:00"/>
    <d v="2026-01-11T09:34:00"/>
    <d v="2026-01-11T09:48:00"/>
    <d v="2026-01-11T10:00:00"/>
    <d v="2026-01-11T10:38:00"/>
    <n v="7"/>
    <x v="1"/>
    <s v="المدينة المنورة"/>
    <s v="الحرة الغربية"/>
    <s v="مستودع المدينة المنورة"/>
    <n v="2000"/>
    <x v="0"/>
    <x v="0"/>
    <x v="0"/>
    <x v="0"/>
    <x v="2"/>
    <x v="6"/>
  </r>
  <r>
    <s v="ORD-2026-100495"/>
    <s v="CUS19746"/>
    <d v="2026-02-15T00:00:00"/>
    <s v="D020"/>
    <n v="11"/>
    <n v="9.3000000000000007"/>
    <s v="شاحنة صغيرة"/>
    <s v="10:00-12:00"/>
    <d v="2026-02-15T06:09:00"/>
    <d v="2026-02-15T06:20:00"/>
    <d v="2026-02-15T06:48:00"/>
    <d v="2026-02-15T07:02:00"/>
    <d v="2026-02-15T07:25:00"/>
    <d v="2026-02-15T07:38:00"/>
    <n v="5"/>
    <x v="1"/>
    <s v="المدينة المنورة"/>
    <s v="قباء"/>
    <s v="مستودع المدينة المنورة"/>
    <n v="2000"/>
    <x v="0"/>
    <x v="0"/>
    <x v="0"/>
    <x v="0"/>
    <x v="0"/>
    <x v="12"/>
  </r>
  <r>
    <s v="ORD-2026-100496"/>
    <s v="CUS94904"/>
    <d v="2026-03-12T00:00:00"/>
    <s v="D009"/>
    <n v="15"/>
    <n v="7.2"/>
    <s v="شاحنة صغيرة"/>
    <s v="12:00-14:00"/>
    <d v="2026-03-12T08:53:00"/>
    <d v="2026-03-12T09:11:00"/>
    <d v="2026-03-12T09:39:00"/>
    <d v="2026-03-12T09:50:00"/>
    <d v="2026-03-12T10:04:00"/>
    <d v="2026-03-12T10:49:00"/>
    <n v="6"/>
    <x v="2"/>
    <s v="الدمام"/>
    <s v="الجلوية"/>
    <s v="مستودع الدمام"/>
    <n v="3000"/>
    <x v="0"/>
    <x v="0"/>
    <x v="0"/>
    <x v="0"/>
    <x v="2"/>
    <x v="10"/>
  </r>
  <r>
    <s v="ORD-2026-100497"/>
    <s v="CUS53714"/>
    <d v="2026-03-07T00:00:00"/>
    <s v="D020"/>
    <n v="14"/>
    <n v="6.5"/>
    <s v="فان"/>
    <s v="14:00-16:00"/>
    <d v="2026-03-07T06:06:00"/>
    <d v="2026-03-07T06:30:00"/>
    <d v="2026-03-07T07:11:00"/>
    <d v="2026-03-07T07:18:00"/>
    <d v="2026-03-07T07:45:00"/>
    <d v="2026-03-07T07:57:00"/>
    <n v="5"/>
    <x v="0"/>
    <s v="جدة"/>
    <s v="الشاطئ"/>
    <s v="مستودع جدة الرئيسي"/>
    <n v="4000"/>
    <x v="0"/>
    <x v="0"/>
    <x v="0"/>
    <x v="0"/>
    <x v="1"/>
    <x v="5"/>
  </r>
  <r>
    <s v="ORD-2026-100498"/>
    <s v="CUS46961"/>
    <d v="2026-02-04T00:00:00"/>
    <s v="D005"/>
    <n v="5"/>
    <n v="4.8"/>
    <s v="دراجة نارية"/>
    <s v="14:00-16:00"/>
    <d v="2026-02-04T06:26:00"/>
    <d v="2026-02-04T06:56:00"/>
    <d v="2026-02-04T07:21:00"/>
    <d v="2026-02-04T07:31:00"/>
    <d v="2026-02-04T08:14:00"/>
    <d v="2026-02-04T08:38:00"/>
    <n v="5"/>
    <x v="1"/>
    <s v="جدة"/>
    <s v="الروضة"/>
    <s v="مستودع جدة الرئيسي"/>
    <n v="4000"/>
    <x v="0"/>
    <x v="0"/>
    <x v="0"/>
    <x v="0"/>
    <x v="0"/>
    <x v="1"/>
  </r>
  <r>
    <s v="ORD-2026-100499"/>
    <s v="CUS84391"/>
    <d v="2026-03-12T00:00:00"/>
    <s v="D009"/>
    <n v="8"/>
    <n v="5.4"/>
    <s v="فان"/>
    <s v="10:00-12:00"/>
    <d v="2026-03-12T07:28:00"/>
    <d v="2026-03-12T07:58:00"/>
    <d v="2026-03-12T09:16:00"/>
    <d v="2026-03-12T09:33:00"/>
    <d v="2026-03-12T10:13:00"/>
    <d v="2026-03-12T10:55:00"/>
    <n v="2"/>
    <x v="2"/>
    <s v="المدينة المنورة"/>
    <s v="العوالي"/>
    <s v="مستودع المدينة المنورة"/>
    <n v="2000"/>
    <x v="0"/>
    <x v="0"/>
    <x v="0"/>
    <x v="0"/>
    <x v="1"/>
    <x v="12"/>
  </r>
  <r>
    <s v="ORD-2026-100500"/>
    <s v="CUS21395"/>
    <d v="2026-02-04T00:00:00"/>
    <s v="D002"/>
    <n v="31"/>
    <n v="9.6999999999999993"/>
    <s v="دراجة نارية"/>
    <s v="14:00-16:00"/>
    <d v="2026-02-04T07:30:00"/>
    <d v="2026-02-04T08:00:00"/>
    <d v="2026-02-04T09:09:00"/>
    <d v="2026-02-04T09:23:00"/>
    <d v="2026-02-04T09:50:00"/>
    <d v="2026-02-04T10:22:00"/>
    <n v="5"/>
    <x v="1"/>
    <s v="الدمام"/>
    <s v="الفيصلية"/>
    <s v="مستودع الدمام"/>
    <n v="3000"/>
    <x v="0"/>
    <x v="0"/>
    <x v="0"/>
    <x v="0"/>
    <x v="2"/>
    <x v="1"/>
  </r>
  <r>
    <s v="ORD-2026-100501"/>
    <s v="CUS76674"/>
    <d v="2026-02-09T00:00:00"/>
    <s v="D014"/>
    <n v="10"/>
    <n v="4.5999999999999996"/>
    <s v="دراجة نارية"/>
    <s v="08:00-10:00"/>
    <d v="2026-02-09T06:42:00"/>
    <d v="2026-02-09T07:05:00"/>
    <d v="2026-02-09T07:22:00"/>
    <d v="2026-02-09T07:29:00"/>
    <d v="2026-02-09T08:26:00"/>
    <d v="2026-02-09T08:49:00"/>
    <n v="5"/>
    <x v="1"/>
    <s v="الدمام"/>
    <s v="العزيزية"/>
    <s v="مستودع الدمام"/>
    <n v="3000"/>
    <x v="0"/>
    <x v="0"/>
    <x v="0"/>
    <x v="0"/>
    <x v="0"/>
    <x v="10"/>
  </r>
  <r>
    <s v="ORD-2026-100502"/>
    <s v="CUS79220"/>
    <d v="2026-01-18T00:00:00"/>
    <s v="D016"/>
    <n v="39"/>
    <n v="9.6"/>
    <s v="فان"/>
    <s v="08:00-10:00"/>
    <d v="2026-01-18T08:37:00"/>
    <d v="2026-01-18T08:48:00"/>
    <d v="2026-01-18T08:58:00"/>
    <d v="2026-01-18T09:16:00"/>
    <d v="2026-01-18T10:10:00"/>
    <d v="2026-01-18T10:49:00"/>
    <n v="6"/>
    <x v="1"/>
    <s v="مكة المكرمة"/>
    <s v="المسفلة"/>
    <s v="مستودع مكة المكرمة"/>
    <n v="2500"/>
    <x v="1"/>
    <x v="0"/>
    <x v="0"/>
    <x v="0"/>
    <x v="0"/>
    <x v="5"/>
  </r>
  <r>
    <s v="ORD-2026-100503"/>
    <s v="CUS99006"/>
    <d v="2026-03-29T00:00:00"/>
    <s v="D020"/>
    <n v="15"/>
    <n v="9.4"/>
    <s v="شاحنة متوسطة"/>
    <s v="10:00-12:00"/>
    <d v="2026-03-29T06:44:00"/>
    <d v="2026-03-29T06:51:00"/>
    <d v="2026-03-29T07:47:00"/>
    <d v="2026-03-29T07:56:00"/>
    <d v="2026-03-29T08:38:00"/>
    <d v="2026-03-29T09:05:00"/>
    <n v="1"/>
    <x v="1"/>
    <s v="الرياض"/>
    <s v="الربوة"/>
    <s v="مستودع الرياض الرئيسي"/>
    <n v="5000"/>
    <x v="0"/>
    <x v="0"/>
    <x v="0"/>
    <x v="0"/>
    <x v="1"/>
    <x v="5"/>
  </r>
  <r>
    <s v="ORD-2026-100504"/>
    <s v="CUS70339"/>
    <d v="2026-02-01T00:00:00"/>
    <s v="D027"/>
    <n v="23"/>
    <n v="6.4"/>
    <s v="سيارة سيدان"/>
    <s v="12:00-14:00"/>
    <d v="2026-02-01T06:54:00"/>
    <d v="2026-02-01T06:59:00"/>
    <d v="2026-02-01T08:29:00"/>
    <d v="2026-02-01T08:46:00"/>
    <d v="2026-02-01T09:09:00"/>
    <d v="2026-02-01T09:33:00"/>
    <n v="6"/>
    <x v="1"/>
    <s v="المدينة المنورة"/>
    <s v="العوالي"/>
    <s v="مستودع المدينة المنورة"/>
    <n v="2000"/>
    <x v="0"/>
    <x v="1"/>
    <x v="3"/>
    <x v="3"/>
    <x v="2"/>
    <x v="13"/>
  </r>
  <r>
    <s v="ORD-2026-100505"/>
    <s v="CUS30398"/>
    <d v="2026-02-12T00:00:00"/>
    <s v="D010"/>
    <n v="5"/>
    <n v="6.8"/>
    <s v="دراجة نارية"/>
    <s v="14:00-16:00"/>
    <d v="2026-02-12T07:30:00"/>
    <d v="2026-02-12T07:35:00"/>
    <d v="2026-02-12T07:57:00"/>
    <d v="2026-02-12T08:15:00"/>
    <d v="2026-02-12T08:56:00"/>
    <d v="2026-02-12T09:13:00"/>
    <n v="1"/>
    <x v="1"/>
    <s v="الدمام"/>
    <s v="العزيزية"/>
    <s v="مستودع الدمام"/>
    <n v="3000"/>
    <x v="0"/>
    <x v="0"/>
    <x v="0"/>
    <x v="0"/>
    <x v="0"/>
    <x v="7"/>
  </r>
  <r>
    <s v="ORD-2026-100506"/>
    <s v="CUS36013"/>
    <d v="2026-03-26T00:00:00"/>
    <s v="D009"/>
    <n v="30"/>
    <n v="7"/>
    <s v="سيارة سيدان"/>
    <s v="14:00-16:00"/>
    <d v="2026-03-26T09:48:00"/>
    <d v="2026-03-26T09:58:00"/>
    <d v="2026-03-26T11:16:00"/>
    <d v="2026-03-26T11:29:00"/>
    <d v="2026-03-26T11:45:00"/>
    <d v="2026-03-26T12:18:00"/>
    <n v="6"/>
    <x v="1"/>
    <s v="جدة"/>
    <s v="الشاطئ"/>
    <s v="مستودع جدة الرئيسي"/>
    <n v="4000"/>
    <x v="0"/>
    <x v="0"/>
    <x v="0"/>
    <x v="0"/>
    <x v="2"/>
    <x v="6"/>
  </r>
  <r>
    <s v="ORD-2026-100507"/>
    <s v="CUS62412"/>
    <d v="2026-01-15T00:00:00"/>
    <s v="D007"/>
    <n v="13"/>
    <n v="7.2"/>
    <s v="سيارة سيدان"/>
    <s v="08:00-10:00"/>
    <d v="2026-01-15T06:41:00"/>
    <d v="2026-01-15T07:07:00"/>
    <d v="2026-01-15T07:42:00"/>
    <d v="2026-01-15T08:02:00"/>
    <d v="2026-01-15T08:54:00"/>
    <d v="2026-01-15T09:16:00"/>
    <n v="1"/>
    <x v="1"/>
    <s v="الدمام"/>
    <s v="العزيزية"/>
    <s v="مستودع الدمام"/>
    <n v="3000"/>
    <x v="0"/>
    <x v="0"/>
    <x v="0"/>
    <x v="0"/>
    <x v="0"/>
    <x v="6"/>
  </r>
  <r>
    <s v="ORD-2026-100508"/>
    <s v="CUS73691"/>
    <d v="2026-03-06T00:00:00"/>
    <s v="D024"/>
    <n v="12"/>
    <n v="11.7"/>
    <s v="شاحنة صغيرة"/>
    <s v="10:00-12:00"/>
    <d v="2026-03-06T06:39:00"/>
    <d v="2026-03-06T06:55:00"/>
    <d v="2026-03-06T08:09:00"/>
    <d v="2026-03-06T08:14:00"/>
    <d v="2026-03-06T09:13:00"/>
    <d v="2026-03-06T09:33:00"/>
    <n v="1"/>
    <x v="1"/>
    <s v="مكة المكرمة"/>
    <s v="الشوقية"/>
    <s v="مستودع مكة المكرمة"/>
    <n v="2500"/>
    <x v="0"/>
    <x v="1"/>
    <x v="0"/>
    <x v="4"/>
    <x v="2"/>
    <x v="11"/>
  </r>
  <r>
    <s v="ORD-2026-100509"/>
    <s v="CUS75841"/>
    <d v="2026-01-11T00:00:00"/>
    <s v="D025"/>
    <n v="14"/>
    <n v="9.8000000000000007"/>
    <s v="دراجة نارية"/>
    <s v="10:00-12:00"/>
    <d v="2026-01-11T07:11:00"/>
    <d v="2026-01-11T07:40:00"/>
    <d v="2026-01-11T08:04:00"/>
    <d v="2026-01-11T08:17:00"/>
    <d v="2026-01-11T09:11:00"/>
    <d v="2026-01-11T09:31:00"/>
    <n v="6"/>
    <x v="1"/>
    <s v="مكة المكرمة"/>
    <s v="الشوقية"/>
    <s v="مستودع مكة المكرمة"/>
    <n v="2500"/>
    <x v="0"/>
    <x v="0"/>
    <x v="0"/>
    <x v="0"/>
    <x v="0"/>
    <x v="0"/>
  </r>
  <r>
    <s v="ORD-2026-100510"/>
    <s v="CUS39068"/>
    <d v="2026-03-20T00:00:00"/>
    <s v="D006"/>
    <n v="14"/>
    <n v="5.8"/>
    <s v="دراجة نارية"/>
    <s v="14:00-16:00"/>
    <d v="2026-03-20T06:09:00"/>
    <d v="2026-03-20T06:22:00"/>
    <d v="2026-03-20T06:56:00"/>
    <d v="2026-03-20T07:05:00"/>
    <d v="2026-03-20T07:42:00"/>
    <d v="2026-03-20T07:48:00"/>
    <n v="5"/>
    <x v="6"/>
    <s v="جدة"/>
    <s v="الأندلس"/>
    <s v="مستودع جدة الرئيسي"/>
    <n v="4000"/>
    <x v="0"/>
    <x v="0"/>
    <x v="0"/>
    <x v="0"/>
    <x v="0"/>
    <x v="2"/>
  </r>
  <r>
    <s v="ORD-2026-100511"/>
    <s v="CUS52157"/>
    <d v="2026-02-13T00:00:00"/>
    <s v="D014"/>
    <n v="37"/>
    <n v="7.4"/>
    <s v="شاحنة صغيرة"/>
    <s v="12:00-14:00"/>
    <d v="2026-02-13T06:28:00"/>
    <d v="2026-02-13T06:41:00"/>
    <d v="2026-02-13T07:37:00"/>
    <d v="2026-02-13T07:50:00"/>
    <d v="2026-02-13T08:22:00"/>
    <d v="2026-02-13T08:53:00"/>
    <n v="2"/>
    <x v="1"/>
    <s v="مكة المكرمة"/>
    <s v="العزيزية"/>
    <s v="مستودع مكة المكرمة"/>
    <n v="2500"/>
    <x v="0"/>
    <x v="0"/>
    <x v="0"/>
    <x v="0"/>
    <x v="1"/>
    <x v="0"/>
  </r>
  <r>
    <s v="ORD-2026-100512"/>
    <s v="CUS87189"/>
    <d v="2026-01-28T00:00:00"/>
    <s v="D010"/>
    <n v="11"/>
    <n v="7.4"/>
    <s v="سيارة سيدان"/>
    <s v="14:00-16:00"/>
    <d v="2026-01-28T07:33:00"/>
    <d v="2026-01-28T07:48:00"/>
    <d v="2026-01-28T08:36:00"/>
    <d v="2026-01-28T08:44:00"/>
    <d v="2026-01-28T09:00:00"/>
    <d v="2026-01-28T09:05:00"/>
    <n v="6"/>
    <x v="1"/>
    <s v="مكة المكرمة"/>
    <s v="الزاهر"/>
    <s v="مستودع مكة المكرمة"/>
    <n v="2500"/>
    <x v="0"/>
    <x v="0"/>
    <x v="0"/>
    <x v="0"/>
    <x v="0"/>
    <x v="6"/>
  </r>
  <r>
    <s v="ORD-2026-100513"/>
    <s v="CUS91134"/>
    <d v="2026-03-09T00:00:00"/>
    <s v="D020"/>
    <n v="22"/>
    <n v="5.7"/>
    <s v="فان"/>
    <s v="08:00-10:00"/>
    <d v="2026-03-09T09:47:00"/>
    <d v="2026-03-09T09:55:00"/>
    <d v="2026-03-09T10:21:00"/>
    <d v="2026-03-09T10:29:00"/>
    <d v="2026-03-09T10:41:00"/>
    <d v="2026-03-09T11:23:00"/>
    <n v="6"/>
    <x v="1"/>
    <s v="الدمام"/>
    <s v="الفيصلية"/>
    <s v="مستودع الدمام"/>
    <n v="3000"/>
    <x v="0"/>
    <x v="0"/>
    <x v="0"/>
    <x v="0"/>
    <x v="1"/>
    <x v="9"/>
  </r>
  <r>
    <s v="ORD-2026-100514"/>
    <s v="CUS73284"/>
    <d v="2026-02-13T00:00:00"/>
    <s v="D010"/>
    <n v="39"/>
    <n v="9.8000000000000007"/>
    <s v="شاحنة صغيرة"/>
    <s v="10:00-12:00"/>
    <d v="2026-02-13T06:49:00"/>
    <d v="2026-02-13T07:07:00"/>
    <d v="2026-02-13T08:27:00"/>
    <d v="2026-02-13T08:40:00"/>
    <d v="2026-02-13T09:38:00"/>
    <d v="2026-02-13T10:18:00"/>
    <n v="3"/>
    <x v="1"/>
    <s v="مكة المكرمة"/>
    <s v="الشوقية"/>
    <s v="مستودع مكة المكرمة"/>
    <n v="2500"/>
    <x v="0"/>
    <x v="0"/>
    <x v="0"/>
    <x v="0"/>
    <x v="0"/>
    <x v="8"/>
  </r>
  <r>
    <s v="ORD-2026-100515"/>
    <s v="CUS83727"/>
    <d v="2026-02-23T00:00:00"/>
    <s v="D017"/>
    <n v="15"/>
    <n v="8.8000000000000007"/>
    <s v="دراجة نارية"/>
    <s v="12:00-14:00"/>
    <d v="2026-02-23T06:11:00"/>
    <d v="2026-02-23T06:34:00"/>
    <d v="2026-02-23T06:51:00"/>
    <d v="2026-02-23T07:02:00"/>
    <d v="2026-02-23T07:59:00"/>
    <d v="2026-02-23T08:29:00"/>
    <n v="4"/>
    <x v="1"/>
    <s v="المدينة المنورة"/>
    <s v="العوالي"/>
    <s v="مستودع المدينة المنورة"/>
    <n v="2000"/>
    <x v="0"/>
    <x v="1"/>
    <x v="1"/>
    <x v="4"/>
    <x v="0"/>
    <x v="12"/>
  </r>
  <r>
    <s v="ORD-2026-100516"/>
    <s v="CUS39350"/>
    <d v="2026-02-19T00:00:00"/>
    <s v="D013"/>
    <n v="18"/>
    <n v="5.5"/>
    <s v="دراجة نارية"/>
    <s v="16:00-18:00"/>
    <d v="2026-02-19T06:55:00"/>
    <d v="2026-02-19T07:18:00"/>
    <d v="2026-02-19T07:29:00"/>
    <d v="2026-02-19T07:48:00"/>
    <d v="2026-02-19T08:30:00"/>
    <d v="2026-02-19T09:08:00"/>
    <n v="3"/>
    <x v="1"/>
    <s v="المدينة المنورة"/>
    <s v="الحرة الغربية"/>
    <s v="مستودع المدينة المنورة"/>
    <n v="2000"/>
    <x v="0"/>
    <x v="0"/>
    <x v="0"/>
    <x v="0"/>
    <x v="2"/>
    <x v="14"/>
  </r>
  <r>
    <s v="ORD-2026-100517"/>
    <s v="CUS81994"/>
    <d v="2026-01-06T00:00:00"/>
    <s v="D018"/>
    <n v="7"/>
    <n v="9.1"/>
    <s v="سيارة سيدان"/>
    <s v="10:00-12:00"/>
    <d v="2026-01-06T07:09:00"/>
    <d v="2026-01-06T07:39:00"/>
    <d v="2026-01-06T07:55:00"/>
    <d v="2026-01-06T08:07:00"/>
    <d v="2026-01-06T08:30:00"/>
    <d v="2026-01-06T09:09:00"/>
    <n v="1"/>
    <x v="5"/>
    <s v="جدة"/>
    <s v="الروضة"/>
    <s v="مستودع جدة الرئيسي"/>
    <n v="4000"/>
    <x v="0"/>
    <x v="1"/>
    <x v="2"/>
    <x v="3"/>
    <x v="0"/>
    <x v="5"/>
  </r>
  <r>
    <s v="ORD-2026-100518"/>
    <s v="CUS95698"/>
    <d v="2026-02-03T00:00:00"/>
    <s v="D024"/>
    <n v="23"/>
    <n v="6.6"/>
    <s v="شاحنة صغيرة"/>
    <s v="18:00-20:00"/>
    <d v="2026-02-03T09:28:00"/>
    <d v="2026-02-03T09:33:00"/>
    <d v="2026-02-03T10:28:00"/>
    <d v="2026-02-03T10:40:00"/>
    <d v="2026-02-03T11:36:00"/>
    <d v="2026-02-03T11:58:00"/>
    <n v="2"/>
    <x v="6"/>
    <s v="جدة"/>
    <s v="الشاطئ"/>
    <s v="مستودع جدة الرئيسي"/>
    <n v="4000"/>
    <x v="0"/>
    <x v="1"/>
    <x v="0"/>
    <x v="1"/>
    <x v="0"/>
    <x v="12"/>
  </r>
  <r>
    <s v="ORD-2026-100519"/>
    <s v="CUS33083"/>
    <d v="2026-02-02T00:00:00"/>
    <s v="D028"/>
    <n v="33"/>
    <n v="5.8"/>
    <s v="سيارة سيدان"/>
    <s v="10:00-12:00"/>
    <d v="2026-02-02T08:28:00"/>
    <d v="2026-02-02T08:53:00"/>
    <d v="2026-02-02T09:53:00"/>
    <d v="2026-02-02T10:02:00"/>
    <d v="2026-02-02T10:40:00"/>
    <d v="2026-02-02T10:59:00"/>
    <n v="6"/>
    <x v="1"/>
    <s v="المدينة المنورة"/>
    <s v="قباء"/>
    <s v="مستودع المدينة المنورة"/>
    <n v="2000"/>
    <x v="0"/>
    <x v="1"/>
    <x v="0"/>
    <x v="4"/>
    <x v="3"/>
    <x v="14"/>
  </r>
  <r>
    <s v="ORD-2026-100520"/>
    <s v="CUS79045"/>
    <d v="2026-01-25T00:00:00"/>
    <s v="D019"/>
    <n v="23"/>
    <n v="4.2"/>
    <s v="دراجة نارية"/>
    <s v="10:00-12:00"/>
    <d v="2026-01-25T09:29:00"/>
    <d v="2026-01-25T09:46:00"/>
    <d v="2026-01-25T11:13:00"/>
    <d v="2026-01-25T11:24:00"/>
    <d v="2026-01-25T11:38:00"/>
    <d v="2026-01-25T11:52:00"/>
    <n v="1"/>
    <x v="1"/>
    <s v="مكة المكرمة"/>
    <s v="الشوقية"/>
    <s v="مستودع مكة المكرمة"/>
    <n v="2500"/>
    <x v="0"/>
    <x v="0"/>
    <x v="0"/>
    <x v="0"/>
    <x v="2"/>
    <x v="0"/>
  </r>
  <r>
    <s v="ORD-2026-100521"/>
    <s v="CUS23938"/>
    <d v="2026-01-18T00:00:00"/>
    <s v="D024"/>
    <n v="29"/>
    <n v="7.1"/>
    <s v="شاحنة صغيرة"/>
    <s v="20:00-22:00"/>
    <d v="2026-01-18T06:03:00"/>
    <d v="2026-01-18T06:32:00"/>
    <d v="2026-01-18T06:47:00"/>
    <d v="2026-01-18T06:56:00"/>
    <d v="2026-01-18T07:21:00"/>
    <d v="2026-01-18T07:31:00"/>
    <n v="3"/>
    <x v="2"/>
    <s v="الرياض"/>
    <s v="النزهة"/>
    <s v="مستودع الرياض الرئيسي"/>
    <n v="5000"/>
    <x v="0"/>
    <x v="0"/>
    <x v="0"/>
    <x v="0"/>
    <x v="4"/>
    <x v="3"/>
  </r>
  <r>
    <s v="ORD-2026-100522"/>
    <s v="CUS23476"/>
    <d v="2026-03-11T00:00:00"/>
    <s v="D024"/>
    <n v="17"/>
    <n v="5.0999999999999996"/>
    <s v="شاحنة متوسطة"/>
    <s v="14:00-16:00"/>
    <d v="2026-03-11T09:28:00"/>
    <d v="2026-03-11T09:38:00"/>
    <d v="2026-03-11T10:27:00"/>
    <d v="2026-03-11T10:42:00"/>
    <d v="2026-03-11T11:22:00"/>
    <d v="2026-03-11T11:36:00"/>
    <n v="2"/>
    <x v="2"/>
    <s v="الدمام"/>
    <s v="العزيزية"/>
    <s v="مستودع الدمام"/>
    <n v="3000"/>
    <x v="0"/>
    <x v="0"/>
    <x v="0"/>
    <x v="0"/>
    <x v="4"/>
    <x v="7"/>
  </r>
  <r>
    <s v="ORD-2026-100523"/>
    <s v="CUS24733"/>
    <d v="2026-03-11T00:00:00"/>
    <s v="D010"/>
    <n v="14"/>
    <n v="4"/>
    <s v="دراجة نارية"/>
    <s v="08:00-10:00"/>
    <d v="2026-03-11T06:58:00"/>
    <d v="2026-03-11T07:16:00"/>
    <d v="2026-03-11T08:15:00"/>
    <d v="2026-03-11T08:24:00"/>
    <d v="2026-03-11T08:56:00"/>
    <d v="2026-03-11T09:19:00"/>
    <n v="2"/>
    <x v="1"/>
    <s v="الرياض"/>
    <s v="السليمانية"/>
    <s v="مستودع الرياض الرئيسي"/>
    <n v="5000"/>
    <x v="0"/>
    <x v="0"/>
    <x v="0"/>
    <x v="0"/>
    <x v="0"/>
    <x v="5"/>
  </r>
  <r>
    <s v="ORD-2026-100524"/>
    <s v="CUS65737"/>
    <d v="2026-03-04T00:00:00"/>
    <s v="D006"/>
    <n v="11"/>
    <n v="11.7"/>
    <s v="سيارة سيدان"/>
    <s v="12:00-14:00"/>
    <d v="2026-03-04T06:19:00"/>
    <d v="2026-03-04T06:43:00"/>
    <d v="2026-03-04T07:35:00"/>
    <d v="2026-03-04T07:43:00"/>
    <d v="2026-03-04T08:16:00"/>
    <d v="2026-03-04T08:26:00"/>
    <n v="1"/>
    <x v="1"/>
    <s v="الرياض"/>
    <s v="حطين"/>
    <s v="مستودع الرياض الرئيسي"/>
    <n v="5000"/>
    <x v="0"/>
    <x v="0"/>
    <x v="0"/>
    <x v="0"/>
    <x v="2"/>
    <x v="10"/>
  </r>
  <r>
    <s v="ORD-2026-100525"/>
    <s v="CUS72709"/>
    <d v="2026-01-20T00:00:00"/>
    <s v="D029"/>
    <n v="23"/>
    <n v="6.8"/>
    <s v="شاحنة صغيرة"/>
    <s v="12:00-14:00"/>
    <d v="2026-01-20T09:54:00"/>
    <d v="2026-01-20T10:14:00"/>
    <d v="2026-01-20T11:11:00"/>
    <d v="2026-01-20T11:24:00"/>
    <d v="2026-01-20T12:19:00"/>
    <d v="2026-01-20T12:28:00"/>
    <n v="7"/>
    <x v="3"/>
    <s v="الدمام"/>
    <s v="المزروعية"/>
    <s v="مستودع الدمام"/>
    <n v="3000"/>
    <x v="0"/>
    <x v="0"/>
    <x v="0"/>
    <x v="0"/>
    <x v="3"/>
    <x v="4"/>
  </r>
  <r>
    <s v="ORD-2026-100526"/>
    <s v="CUS95715"/>
    <d v="2026-01-09T00:00:00"/>
    <s v="D004"/>
    <n v="22"/>
    <n v="5.2"/>
    <s v="سيارة سيدان"/>
    <s v="10:00-12:00"/>
    <d v="2026-01-09T06:46:00"/>
    <d v="2026-01-09T07:15:00"/>
    <d v="2026-01-09T08:14:00"/>
    <d v="2026-01-09T08:30:00"/>
    <d v="2026-01-09T09:00:00"/>
    <d v="2026-01-09T09:36:00"/>
    <n v="4"/>
    <x v="1"/>
    <s v="المدينة المنورة"/>
    <s v="العنابس"/>
    <s v="مستودع المدينة المنورة"/>
    <n v="2000"/>
    <x v="1"/>
    <x v="0"/>
    <x v="0"/>
    <x v="0"/>
    <x v="0"/>
    <x v="14"/>
  </r>
  <r>
    <s v="ORD-2026-100527"/>
    <s v="CUS57409"/>
    <d v="2026-02-01T00:00:00"/>
    <s v="D013"/>
    <n v="36"/>
    <n v="8.3000000000000007"/>
    <s v="فان"/>
    <s v="16:00-18:00"/>
    <d v="2026-02-01T08:17:00"/>
    <d v="2026-02-01T08:29:00"/>
    <d v="2026-02-01T09:28:00"/>
    <d v="2026-02-01T09:35:00"/>
    <d v="2026-02-01T10:22:00"/>
    <d v="2026-02-01T10:53:00"/>
    <n v="5"/>
    <x v="1"/>
    <s v="مكة المكرمة"/>
    <s v="المسفلة"/>
    <s v="مستودع مكة المكرمة"/>
    <n v="2500"/>
    <x v="0"/>
    <x v="0"/>
    <x v="0"/>
    <x v="0"/>
    <x v="0"/>
    <x v="2"/>
  </r>
  <r>
    <s v="ORD-2026-100528"/>
    <s v="CUS17322"/>
    <d v="2026-01-01T00:00:00"/>
    <s v="D007"/>
    <n v="40"/>
    <n v="7.8"/>
    <s v="دراجة نارية"/>
    <s v="08:00-10:00"/>
    <d v="2026-01-01T06:15:00"/>
    <d v="2026-01-01T06:31:00"/>
    <d v="2026-01-01T07:27:00"/>
    <d v="2026-01-01T07:36:00"/>
    <d v="2026-01-01T08:04:00"/>
    <d v="2026-01-01T08:38:00"/>
    <n v="2"/>
    <x v="1"/>
    <s v="الرياض"/>
    <s v="الورود"/>
    <s v="مستودع الرياض الرئيسي"/>
    <n v="5000"/>
    <x v="0"/>
    <x v="1"/>
    <x v="3"/>
    <x v="2"/>
    <x v="3"/>
    <x v="2"/>
  </r>
  <r>
    <s v="ORD-2026-100529"/>
    <s v="CUS64590"/>
    <d v="2026-01-18T00:00:00"/>
    <s v="D004"/>
    <n v="6"/>
    <n v="9.6"/>
    <s v="فان"/>
    <s v="12:00-14:00"/>
    <d v="2026-01-18T06:13:00"/>
    <d v="2026-01-18T06:40:00"/>
    <d v="2026-01-18T07:03:00"/>
    <d v="2026-01-18T07:10:00"/>
    <d v="2026-01-18T07:50:00"/>
    <d v="2026-01-18T08:33:00"/>
    <n v="7"/>
    <x v="3"/>
    <s v="جدة"/>
    <s v="الشاطئ"/>
    <s v="مستودع جدة الرئيسي"/>
    <n v="4000"/>
    <x v="0"/>
    <x v="0"/>
    <x v="0"/>
    <x v="0"/>
    <x v="1"/>
    <x v="13"/>
  </r>
  <r>
    <s v="ORD-2026-100530"/>
    <s v="CUS31017"/>
    <d v="2026-01-20T00:00:00"/>
    <s v="D025"/>
    <n v="13"/>
    <n v="10"/>
    <s v="سيارة سيدان"/>
    <s v="14:00-16:00"/>
    <d v="2026-01-20T07:45:00"/>
    <d v="2026-01-20T08:13:00"/>
    <d v="2026-01-20T09:06:00"/>
    <d v="2026-01-20T09:25:00"/>
    <d v="2026-01-20T10:25:00"/>
    <d v="2026-01-20T10:30:00"/>
    <n v="3"/>
    <x v="6"/>
    <s v="جدة"/>
    <s v="الشاطئ"/>
    <s v="مستودع جدة الرئيسي"/>
    <n v="4000"/>
    <x v="0"/>
    <x v="0"/>
    <x v="0"/>
    <x v="0"/>
    <x v="0"/>
    <x v="9"/>
  </r>
  <r>
    <s v="ORD-2026-100531"/>
    <s v="CUS17339"/>
    <d v="2026-01-02T00:00:00"/>
    <s v="D013"/>
    <n v="40"/>
    <n v="9.6999999999999993"/>
    <s v="سيارة سيدان"/>
    <s v="16:00-18:00"/>
    <d v="2026-01-02T08:08:00"/>
    <d v="2026-01-02T08:22:00"/>
    <d v="2026-01-02T09:01:00"/>
    <d v="2026-01-02T09:19:00"/>
    <d v="2026-01-02T09:39:00"/>
    <d v="2026-01-02T10:01:00"/>
    <n v="1"/>
    <x v="1"/>
    <s v="مكة المكرمة"/>
    <s v="أجياد"/>
    <s v="مستودع مكة المكرمة"/>
    <n v="2500"/>
    <x v="1"/>
    <x v="0"/>
    <x v="0"/>
    <x v="0"/>
    <x v="3"/>
    <x v="13"/>
  </r>
  <r>
    <s v="ORD-2026-100532"/>
    <s v="CUS24208"/>
    <d v="2026-01-29T00:00:00"/>
    <s v="D013"/>
    <n v="40"/>
    <n v="8.8000000000000007"/>
    <s v="شاحنة صغيرة"/>
    <s v="20:00-22:00"/>
    <d v="2026-01-29T08:57:00"/>
    <d v="2026-01-29T09:16:00"/>
    <d v="2026-01-29T10:27:00"/>
    <d v="2026-01-29T10:42:00"/>
    <d v="2026-01-29T11:33:00"/>
    <d v="2026-01-29T12:03:00"/>
    <n v="7"/>
    <x v="1"/>
    <s v="جدة"/>
    <s v="الأندلس"/>
    <s v="مستودع جدة الرئيسي"/>
    <n v="4000"/>
    <x v="0"/>
    <x v="0"/>
    <x v="0"/>
    <x v="0"/>
    <x v="2"/>
    <x v="11"/>
  </r>
  <r>
    <s v="ORD-2026-100533"/>
    <s v="CUS45280"/>
    <d v="2026-01-14T00:00:00"/>
    <s v="D003"/>
    <n v="26"/>
    <n v="4.2"/>
    <s v="سيارة سيدان"/>
    <s v="10:00-12:00"/>
    <d v="2026-01-14T08:18:00"/>
    <d v="2026-01-14T08:26:00"/>
    <d v="2026-01-14T08:44:00"/>
    <d v="2026-01-14T08:55:00"/>
    <d v="2026-01-14T09:43:00"/>
    <d v="2026-01-14T09:48:00"/>
    <n v="7"/>
    <x v="1"/>
    <s v="الدمام"/>
    <s v="المزروعية"/>
    <s v="مستودع الدمام"/>
    <n v="3000"/>
    <x v="0"/>
    <x v="0"/>
    <x v="0"/>
    <x v="0"/>
    <x v="0"/>
    <x v="2"/>
  </r>
  <r>
    <s v="ORD-2026-100534"/>
    <s v="CUS22763"/>
    <d v="2026-01-11T00:00:00"/>
    <s v="D019"/>
    <n v="35"/>
    <n v="4.4000000000000004"/>
    <s v="سيارة سيدان"/>
    <s v="08:00-10:00"/>
    <d v="2026-01-11T07:19:00"/>
    <d v="2026-01-11T07:24:00"/>
    <d v="2026-01-11T08:19:00"/>
    <d v="2026-01-11T08:33:00"/>
    <d v="2026-01-11T09:08:00"/>
    <d v="2026-01-11T09:45:00"/>
    <n v="2"/>
    <x v="1"/>
    <s v="المدينة المنورة"/>
    <s v="العوالي"/>
    <s v="مستودع المدينة المنورة"/>
    <n v="2000"/>
    <x v="0"/>
    <x v="0"/>
    <x v="0"/>
    <x v="0"/>
    <x v="1"/>
    <x v="10"/>
  </r>
  <r>
    <s v="ORD-2026-100535"/>
    <s v="CUS99320"/>
    <d v="2026-02-12T00:00:00"/>
    <s v="D014"/>
    <n v="37"/>
    <n v="10.5"/>
    <s v="دراجة نارية"/>
    <s v="08:00-10:00"/>
    <d v="2026-02-12T08:30:00"/>
    <d v="2026-02-12T09:00:00"/>
    <d v="2026-02-12T09:58:00"/>
    <d v="2026-02-12T10:18:00"/>
    <d v="2026-02-12T11:05:00"/>
    <d v="2026-02-12T11:12:00"/>
    <n v="3"/>
    <x v="2"/>
    <s v="المدينة المنورة"/>
    <s v="العوالي"/>
    <s v="مستودع المدينة المنورة"/>
    <n v="2000"/>
    <x v="0"/>
    <x v="1"/>
    <x v="0"/>
    <x v="1"/>
    <x v="3"/>
    <x v="2"/>
  </r>
  <r>
    <s v="ORD-2026-100536"/>
    <s v="CUS41340"/>
    <d v="2026-03-25T00:00:00"/>
    <s v="D005"/>
    <n v="38"/>
    <n v="11.9"/>
    <s v="شاحنة متوسطة"/>
    <s v="18:00-20:00"/>
    <d v="2026-03-25T08:13:00"/>
    <d v="2026-03-25T08:42:00"/>
    <d v="2026-03-25T09:35:00"/>
    <d v="2026-03-25T09:54:00"/>
    <d v="2026-03-25T10:54:00"/>
    <d v="2026-03-25T11:07:00"/>
    <n v="3"/>
    <x v="1"/>
    <s v="جدة"/>
    <s v="النزهة"/>
    <s v="مستودع جدة الرئيسي"/>
    <n v="4000"/>
    <x v="0"/>
    <x v="1"/>
    <x v="0"/>
    <x v="1"/>
    <x v="0"/>
    <x v="12"/>
  </r>
  <r>
    <s v="ORD-2026-100537"/>
    <s v="CUS57622"/>
    <d v="2026-01-27T00:00:00"/>
    <s v="D020"/>
    <n v="14"/>
    <n v="8.5"/>
    <s v="فان"/>
    <s v="08:00-10:00"/>
    <d v="2026-01-27T09:26:00"/>
    <d v="2026-01-27T09:31:00"/>
    <d v="2026-01-27T09:59:00"/>
    <d v="2026-01-27T10:13:00"/>
    <d v="2026-01-27T10:58:00"/>
    <d v="2026-01-27T11:08:00"/>
    <n v="4"/>
    <x v="5"/>
    <s v="المدينة المنورة"/>
    <s v="العوالي"/>
    <s v="مستودع المدينة المنورة"/>
    <n v="2000"/>
    <x v="0"/>
    <x v="0"/>
    <x v="0"/>
    <x v="0"/>
    <x v="1"/>
    <x v="13"/>
  </r>
  <r>
    <s v="ORD-2026-100538"/>
    <s v="CUS26906"/>
    <d v="2026-02-15T00:00:00"/>
    <s v="D003"/>
    <n v="34"/>
    <n v="6.1"/>
    <s v="فان"/>
    <s v="12:00-14:00"/>
    <d v="2026-02-15T09:15:00"/>
    <d v="2026-02-15T09:34:00"/>
    <d v="2026-02-15T10:01:00"/>
    <d v="2026-02-15T10:09:00"/>
    <d v="2026-02-15T10:55:00"/>
    <d v="2026-02-15T11:31:00"/>
    <n v="1"/>
    <x v="1"/>
    <s v="الرياض"/>
    <s v="الملقا"/>
    <s v="مستودع الرياض الرئيسي"/>
    <n v="5000"/>
    <x v="0"/>
    <x v="0"/>
    <x v="0"/>
    <x v="0"/>
    <x v="2"/>
    <x v="10"/>
  </r>
  <r>
    <s v="ORD-2026-100539"/>
    <s v="CUS19565"/>
    <d v="2026-02-26T00:00:00"/>
    <s v="D012"/>
    <n v="28"/>
    <n v="4.7"/>
    <s v="فان"/>
    <s v="16:00-18:00"/>
    <d v="2026-02-26T07:55:00"/>
    <d v="2026-02-26T08:08:00"/>
    <d v="2026-02-26T08:23:00"/>
    <d v="2026-02-26T08:29:00"/>
    <d v="2026-02-26T09:26:00"/>
    <d v="2026-02-26T09:46:00"/>
    <n v="6"/>
    <x v="1"/>
    <s v="المدينة المنورة"/>
    <s v="الحرة الغربية"/>
    <s v="مستودع المدينة المنورة"/>
    <n v="2000"/>
    <x v="0"/>
    <x v="1"/>
    <x v="2"/>
    <x v="4"/>
    <x v="3"/>
    <x v="12"/>
  </r>
  <r>
    <s v="ORD-2026-100540"/>
    <s v="CUS73739"/>
    <d v="2026-01-29T00:00:00"/>
    <s v="D013"/>
    <n v="27"/>
    <n v="7.7"/>
    <s v="شاحنة متوسطة"/>
    <s v="20:00-22:00"/>
    <d v="2026-01-29T07:59:00"/>
    <d v="2026-01-29T08:07:00"/>
    <d v="2026-01-29T08:27:00"/>
    <d v="2026-01-29T08:37:00"/>
    <d v="2026-01-29T09:33:00"/>
    <d v="2026-01-29T09:44:00"/>
    <n v="4"/>
    <x v="1"/>
    <s v="مكة المكرمة"/>
    <s v="العزيزية"/>
    <s v="مستودع مكة المكرمة"/>
    <n v="2500"/>
    <x v="0"/>
    <x v="0"/>
    <x v="0"/>
    <x v="0"/>
    <x v="2"/>
    <x v="13"/>
  </r>
  <r>
    <s v="ORD-2026-100541"/>
    <s v="CUS37973"/>
    <d v="2026-01-28T00:00:00"/>
    <s v="D023"/>
    <n v="22"/>
    <n v="7.6"/>
    <s v="شاحنة متوسطة"/>
    <s v="10:00-12:00"/>
    <d v="2026-01-28T08:00:00"/>
    <d v="2026-01-28T08:09:00"/>
    <d v="2026-01-28T08:46:00"/>
    <d v="2026-01-28T09:01:00"/>
    <d v="2026-01-28T09:47:00"/>
    <d v="2026-01-28T09:54:00"/>
    <n v="5"/>
    <x v="1"/>
    <s v="مكة المكرمة"/>
    <s v="العزيزية"/>
    <s v="مستودع مكة المكرمة"/>
    <n v="2500"/>
    <x v="0"/>
    <x v="0"/>
    <x v="0"/>
    <x v="0"/>
    <x v="0"/>
    <x v="4"/>
  </r>
  <r>
    <s v="ORD-2026-100542"/>
    <s v="CUS34127"/>
    <d v="2026-01-07T00:00:00"/>
    <s v="D007"/>
    <n v="22"/>
    <n v="6"/>
    <s v="دراجة نارية"/>
    <s v="08:00-10:00"/>
    <d v="2026-01-07T06:36:00"/>
    <d v="2026-01-07T06:43:00"/>
    <d v="2026-01-07T07:28:00"/>
    <d v="2026-01-07T07:45:00"/>
    <d v="2026-01-07T08:00:00"/>
    <d v="2026-01-07T08:24:00"/>
    <n v="7"/>
    <x v="1"/>
    <s v="الرياض"/>
    <s v="السليمانية"/>
    <s v="مستودع الرياض الرئيسي"/>
    <n v="5000"/>
    <x v="0"/>
    <x v="0"/>
    <x v="0"/>
    <x v="0"/>
    <x v="0"/>
    <x v="11"/>
  </r>
  <r>
    <s v="ORD-2026-100543"/>
    <s v="CUS90807"/>
    <d v="2026-01-07T00:00:00"/>
    <s v="D003"/>
    <n v="24"/>
    <n v="5.3"/>
    <s v="سيارة سيدان"/>
    <s v="14:00-16:00"/>
    <d v="2026-01-07T08:03:00"/>
    <d v="2026-01-07T08:23:00"/>
    <d v="2026-01-07T09:41:00"/>
    <d v="2026-01-07T09:51:00"/>
    <d v="2026-01-07T10:45:00"/>
    <d v="2026-01-07T11:17:00"/>
    <n v="3"/>
    <x v="1"/>
    <s v="مكة المكرمة"/>
    <s v="الزاهر"/>
    <s v="مستودع مكة المكرمة"/>
    <n v="2500"/>
    <x v="0"/>
    <x v="1"/>
    <x v="1"/>
    <x v="3"/>
    <x v="0"/>
    <x v="13"/>
  </r>
  <r>
    <s v="ORD-2026-100544"/>
    <s v="CUS14782"/>
    <d v="2026-01-19T00:00:00"/>
    <s v="D011"/>
    <n v="14"/>
    <n v="11.2"/>
    <s v="دراجة نارية"/>
    <s v="14:00-16:00"/>
    <d v="2026-01-19T09:41:00"/>
    <d v="2026-01-19T09:56:00"/>
    <d v="2026-01-19T10:20:00"/>
    <d v="2026-01-19T10:38:00"/>
    <d v="2026-01-19T11:04:00"/>
    <d v="2026-01-19T11:42:00"/>
    <n v="6"/>
    <x v="4"/>
    <s v="الدمام"/>
    <s v="العزيزية"/>
    <s v="مستودع الدمام"/>
    <n v="3000"/>
    <x v="1"/>
    <x v="1"/>
    <x v="3"/>
    <x v="1"/>
    <x v="0"/>
    <x v="8"/>
  </r>
  <r>
    <s v="ORD-2026-100545"/>
    <s v="CUS26350"/>
    <d v="2026-01-28T00:00:00"/>
    <s v="D024"/>
    <n v="39"/>
    <n v="10.199999999999999"/>
    <s v="شاحنة متوسطة"/>
    <s v="14:00-16:00"/>
    <d v="2026-01-28T06:55:00"/>
    <d v="2026-01-28T07:11:00"/>
    <d v="2026-01-28T07:47:00"/>
    <d v="2026-01-28T07:58:00"/>
    <d v="2026-01-28T08:51:00"/>
    <d v="2026-01-28T09:32:00"/>
    <n v="1"/>
    <x v="1"/>
    <s v="جدة"/>
    <s v="الشاطئ"/>
    <s v="مستودع جدة الرئيسي"/>
    <n v="4000"/>
    <x v="0"/>
    <x v="0"/>
    <x v="0"/>
    <x v="0"/>
    <x v="2"/>
    <x v="1"/>
  </r>
  <r>
    <s v="ORD-2026-100546"/>
    <s v="CUS96455"/>
    <d v="2026-03-31T00:00:00"/>
    <s v="D016"/>
    <n v="31"/>
    <n v="6.8"/>
    <s v="شاحنة متوسطة"/>
    <s v="14:00-16:00"/>
    <d v="2026-03-31T08:13:00"/>
    <d v="2026-03-31T08:42:00"/>
    <d v="2026-03-31T09:34:00"/>
    <d v="2026-03-31T09:42:00"/>
    <d v="2026-03-31T10:03:00"/>
    <d v="2026-03-31T10:37:00"/>
    <n v="4"/>
    <x v="1"/>
    <s v="مكة المكرمة"/>
    <s v="أجياد"/>
    <s v="مستودع مكة المكرمة"/>
    <n v="2500"/>
    <x v="0"/>
    <x v="0"/>
    <x v="0"/>
    <x v="0"/>
    <x v="2"/>
    <x v="11"/>
  </r>
  <r>
    <s v="ORD-2026-100547"/>
    <s v="CUS14277"/>
    <d v="2026-03-30T00:00:00"/>
    <s v="D022"/>
    <n v="11"/>
    <n v="12"/>
    <s v="شاحنة صغيرة"/>
    <s v="08:00-10:00"/>
    <d v="2026-03-30T08:46:00"/>
    <d v="2026-03-30T08:51:00"/>
    <d v="2026-03-30T10:19:00"/>
    <d v="2026-03-30T10:37:00"/>
    <d v="2026-03-30T10:53:00"/>
    <d v="2026-03-30T11:29:00"/>
    <n v="6"/>
    <x v="1"/>
    <s v="مكة المكرمة"/>
    <s v="الزاهر"/>
    <s v="مستودع مكة المكرمة"/>
    <n v="2500"/>
    <x v="1"/>
    <x v="0"/>
    <x v="0"/>
    <x v="0"/>
    <x v="2"/>
    <x v="13"/>
  </r>
  <r>
    <s v="ORD-2026-100548"/>
    <s v="CUS39351"/>
    <d v="2026-03-27T00:00:00"/>
    <s v="D010"/>
    <n v="19"/>
    <n v="10.199999999999999"/>
    <s v="شاحنة متوسطة"/>
    <s v="14:00-16:00"/>
    <d v="2026-03-27T06:29:00"/>
    <d v="2026-03-27T06:40:00"/>
    <d v="2026-03-27T07:50:00"/>
    <d v="2026-03-27T07:58:00"/>
    <d v="2026-03-27T08:30:00"/>
    <d v="2026-03-27T09:04:00"/>
    <n v="4"/>
    <x v="1"/>
    <s v="مكة المكرمة"/>
    <s v="الشوقية"/>
    <s v="مستودع مكة المكرمة"/>
    <n v="2500"/>
    <x v="0"/>
    <x v="0"/>
    <x v="0"/>
    <x v="0"/>
    <x v="2"/>
    <x v="6"/>
  </r>
  <r>
    <s v="ORD-2026-100549"/>
    <s v="CUS53920"/>
    <d v="2026-03-06T00:00:00"/>
    <s v="D010"/>
    <n v="24"/>
    <n v="10.7"/>
    <s v="فان"/>
    <s v="18:00-20:00"/>
    <d v="2026-03-06T07:01:00"/>
    <d v="2026-03-06T07:06:00"/>
    <d v="2026-03-06T08:09:00"/>
    <d v="2026-03-06T08:15:00"/>
    <d v="2026-03-06T08:25:00"/>
    <d v="2026-03-06T08:31:00"/>
    <n v="2"/>
    <x v="1"/>
    <s v="الدمام"/>
    <s v="الشاطئ"/>
    <s v="مستودع الدمام"/>
    <n v="3000"/>
    <x v="0"/>
    <x v="0"/>
    <x v="0"/>
    <x v="0"/>
    <x v="0"/>
    <x v="6"/>
  </r>
  <r>
    <s v="ORD-2026-100550"/>
    <s v="CUS26558"/>
    <d v="2026-01-22T00:00:00"/>
    <s v="D019"/>
    <n v="40"/>
    <n v="11.8"/>
    <s v="دراجة نارية"/>
    <s v="16:00-18:00"/>
    <d v="2026-01-22T08:44:00"/>
    <d v="2026-01-22T09:01:00"/>
    <d v="2026-01-22T09:17:00"/>
    <d v="2026-01-22T09:35:00"/>
    <d v="2026-01-22T09:53:00"/>
    <d v="2026-01-22T10:38:00"/>
    <n v="4"/>
    <x v="1"/>
    <s v="مكة المكرمة"/>
    <s v="الشوقية"/>
    <s v="مستودع مكة المكرمة"/>
    <n v="2500"/>
    <x v="0"/>
    <x v="1"/>
    <x v="1"/>
    <x v="4"/>
    <x v="3"/>
    <x v="0"/>
  </r>
  <r>
    <s v="ORD-2026-100551"/>
    <s v="CUS84946"/>
    <d v="2026-03-06T00:00:00"/>
    <s v="D004"/>
    <n v="21"/>
    <n v="10.7"/>
    <s v="دراجة نارية"/>
    <s v="12:00-14:00"/>
    <d v="2026-03-06T06:52:00"/>
    <d v="2026-03-06T06:59:00"/>
    <d v="2026-03-06T07:20:00"/>
    <d v="2026-03-06T07:25:00"/>
    <d v="2026-03-06T08:02:00"/>
    <d v="2026-03-06T08:07:00"/>
    <n v="6"/>
    <x v="1"/>
    <s v="المدينة المنورة"/>
    <s v="العنابس"/>
    <s v="مستودع المدينة المنورة"/>
    <n v="2000"/>
    <x v="0"/>
    <x v="0"/>
    <x v="0"/>
    <x v="0"/>
    <x v="2"/>
    <x v="8"/>
  </r>
  <r>
    <s v="ORD-2026-100552"/>
    <s v="CUS23555"/>
    <d v="2026-02-18T00:00:00"/>
    <s v="D001"/>
    <n v="27"/>
    <n v="5.5"/>
    <s v="دراجة نارية"/>
    <s v="12:00-14:00"/>
    <d v="2026-02-18T06:49:00"/>
    <d v="2026-02-18T07:11:00"/>
    <d v="2026-02-18T07:52:00"/>
    <d v="2026-02-18T08:09:00"/>
    <d v="2026-02-18T09:08:00"/>
    <d v="2026-02-18T09:29:00"/>
    <n v="6"/>
    <x v="6"/>
    <s v="جدة"/>
    <s v="الشاطئ"/>
    <s v="مستودع جدة الرئيسي"/>
    <n v="4000"/>
    <x v="1"/>
    <x v="0"/>
    <x v="0"/>
    <x v="0"/>
    <x v="0"/>
    <x v="13"/>
  </r>
  <r>
    <s v="ORD-2026-100553"/>
    <s v="CUS37563"/>
    <d v="2026-01-15T00:00:00"/>
    <s v="D015"/>
    <n v="11"/>
    <n v="5.0999999999999996"/>
    <s v="سيارة سيدان"/>
    <s v="10:00-12:00"/>
    <d v="2026-01-15T06:23:00"/>
    <d v="2026-01-15T06:30:00"/>
    <d v="2026-01-15T07:43:00"/>
    <d v="2026-01-15T07:59:00"/>
    <d v="2026-01-15T08:22:00"/>
    <d v="2026-01-15T08:52:00"/>
    <n v="1"/>
    <x v="1"/>
    <s v="المدينة المنورة"/>
    <s v="العوالي"/>
    <s v="مستودع المدينة المنورة"/>
    <n v="2000"/>
    <x v="0"/>
    <x v="0"/>
    <x v="0"/>
    <x v="0"/>
    <x v="0"/>
    <x v="8"/>
  </r>
  <r>
    <s v="ORD-2026-100554"/>
    <s v="CUS43357"/>
    <d v="2026-03-29T00:00:00"/>
    <s v="D014"/>
    <n v="33"/>
    <n v="10.5"/>
    <s v="دراجة نارية"/>
    <s v="12:00-14:00"/>
    <d v="2026-03-29T06:02:00"/>
    <d v="2026-03-29T06:12:00"/>
    <d v="2026-03-29T07:34:00"/>
    <d v="2026-03-29T07:40:00"/>
    <d v="2026-03-29T07:57:00"/>
    <d v="2026-03-29T08:23:00"/>
    <n v="3"/>
    <x v="1"/>
    <s v="مكة المكرمة"/>
    <s v="الزاهر"/>
    <s v="مستودع مكة المكرمة"/>
    <n v="2500"/>
    <x v="0"/>
    <x v="0"/>
    <x v="0"/>
    <x v="0"/>
    <x v="3"/>
    <x v="0"/>
  </r>
  <r>
    <s v="ORD-2026-100555"/>
    <s v="CUS55685"/>
    <d v="2026-01-16T00:00:00"/>
    <s v="D007"/>
    <n v="39"/>
    <n v="4.2"/>
    <s v="شاحنة متوسطة"/>
    <s v="20:00-22:00"/>
    <d v="2026-01-16T06:39:00"/>
    <d v="2026-01-16T06:50:00"/>
    <d v="2026-01-16T07:46:00"/>
    <d v="2026-01-16T07:54:00"/>
    <d v="2026-01-16T08:17:00"/>
    <d v="2026-01-16T08:23:00"/>
    <n v="3"/>
    <x v="6"/>
    <s v="المدينة المنورة"/>
    <s v="العوالي"/>
    <s v="مستودع المدينة المنورة"/>
    <n v="2000"/>
    <x v="0"/>
    <x v="1"/>
    <x v="2"/>
    <x v="5"/>
    <x v="2"/>
    <x v="8"/>
  </r>
  <r>
    <s v="ORD-2026-100556"/>
    <s v="CUS73941"/>
    <d v="2026-03-12T00:00:00"/>
    <s v="D021"/>
    <n v="36"/>
    <n v="7.5"/>
    <s v="فان"/>
    <s v="10:00-12:00"/>
    <d v="2026-03-12T07:04:00"/>
    <d v="2026-03-12T07:14:00"/>
    <d v="2026-03-12T07:49:00"/>
    <d v="2026-03-12T08:02:00"/>
    <d v="2026-03-12T08:37:00"/>
    <d v="2026-03-12T08:48:00"/>
    <n v="5"/>
    <x v="1"/>
    <s v="الدمام"/>
    <s v="الجلوية"/>
    <s v="مستودع الدمام"/>
    <n v="3000"/>
    <x v="0"/>
    <x v="0"/>
    <x v="0"/>
    <x v="0"/>
    <x v="3"/>
    <x v="0"/>
  </r>
  <r>
    <s v="ORD-2026-100557"/>
    <s v="CUS43169"/>
    <d v="2026-02-25T00:00:00"/>
    <s v="D029"/>
    <n v="22"/>
    <n v="10.5"/>
    <s v="شاحنة متوسطة"/>
    <s v="08:00-10:00"/>
    <d v="2026-02-25T08:35:00"/>
    <d v="2026-02-25T08:52:00"/>
    <d v="2026-02-25T09:56:00"/>
    <d v="2026-02-25T10:07:00"/>
    <d v="2026-02-25T10:53:00"/>
    <d v="2026-02-25T11:20:00"/>
    <n v="3"/>
    <x v="1"/>
    <s v="مكة المكرمة"/>
    <s v="أجياد"/>
    <s v="مستودع مكة المكرمة"/>
    <n v="2500"/>
    <x v="0"/>
    <x v="0"/>
    <x v="0"/>
    <x v="0"/>
    <x v="0"/>
    <x v="9"/>
  </r>
  <r>
    <s v="ORD-2026-100558"/>
    <s v="CUS11262"/>
    <d v="2026-03-17T00:00:00"/>
    <s v="D014"/>
    <n v="38"/>
    <n v="6.8"/>
    <s v="شاحنة صغيرة"/>
    <s v="08:00-10:00"/>
    <d v="2026-03-17T06:46:00"/>
    <d v="2026-03-17T07:16:00"/>
    <d v="2026-03-17T08:07:00"/>
    <d v="2026-03-17T08:25:00"/>
    <d v="2026-03-17T09:25:00"/>
    <d v="2026-03-17T09:41:00"/>
    <n v="3"/>
    <x v="3"/>
    <s v="الدمام"/>
    <s v="المزروعية"/>
    <s v="مستودع الدمام"/>
    <n v="3000"/>
    <x v="0"/>
    <x v="0"/>
    <x v="0"/>
    <x v="0"/>
    <x v="0"/>
    <x v="8"/>
  </r>
  <r>
    <s v="ORD-2026-100559"/>
    <s v="CUS97994"/>
    <d v="2026-02-10T00:00:00"/>
    <s v="D023"/>
    <n v="18"/>
    <n v="7.7"/>
    <s v="سيارة سيدان"/>
    <s v="10:00-12:00"/>
    <d v="2026-02-10T08:23:00"/>
    <d v="2026-02-10T08:30:00"/>
    <d v="2026-02-10T09:29:00"/>
    <d v="2026-02-10T09:43:00"/>
    <d v="2026-02-10T10:31:00"/>
    <d v="2026-02-10T10:49:00"/>
    <n v="5"/>
    <x v="0"/>
    <s v="الرياض"/>
    <s v="الورود"/>
    <s v="مستودع الرياض الرئيسي"/>
    <n v="5000"/>
    <x v="0"/>
    <x v="0"/>
    <x v="0"/>
    <x v="0"/>
    <x v="0"/>
    <x v="1"/>
  </r>
  <r>
    <s v="ORD-2026-100560"/>
    <s v="CUS12787"/>
    <d v="2026-01-10T00:00:00"/>
    <s v="D019"/>
    <n v="25"/>
    <n v="10.5"/>
    <s v="دراجة نارية"/>
    <s v="10:00-12:00"/>
    <d v="2026-01-10T06:12:00"/>
    <d v="2026-01-10T06:42:00"/>
    <d v="2026-01-10T07:55:00"/>
    <d v="2026-01-10T08:15:00"/>
    <d v="2026-01-10T08:27:00"/>
    <d v="2026-01-10T08:49:00"/>
    <n v="4"/>
    <x v="4"/>
    <s v="مكة المكرمة"/>
    <s v="أجياد"/>
    <s v="مستودع مكة المكرمة"/>
    <n v="2500"/>
    <x v="0"/>
    <x v="0"/>
    <x v="0"/>
    <x v="0"/>
    <x v="2"/>
    <x v="13"/>
  </r>
  <r>
    <s v="ORD-2026-100561"/>
    <s v="CUS55327"/>
    <d v="2026-02-06T00:00:00"/>
    <s v="D001"/>
    <n v="34"/>
    <n v="6.3"/>
    <s v="فان"/>
    <s v="08:00-10:00"/>
    <d v="2026-02-06T09:49:00"/>
    <d v="2026-02-06T10:11:00"/>
    <d v="2026-02-06T11:28:00"/>
    <d v="2026-02-06T11:34:00"/>
    <d v="2026-02-06T12:05:00"/>
    <d v="2026-02-06T12:11:00"/>
    <n v="1"/>
    <x v="1"/>
    <s v="المدينة المنورة"/>
    <s v="العوالي"/>
    <s v="مستودع المدينة المنورة"/>
    <n v="2000"/>
    <x v="0"/>
    <x v="0"/>
    <x v="0"/>
    <x v="0"/>
    <x v="2"/>
    <x v="6"/>
  </r>
  <r>
    <s v="ORD-2026-100562"/>
    <s v="CUS67105"/>
    <d v="2026-02-21T00:00:00"/>
    <s v="D003"/>
    <n v="36"/>
    <n v="8.9"/>
    <s v="فان"/>
    <s v="12:00-14:00"/>
    <d v="2026-02-21T08:58:00"/>
    <d v="2026-02-21T09:17:00"/>
    <d v="2026-02-21T10:30:00"/>
    <d v="2026-02-21T10:38:00"/>
    <d v="2026-02-21T11:11:00"/>
    <d v="2026-02-21T11:55:00"/>
    <n v="1"/>
    <x v="6"/>
    <s v="المدينة المنورة"/>
    <s v="الحرة الغربية"/>
    <s v="مستودع المدينة المنورة"/>
    <n v="2000"/>
    <x v="0"/>
    <x v="0"/>
    <x v="0"/>
    <x v="0"/>
    <x v="0"/>
    <x v="1"/>
  </r>
  <r>
    <s v="ORD-2026-100563"/>
    <s v="CUS59749"/>
    <d v="2026-01-29T00:00:00"/>
    <s v="D006"/>
    <n v="28"/>
    <n v="10.5"/>
    <s v="شاحنة متوسطة"/>
    <s v="08:00-10:00"/>
    <d v="2026-01-29T09:59:00"/>
    <d v="2026-01-29T10:26:00"/>
    <d v="2026-01-29T10:42:00"/>
    <d v="2026-01-29T10:55:00"/>
    <d v="2026-01-29T11:55:00"/>
    <d v="2026-01-29T12:02:00"/>
    <n v="1"/>
    <x v="5"/>
    <s v="الرياض"/>
    <s v="حطين"/>
    <s v="مستودع الرياض الرئيسي"/>
    <n v="5000"/>
    <x v="0"/>
    <x v="0"/>
    <x v="0"/>
    <x v="0"/>
    <x v="2"/>
    <x v="3"/>
  </r>
  <r>
    <s v="ORD-2026-100564"/>
    <s v="CUS52193"/>
    <d v="2026-02-04T00:00:00"/>
    <s v="D023"/>
    <n v="34"/>
    <n v="5"/>
    <s v="سيارة سيدان"/>
    <s v="20:00-22:00"/>
    <d v="2026-02-04T06:37:00"/>
    <d v="2026-02-04T07:06:00"/>
    <d v="2026-02-04T08:30:00"/>
    <d v="2026-02-04T08:48:00"/>
    <d v="2026-02-04T09:38:00"/>
    <d v="2026-02-04T10:11:00"/>
    <n v="6"/>
    <x v="0"/>
    <s v="جدة"/>
    <s v="الزهراء"/>
    <s v="مستودع جدة الرئيسي"/>
    <n v="4000"/>
    <x v="0"/>
    <x v="0"/>
    <x v="0"/>
    <x v="0"/>
    <x v="2"/>
    <x v="11"/>
  </r>
  <r>
    <s v="ORD-2026-100565"/>
    <s v="CUS54623"/>
    <d v="2026-03-03T00:00:00"/>
    <s v="D008"/>
    <n v="23"/>
    <n v="9.6999999999999993"/>
    <s v="سيارة سيدان"/>
    <s v="16:00-18:00"/>
    <d v="2026-03-03T09:33:00"/>
    <d v="2026-03-03T09:45:00"/>
    <d v="2026-03-03T10:21:00"/>
    <d v="2026-03-03T10:28:00"/>
    <d v="2026-03-03T10:42:00"/>
    <d v="2026-03-03T11:18:00"/>
    <n v="1"/>
    <x v="2"/>
    <s v="الرياض"/>
    <s v="الروضة"/>
    <s v="مستودع الرياض الرئيسي"/>
    <n v="5000"/>
    <x v="0"/>
    <x v="0"/>
    <x v="0"/>
    <x v="0"/>
    <x v="3"/>
    <x v="8"/>
  </r>
  <r>
    <s v="ORD-2026-100566"/>
    <s v="CUS65455"/>
    <d v="2026-01-27T00:00:00"/>
    <s v="D027"/>
    <n v="24"/>
    <n v="9.6999999999999993"/>
    <s v="دراجة نارية"/>
    <s v="20:00-22:00"/>
    <d v="2026-01-27T08:09:00"/>
    <d v="2026-01-27T08:17:00"/>
    <d v="2026-01-27T08:43:00"/>
    <d v="2026-01-27T08:55:00"/>
    <d v="2026-01-27T09:28:00"/>
    <d v="2026-01-27T09:57:00"/>
    <n v="4"/>
    <x v="1"/>
    <s v="المدينة المنورة"/>
    <s v="الحرة الغربية"/>
    <s v="مستودع المدينة المنورة"/>
    <n v="2000"/>
    <x v="0"/>
    <x v="0"/>
    <x v="0"/>
    <x v="0"/>
    <x v="3"/>
    <x v="11"/>
  </r>
  <r>
    <s v="ORD-2026-100567"/>
    <s v="CUS21018"/>
    <d v="2026-01-22T00:00:00"/>
    <s v="D022"/>
    <n v="11"/>
    <n v="5.2"/>
    <s v="شاحنة صغيرة"/>
    <s v="18:00-20:00"/>
    <d v="2026-01-22T06:28:00"/>
    <d v="2026-01-22T06:40:00"/>
    <d v="2026-01-22T06:52:00"/>
    <d v="2026-01-22T07:11:00"/>
    <d v="2026-01-22T07:32:00"/>
    <d v="2026-01-22T07:54:00"/>
    <n v="1"/>
    <x v="1"/>
    <s v="الدمام"/>
    <s v="المزروعية"/>
    <s v="مستودع الدمام"/>
    <n v="3000"/>
    <x v="0"/>
    <x v="0"/>
    <x v="0"/>
    <x v="0"/>
    <x v="1"/>
    <x v="9"/>
  </r>
  <r>
    <s v="ORD-2026-100568"/>
    <s v="CUS87863"/>
    <d v="2026-02-15T00:00:00"/>
    <s v="D014"/>
    <n v="30"/>
    <n v="8"/>
    <s v="شاحنة متوسطة"/>
    <s v="12:00-14:00"/>
    <d v="2026-02-15T06:13:00"/>
    <d v="2026-02-15T06:32:00"/>
    <d v="2026-02-15T07:16:00"/>
    <d v="2026-02-15T07:32:00"/>
    <d v="2026-02-15T07:48:00"/>
    <d v="2026-02-15T07:56:00"/>
    <n v="6"/>
    <x v="1"/>
    <s v="جدة"/>
    <s v="الزهراء"/>
    <s v="مستودع جدة الرئيسي"/>
    <n v="4000"/>
    <x v="1"/>
    <x v="0"/>
    <x v="0"/>
    <x v="0"/>
    <x v="3"/>
    <x v="14"/>
  </r>
  <r>
    <s v="ORD-2026-100569"/>
    <s v="CUS63026"/>
    <d v="2026-02-05T00:00:00"/>
    <s v="D017"/>
    <n v="38"/>
    <n v="7.5"/>
    <s v="شاحنة صغيرة"/>
    <s v="18:00-20:00"/>
    <d v="2026-02-05T07:03:00"/>
    <d v="2026-02-05T07:11:00"/>
    <d v="2026-02-05T07:49:00"/>
    <d v="2026-02-05T07:57:00"/>
    <d v="2026-02-05T08:10:00"/>
    <d v="2026-02-05T08:17:00"/>
    <n v="5"/>
    <x v="6"/>
    <s v="المدينة المنورة"/>
    <s v="العنابس"/>
    <s v="مستودع المدينة المنورة"/>
    <n v="2000"/>
    <x v="0"/>
    <x v="0"/>
    <x v="0"/>
    <x v="0"/>
    <x v="0"/>
    <x v="0"/>
  </r>
  <r>
    <s v="ORD-2026-100570"/>
    <s v="CUS41276"/>
    <d v="2026-02-20T00:00:00"/>
    <s v="D013"/>
    <n v="22"/>
    <n v="8"/>
    <s v="دراجة نارية"/>
    <s v="20:00-22:00"/>
    <d v="2026-02-20T06:52:00"/>
    <d v="2026-02-20T07:08:00"/>
    <d v="2026-02-20T07:54:00"/>
    <d v="2026-02-20T08:08:00"/>
    <d v="2026-02-20T09:04:00"/>
    <d v="2026-02-20T09:09:00"/>
    <n v="1"/>
    <x v="2"/>
    <s v="الرياض"/>
    <s v="حطين"/>
    <s v="مستودع الرياض الرئيسي"/>
    <n v="5000"/>
    <x v="0"/>
    <x v="0"/>
    <x v="0"/>
    <x v="0"/>
    <x v="0"/>
    <x v="0"/>
  </r>
  <r>
    <s v="ORD-2026-100571"/>
    <s v="CUS87857"/>
    <d v="2026-01-22T00:00:00"/>
    <s v="D011"/>
    <n v="16"/>
    <n v="6.7"/>
    <s v="فان"/>
    <s v="10:00-12:00"/>
    <d v="2026-01-22T06:03:00"/>
    <d v="2026-01-22T06:29:00"/>
    <d v="2026-01-22T07:39:00"/>
    <d v="2026-01-22T07:57:00"/>
    <d v="2026-01-22T08:28:00"/>
    <d v="2026-01-22T08:34:00"/>
    <n v="2"/>
    <x v="1"/>
    <s v="الرياض"/>
    <s v="الملقا"/>
    <s v="مستودع الرياض الرئيسي"/>
    <n v="5000"/>
    <x v="0"/>
    <x v="0"/>
    <x v="0"/>
    <x v="0"/>
    <x v="0"/>
    <x v="7"/>
  </r>
  <r>
    <s v="ORD-2026-100572"/>
    <s v="CUS69325"/>
    <d v="2026-02-15T00:00:00"/>
    <s v="D016"/>
    <n v="36"/>
    <n v="11"/>
    <s v="فان"/>
    <s v="08:00-10:00"/>
    <d v="2026-02-15T06:11:00"/>
    <d v="2026-02-15T06:16:00"/>
    <d v="2026-02-15T07:38:00"/>
    <d v="2026-02-15T07:52:00"/>
    <d v="2026-02-15T08:16:00"/>
    <d v="2026-02-15T08:54:00"/>
    <n v="5"/>
    <x v="3"/>
    <s v="المدينة المنورة"/>
    <s v="العوالي"/>
    <s v="مستودع المدينة المنورة"/>
    <n v="2000"/>
    <x v="0"/>
    <x v="0"/>
    <x v="0"/>
    <x v="0"/>
    <x v="0"/>
    <x v="6"/>
  </r>
  <r>
    <s v="ORD-2026-100573"/>
    <s v="CUS93859"/>
    <d v="2026-03-04T00:00:00"/>
    <s v="D024"/>
    <n v="21"/>
    <n v="9.3000000000000007"/>
    <s v="سيارة سيدان"/>
    <s v="12:00-14:00"/>
    <d v="2026-03-04T07:57:00"/>
    <d v="2026-03-04T08:02:00"/>
    <d v="2026-03-04T08:57:00"/>
    <d v="2026-03-04T09:11:00"/>
    <d v="2026-03-04T10:06:00"/>
    <d v="2026-03-04T10:32:00"/>
    <n v="5"/>
    <x v="1"/>
    <s v="الدمام"/>
    <s v="المزروعية"/>
    <s v="مستودع الدمام"/>
    <n v="3000"/>
    <x v="0"/>
    <x v="1"/>
    <x v="3"/>
    <x v="3"/>
    <x v="3"/>
    <x v="9"/>
  </r>
  <r>
    <s v="ORD-2026-100574"/>
    <s v="CUS98971"/>
    <d v="2026-01-03T00:00:00"/>
    <s v="D005"/>
    <n v="14"/>
    <n v="6.9"/>
    <s v="شاحنة صغيرة"/>
    <s v="10:00-12:00"/>
    <d v="2026-01-03T08:27:00"/>
    <d v="2026-01-03T08:55:00"/>
    <d v="2026-01-03T10:00:00"/>
    <d v="2026-01-03T10:16:00"/>
    <d v="2026-01-03T10:39:00"/>
    <d v="2026-01-03T10:49:00"/>
    <n v="2"/>
    <x v="1"/>
    <s v="مكة المكرمة"/>
    <s v="الشوقية"/>
    <s v="مستودع مكة المكرمة"/>
    <n v="2500"/>
    <x v="0"/>
    <x v="0"/>
    <x v="0"/>
    <x v="0"/>
    <x v="3"/>
    <x v="10"/>
  </r>
  <r>
    <s v="ORD-2026-100575"/>
    <s v="CUS55481"/>
    <d v="2026-03-11T00:00:00"/>
    <s v="D029"/>
    <n v="16"/>
    <n v="6.1"/>
    <s v="سيارة سيدان"/>
    <s v="12:00-14:00"/>
    <d v="2026-03-11T07:40:00"/>
    <d v="2026-03-11T08:03:00"/>
    <d v="2026-03-11T09:06:00"/>
    <d v="2026-03-11T09:19:00"/>
    <d v="2026-03-11T09:48:00"/>
    <d v="2026-03-11T10:05:00"/>
    <n v="1"/>
    <x v="1"/>
    <s v="مكة المكرمة"/>
    <s v="المسفلة"/>
    <s v="مستودع مكة المكرمة"/>
    <n v="2500"/>
    <x v="0"/>
    <x v="1"/>
    <x v="0"/>
    <x v="4"/>
    <x v="0"/>
    <x v="13"/>
  </r>
  <r>
    <s v="ORD-2026-100576"/>
    <s v="CUS26178"/>
    <d v="2026-02-06T00:00:00"/>
    <s v="D004"/>
    <n v="14"/>
    <n v="7.7"/>
    <s v="دراجة نارية"/>
    <s v="16:00-18:00"/>
    <d v="2026-02-06T07:14:00"/>
    <d v="2026-02-06T07:38:00"/>
    <d v="2026-02-06T08:59:00"/>
    <d v="2026-02-06T09:09:00"/>
    <d v="2026-02-06T09:38:00"/>
    <d v="2026-02-06T10:14:00"/>
    <n v="3"/>
    <x v="5"/>
    <s v="الرياض"/>
    <s v="الربوة"/>
    <s v="مستودع الرياض الرئيسي"/>
    <n v="5000"/>
    <x v="0"/>
    <x v="0"/>
    <x v="0"/>
    <x v="0"/>
    <x v="2"/>
    <x v="13"/>
  </r>
  <r>
    <s v="ORD-2026-100577"/>
    <s v="CUS66629"/>
    <d v="2026-01-07T00:00:00"/>
    <s v="D016"/>
    <n v="32"/>
    <n v="6.8"/>
    <s v="شاحنة صغيرة"/>
    <s v="08:00-10:00"/>
    <d v="2026-01-07T07:04:00"/>
    <d v="2026-01-07T07:13:00"/>
    <d v="2026-01-07T08:07:00"/>
    <d v="2026-01-07T08:21:00"/>
    <d v="2026-01-07T09:21:00"/>
    <d v="2026-01-07T09:58:00"/>
    <n v="6"/>
    <x v="1"/>
    <s v="الدمام"/>
    <s v="العزيزية"/>
    <s v="مستودع الدمام"/>
    <n v="3000"/>
    <x v="0"/>
    <x v="1"/>
    <x v="2"/>
    <x v="2"/>
    <x v="0"/>
    <x v="2"/>
  </r>
  <r>
    <s v="ORD-2026-100578"/>
    <s v="CUS52268"/>
    <d v="2026-03-16T00:00:00"/>
    <s v="D030"/>
    <n v="19"/>
    <n v="4.3"/>
    <s v="سيارة سيدان"/>
    <s v="10:00-12:00"/>
    <d v="2026-03-16T09:27:00"/>
    <d v="2026-03-16T09:53:00"/>
    <d v="2026-03-16T10:52:00"/>
    <d v="2026-03-16T11:10:00"/>
    <d v="2026-03-16T11:45:00"/>
    <d v="2026-03-16T11:56:00"/>
    <n v="3"/>
    <x v="1"/>
    <s v="الرياض"/>
    <s v="الروضة"/>
    <s v="مستودع الرياض الرئيسي"/>
    <n v="5000"/>
    <x v="0"/>
    <x v="0"/>
    <x v="0"/>
    <x v="0"/>
    <x v="2"/>
    <x v="5"/>
  </r>
  <r>
    <s v="ORD-2026-100579"/>
    <s v="CUS51059"/>
    <d v="2026-03-16T00:00:00"/>
    <s v="D005"/>
    <n v="13"/>
    <n v="7.3"/>
    <s v="دراجة نارية"/>
    <s v="12:00-14:00"/>
    <d v="2026-03-16T07:18:00"/>
    <d v="2026-03-16T07:25:00"/>
    <d v="2026-03-16T08:13:00"/>
    <d v="2026-03-16T08:32:00"/>
    <d v="2026-03-16T09:16:00"/>
    <d v="2026-03-16T09:32:00"/>
    <n v="4"/>
    <x v="1"/>
    <s v="جدة"/>
    <s v="الروضة"/>
    <s v="مستودع جدة الرئيسي"/>
    <n v="4000"/>
    <x v="0"/>
    <x v="0"/>
    <x v="0"/>
    <x v="0"/>
    <x v="2"/>
    <x v="0"/>
  </r>
  <r>
    <s v="ORD-2026-100580"/>
    <s v="CUS58904"/>
    <d v="2026-03-06T00:00:00"/>
    <s v="D030"/>
    <n v="27"/>
    <n v="7.4"/>
    <s v="فان"/>
    <s v="14:00-16:00"/>
    <d v="2026-03-06T07:58:00"/>
    <d v="2026-03-06T08:03:00"/>
    <d v="2026-03-06T09:24:00"/>
    <d v="2026-03-06T09:29:00"/>
    <d v="2026-03-06T10:28:00"/>
    <d v="2026-03-06T10:59:00"/>
    <n v="1"/>
    <x v="1"/>
    <s v="الدمام"/>
    <s v="الجلوية"/>
    <s v="مستودع الدمام"/>
    <n v="3000"/>
    <x v="0"/>
    <x v="0"/>
    <x v="0"/>
    <x v="0"/>
    <x v="3"/>
    <x v="9"/>
  </r>
  <r>
    <s v="ORD-2026-100581"/>
    <s v="CUS53710"/>
    <d v="2026-01-17T00:00:00"/>
    <s v="D020"/>
    <n v="8"/>
    <n v="10"/>
    <s v="فان"/>
    <s v="10:00-12:00"/>
    <d v="2026-01-17T07:43:00"/>
    <d v="2026-01-17T08:09:00"/>
    <d v="2026-01-17T08:19:00"/>
    <d v="2026-01-17T08:38:00"/>
    <d v="2026-01-17T09:36:00"/>
    <d v="2026-01-17T10:14:00"/>
    <n v="4"/>
    <x v="1"/>
    <s v="المدينة المنورة"/>
    <s v="الحرة الغربية"/>
    <s v="مستودع المدينة المنورة"/>
    <n v="2000"/>
    <x v="0"/>
    <x v="0"/>
    <x v="0"/>
    <x v="0"/>
    <x v="0"/>
    <x v="8"/>
  </r>
  <r>
    <s v="ORD-2026-100582"/>
    <s v="CUS30286"/>
    <d v="2026-03-18T00:00:00"/>
    <s v="D004"/>
    <n v="35"/>
    <n v="9.5"/>
    <s v="شاحنة صغيرة"/>
    <s v="08:00-10:00"/>
    <d v="2026-03-18T09:09:00"/>
    <d v="2026-03-18T09:32:00"/>
    <d v="2026-03-18T10:47:00"/>
    <d v="2026-03-18T10:53:00"/>
    <d v="2026-03-18T11:47:00"/>
    <d v="2026-03-18T12:05:00"/>
    <n v="5"/>
    <x v="2"/>
    <s v="الدمام"/>
    <s v="المزروعية"/>
    <s v="مستودع الدمام"/>
    <n v="3000"/>
    <x v="1"/>
    <x v="0"/>
    <x v="0"/>
    <x v="0"/>
    <x v="0"/>
    <x v="10"/>
  </r>
  <r>
    <s v="ORD-2026-100583"/>
    <s v="CUS25966"/>
    <d v="2026-02-08T00:00:00"/>
    <s v="D021"/>
    <n v="36"/>
    <n v="9"/>
    <s v="دراجة نارية"/>
    <s v="08:00-10:00"/>
    <d v="2026-02-08T06:17:00"/>
    <d v="2026-02-08T06:22:00"/>
    <d v="2026-02-08T06:51:00"/>
    <d v="2026-02-08T06:59:00"/>
    <d v="2026-02-08T07:42:00"/>
    <d v="2026-02-08T07:53:00"/>
    <n v="2"/>
    <x v="4"/>
    <s v="الدمام"/>
    <s v="العزيزية"/>
    <s v="مستودع الدمام"/>
    <n v="3000"/>
    <x v="0"/>
    <x v="0"/>
    <x v="0"/>
    <x v="0"/>
    <x v="2"/>
    <x v="5"/>
  </r>
  <r>
    <s v="ORD-2026-100584"/>
    <s v="CUS81654"/>
    <d v="2026-02-08T00:00:00"/>
    <s v="D013"/>
    <n v="20"/>
    <n v="10.7"/>
    <s v="شاحنة متوسطة"/>
    <s v="12:00-14:00"/>
    <d v="2026-02-08T09:30:00"/>
    <d v="2026-02-08T09:54:00"/>
    <d v="2026-02-08T11:00:00"/>
    <d v="2026-02-08T11:08:00"/>
    <d v="2026-02-08T11:45:00"/>
    <d v="2026-02-08T11:59:00"/>
    <n v="6"/>
    <x v="3"/>
    <s v="مكة المكرمة"/>
    <s v="الشوقية"/>
    <s v="مستودع مكة المكرمة"/>
    <n v="2500"/>
    <x v="0"/>
    <x v="0"/>
    <x v="0"/>
    <x v="0"/>
    <x v="3"/>
    <x v="0"/>
  </r>
  <r>
    <s v="ORD-2026-100585"/>
    <s v="CUS61043"/>
    <d v="2026-01-26T00:00:00"/>
    <s v="D016"/>
    <n v="23"/>
    <n v="9.3000000000000007"/>
    <s v="شاحنة متوسطة"/>
    <s v="14:00-16:00"/>
    <d v="2026-01-26T07:34:00"/>
    <d v="2026-01-26T08:00:00"/>
    <d v="2026-01-26T08:45:00"/>
    <d v="2026-01-26T09:02:00"/>
    <d v="2026-01-26T09:36:00"/>
    <d v="2026-01-26T09:47:00"/>
    <n v="4"/>
    <x v="1"/>
    <s v="مكة المكرمة"/>
    <s v="الزاهر"/>
    <s v="مستودع مكة المكرمة"/>
    <n v="2500"/>
    <x v="0"/>
    <x v="0"/>
    <x v="0"/>
    <x v="0"/>
    <x v="2"/>
    <x v="13"/>
  </r>
  <r>
    <s v="ORD-2026-100586"/>
    <s v="CUS61199"/>
    <d v="2026-01-02T00:00:00"/>
    <s v="D019"/>
    <n v="33"/>
    <n v="4.3"/>
    <s v="سيارة سيدان"/>
    <s v="10:00-12:00"/>
    <d v="2026-01-02T07:59:00"/>
    <d v="2026-01-02T08:27:00"/>
    <d v="2026-01-02T09:35:00"/>
    <d v="2026-01-02T09:48:00"/>
    <d v="2026-01-02T09:58:00"/>
    <d v="2026-01-02T10:13:00"/>
    <n v="3"/>
    <x v="1"/>
    <s v="الدمام"/>
    <s v="العزيزية"/>
    <s v="مستودع الدمام"/>
    <n v="3000"/>
    <x v="0"/>
    <x v="0"/>
    <x v="0"/>
    <x v="0"/>
    <x v="0"/>
    <x v="9"/>
  </r>
  <r>
    <s v="ORD-2026-100587"/>
    <s v="CUS96364"/>
    <d v="2026-03-07T00:00:00"/>
    <s v="D003"/>
    <n v="14"/>
    <n v="6.8"/>
    <s v="شاحنة متوسطة"/>
    <s v="12:00-14:00"/>
    <d v="2026-03-07T07:57:00"/>
    <d v="2026-03-07T08:24:00"/>
    <d v="2026-03-07T08:51:00"/>
    <d v="2026-03-07T09:04:00"/>
    <d v="2026-03-07T10:04:00"/>
    <d v="2026-03-07T10:28:00"/>
    <n v="4"/>
    <x v="2"/>
    <s v="جدة"/>
    <s v="الصفا"/>
    <s v="مستودع جدة الرئيسي"/>
    <n v="4000"/>
    <x v="0"/>
    <x v="1"/>
    <x v="1"/>
    <x v="6"/>
    <x v="0"/>
    <x v="9"/>
  </r>
  <r>
    <s v="ORD-2026-100588"/>
    <s v="CUS72444"/>
    <d v="2026-03-09T00:00:00"/>
    <s v="D009"/>
    <n v="25"/>
    <n v="8.6999999999999993"/>
    <s v="شاحنة متوسطة"/>
    <s v="12:00-14:00"/>
    <d v="2026-03-09T08:29:00"/>
    <d v="2026-03-09T08:53:00"/>
    <d v="2026-03-09T09:54:00"/>
    <d v="2026-03-09T10:01:00"/>
    <d v="2026-03-09T10:13:00"/>
    <d v="2026-03-09T10:19:00"/>
    <n v="7"/>
    <x v="1"/>
    <s v="جدة"/>
    <s v="الصفا"/>
    <s v="مستودع جدة الرئيسي"/>
    <n v="4000"/>
    <x v="0"/>
    <x v="0"/>
    <x v="0"/>
    <x v="0"/>
    <x v="2"/>
    <x v="10"/>
  </r>
  <r>
    <s v="ORD-2026-100589"/>
    <s v="CUS13861"/>
    <d v="2026-02-11T00:00:00"/>
    <s v="D025"/>
    <n v="20"/>
    <n v="4.8"/>
    <s v="دراجة نارية"/>
    <s v="18:00-20:00"/>
    <d v="2026-02-11T09:48:00"/>
    <d v="2026-02-11T10:05:00"/>
    <d v="2026-02-11T11:08:00"/>
    <d v="2026-02-11T11:15:00"/>
    <d v="2026-02-11T11:28:00"/>
    <d v="2026-02-11T12:12:00"/>
    <n v="3"/>
    <x v="2"/>
    <s v="جدة"/>
    <s v="الأندلس"/>
    <s v="مستودع جدة الرئيسي"/>
    <n v="4000"/>
    <x v="0"/>
    <x v="0"/>
    <x v="0"/>
    <x v="0"/>
    <x v="2"/>
    <x v="1"/>
  </r>
  <r>
    <s v="ORD-2026-100590"/>
    <s v="CUS86298"/>
    <d v="2026-01-23T00:00:00"/>
    <s v="D011"/>
    <n v="29"/>
    <n v="5.0999999999999996"/>
    <s v="شاحنة متوسطة"/>
    <s v="16:00-18:00"/>
    <d v="2026-01-23T06:51:00"/>
    <d v="2026-01-23T07:02:00"/>
    <d v="2026-01-23T07:44:00"/>
    <d v="2026-01-23T08:04:00"/>
    <d v="2026-01-23T08:42:00"/>
    <d v="2026-01-23T09:05:00"/>
    <n v="2"/>
    <x v="3"/>
    <s v="الرياض"/>
    <s v="الربوة"/>
    <s v="مستودع الرياض الرئيسي"/>
    <n v="5000"/>
    <x v="0"/>
    <x v="0"/>
    <x v="0"/>
    <x v="0"/>
    <x v="0"/>
    <x v="8"/>
  </r>
  <r>
    <s v="ORD-2026-100591"/>
    <s v="CUS37194"/>
    <d v="2026-01-04T00:00:00"/>
    <s v="D021"/>
    <n v="7"/>
    <n v="10.5"/>
    <s v="شاحنة صغيرة"/>
    <s v="12:00-14:00"/>
    <d v="2026-01-04T09:18:00"/>
    <d v="2026-01-04T09:36:00"/>
    <d v="2026-01-04T10:58:00"/>
    <d v="2026-01-04T11:05:00"/>
    <d v="2026-01-04T11:36:00"/>
    <d v="2026-01-04T11:52:00"/>
    <n v="6"/>
    <x v="1"/>
    <s v="الرياض"/>
    <s v="حطين"/>
    <s v="مستودع الرياض الرئيسي"/>
    <n v="5000"/>
    <x v="0"/>
    <x v="0"/>
    <x v="0"/>
    <x v="0"/>
    <x v="2"/>
    <x v="1"/>
  </r>
  <r>
    <s v="ORD-2026-100592"/>
    <s v="CUS25456"/>
    <d v="2026-03-15T00:00:00"/>
    <s v="D027"/>
    <n v="27"/>
    <n v="6.9"/>
    <s v="شاحنة متوسطة"/>
    <s v="20:00-22:00"/>
    <d v="2026-03-15T06:35:00"/>
    <d v="2026-03-15T07:05:00"/>
    <d v="2026-03-15T07:23:00"/>
    <d v="2026-03-15T07:42:00"/>
    <d v="2026-03-15T08:19:00"/>
    <d v="2026-03-15T09:04:00"/>
    <n v="4"/>
    <x v="1"/>
    <s v="مكة المكرمة"/>
    <s v="المسفلة"/>
    <s v="مستودع مكة المكرمة"/>
    <n v="2500"/>
    <x v="0"/>
    <x v="0"/>
    <x v="0"/>
    <x v="0"/>
    <x v="2"/>
    <x v="8"/>
  </r>
  <r>
    <s v="ORD-2026-100593"/>
    <s v="CUS62326"/>
    <d v="2026-03-05T00:00:00"/>
    <s v="D008"/>
    <n v="6"/>
    <n v="5.8"/>
    <s v="سيارة سيدان"/>
    <s v="20:00-22:00"/>
    <d v="2026-03-05T07:04:00"/>
    <d v="2026-03-05T07:21:00"/>
    <d v="2026-03-05T08:16:00"/>
    <d v="2026-03-05T08:23:00"/>
    <d v="2026-03-05T08:43:00"/>
    <d v="2026-03-05T09:06:00"/>
    <n v="1"/>
    <x v="1"/>
    <s v="الرياض"/>
    <s v="الورود"/>
    <s v="مستودع الرياض الرئيسي"/>
    <n v="5000"/>
    <x v="0"/>
    <x v="0"/>
    <x v="0"/>
    <x v="0"/>
    <x v="2"/>
    <x v="11"/>
  </r>
  <r>
    <s v="ORD-2026-100594"/>
    <s v="CUS96944"/>
    <d v="2026-03-21T00:00:00"/>
    <s v="D002"/>
    <n v="35"/>
    <n v="11.5"/>
    <s v="سيارة سيدان"/>
    <s v="18:00-20:00"/>
    <d v="2026-03-21T06:07:00"/>
    <d v="2026-03-21T06:13:00"/>
    <d v="2026-03-21T07:06:00"/>
    <d v="2026-03-21T07:24:00"/>
    <d v="2026-03-21T07:50:00"/>
    <d v="2026-03-21T08:07:00"/>
    <n v="3"/>
    <x v="1"/>
    <s v="المدينة المنورة"/>
    <s v="العوالي"/>
    <s v="مستودع المدينة المنورة"/>
    <n v="2000"/>
    <x v="0"/>
    <x v="0"/>
    <x v="0"/>
    <x v="0"/>
    <x v="0"/>
    <x v="6"/>
  </r>
  <r>
    <s v="ORD-2026-100595"/>
    <s v="CUS66559"/>
    <d v="2026-01-08T00:00:00"/>
    <s v="D008"/>
    <n v="7"/>
    <n v="6.8"/>
    <s v="شاحنة صغيرة"/>
    <s v="14:00-16:00"/>
    <d v="2026-01-08T08:33:00"/>
    <d v="2026-01-08T09:01:00"/>
    <d v="2026-01-08T10:29:00"/>
    <d v="2026-01-08T10:36:00"/>
    <d v="2026-01-08T11:21:00"/>
    <d v="2026-01-08T11:56:00"/>
    <n v="2"/>
    <x v="6"/>
    <s v="مكة المكرمة"/>
    <s v="العزيزية"/>
    <s v="مستودع مكة المكرمة"/>
    <n v="2500"/>
    <x v="0"/>
    <x v="0"/>
    <x v="0"/>
    <x v="0"/>
    <x v="3"/>
    <x v="6"/>
  </r>
  <r>
    <s v="ORD-2026-100596"/>
    <s v="CUS67403"/>
    <d v="2026-03-03T00:00:00"/>
    <s v="D010"/>
    <n v="8"/>
    <n v="4.2"/>
    <s v="دراجة نارية"/>
    <s v="16:00-18:00"/>
    <d v="2026-03-03T08:35:00"/>
    <d v="2026-03-03T08:52:00"/>
    <d v="2026-03-03T09:04:00"/>
    <d v="2026-03-03T09:24:00"/>
    <d v="2026-03-03T09:37:00"/>
    <d v="2026-03-03T10:06:00"/>
    <n v="7"/>
    <x v="1"/>
    <s v="جدة"/>
    <s v="الحمراء"/>
    <s v="مستودع جدة الرئيسي"/>
    <n v="4000"/>
    <x v="0"/>
    <x v="0"/>
    <x v="0"/>
    <x v="0"/>
    <x v="2"/>
    <x v="8"/>
  </r>
  <r>
    <s v="ORD-2026-100597"/>
    <s v="CUS11952"/>
    <d v="2026-01-16T00:00:00"/>
    <s v="D029"/>
    <n v="27"/>
    <n v="5.5"/>
    <s v="فان"/>
    <s v="08:00-10:00"/>
    <d v="2026-01-16T07:00:00"/>
    <d v="2026-01-16T07:12:00"/>
    <d v="2026-01-16T07:33:00"/>
    <d v="2026-01-16T07:38:00"/>
    <d v="2026-01-16T08:02:00"/>
    <d v="2026-01-16T08:33:00"/>
    <n v="6"/>
    <x v="1"/>
    <s v="المدينة المنورة"/>
    <s v="الحرة الغربية"/>
    <s v="مستودع المدينة المنورة"/>
    <n v="2000"/>
    <x v="0"/>
    <x v="0"/>
    <x v="0"/>
    <x v="0"/>
    <x v="4"/>
    <x v="3"/>
  </r>
  <r>
    <s v="ORD-2026-100598"/>
    <s v="CUS36982"/>
    <d v="2026-02-01T00:00:00"/>
    <s v="D027"/>
    <n v="8"/>
    <n v="5"/>
    <s v="دراجة نارية"/>
    <s v="12:00-14:00"/>
    <d v="2026-02-01T06:11:00"/>
    <d v="2026-02-01T06:26:00"/>
    <d v="2026-02-01T07:20:00"/>
    <d v="2026-02-01T07:32:00"/>
    <d v="2026-02-01T08:00:00"/>
    <d v="2026-02-01T08:13:00"/>
    <n v="5"/>
    <x v="1"/>
    <s v="الرياض"/>
    <s v="النزهة"/>
    <s v="مستودع الرياض الرئيسي"/>
    <n v="5000"/>
    <x v="0"/>
    <x v="0"/>
    <x v="0"/>
    <x v="0"/>
    <x v="1"/>
    <x v="9"/>
  </r>
  <r>
    <s v="ORD-2026-100599"/>
    <s v="CUS20282"/>
    <d v="2026-03-05T00:00:00"/>
    <s v="D023"/>
    <n v="33"/>
    <n v="9.6999999999999993"/>
    <s v="سيارة سيدان"/>
    <s v="20:00-22:00"/>
    <d v="2026-03-05T08:21:00"/>
    <d v="2026-03-05T08:35:00"/>
    <d v="2026-03-05T09:16:00"/>
    <d v="2026-03-05T09:29:00"/>
    <d v="2026-03-05T09:59:00"/>
    <d v="2026-03-05T10:38:00"/>
    <n v="5"/>
    <x v="5"/>
    <s v="الدمام"/>
    <s v="الفيصلية"/>
    <s v="مستودع الدمام"/>
    <n v="3000"/>
    <x v="0"/>
    <x v="0"/>
    <x v="0"/>
    <x v="0"/>
    <x v="2"/>
    <x v="11"/>
  </r>
  <r>
    <s v="ORD-2026-100600"/>
    <s v="CUS46433"/>
    <d v="2026-01-27T00:00:00"/>
    <s v="D030"/>
    <n v="38"/>
    <n v="5.8"/>
    <s v="شاحنة متوسطة"/>
    <s v="10:00-12:00"/>
    <d v="2026-01-27T06:31:00"/>
    <d v="2026-01-27T06:47:00"/>
    <d v="2026-01-27T07:15:00"/>
    <d v="2026-01-27T07:21:00"/>
    <d v="2026-01-27T07:46:00"/>
    <d v="2026-01-27T08:19:00"/>
    <n v="6"/>
    <x v="1"/>
    <s v="جدة"/>
    <s v="الأندلس"/>
    <s v="مستودع جدة الرئيسي"/>
    <n v="4000"/>
    <x v="1"/>
    <x v="0"/>
    <x v="0"/>
    <x v="0"/>
    <x v="0"/>
    <x v="11"/>
  </r>
  <r>
    <s v="ORD-2026-100601"/>
    <s v="CUS80981"/>
    <d v="2026-03-17T00:00:00"/>
    <s v="D013"/>
    <n v="8"/>
    <n v="6.2"/>
    <s v="شاحنة متوسطة"/>
    <s v="14:00-16:00"/>
    <d v="2026-03-17T08:06:00"/>
    <d v="2026-03-17T08:11:00"/>
    <d v="2026-03-17T09:09:00"/>
    <d v="2026-03-17T09:26:00"/>
    <d v="2026-03-17T10:04:00"/>
    <d v="2026-03-17T10:11:00"/>
    <n v="2"/>
    <x v="3"/>
    <s v="الدمام"/>
    <s v="العزيزية"/>
    <s v="مستودع الدمام"/>
    <n v="3000"/>
    <x v="0"/>
    <x v="0"/>
    <x v="0"/>
    <x v="0"/>
    <x v="0"/>
    <x v="7"/>
  </r>
  <r>
    <s v="ORD-2026-100602"/>
    <s v="CUS84488"/>
    <d v="2026-02-14T00:00:00"/>
    <s v="D030"/>
    <n v="21"/>
    <n v="10.5"/>
    <s v="شاحنة متوسطة"/>
    <s v="10:00-12:00"/>
    <d v="2026-02-14T09:13:00"/>
    <d v="2026-02-14T09:18:00"/>
    <d v="2026-02-14T10:11:00"/>
    <d v="2026-02-14T10:29:00"/>
    <d v="2026-02-14T11:06:00"/>
    <d v="2026-02-14T11:14:00"/>
    <n v="7"/>
    <x v="4"/>
    <s v="الرياض"/>
    <s v="الورود"/>
    <s v="مستودع الرياض الرئيسي"/>
    <n v="5000"/>
    <x v="1"/>
    <x v="1"/>
    <x v="2"/>
    <x v="6"/>
    <x v="2"/>
    <x v="13"/>
  </r>
  <r>
    <s v="ORD-2026-100603"/>
    <s v="CUS45225"/>
    <d v="2026-03-08T00:00:00"/>
    <s v="D009"/>
    <n v="34"/>
    <n v="10"/>
    <s v="دراجة نارية"/>
    <s v="10:00-12:00"/>
    <d v="2026-03-08T09:52:00"/>
    <d v="2026-03-08T09:57:00"/>
    <d v="2026-03-08T10:42:00"/>
    <d v="2026-03-08T10:55:00"/>
    <d v="2026-03-08T11:10:00"/>
    <d v="2026-03-08T11:30:00"/>
    <n v="7"/>
    <x v="1"/>
    <s v="جدة"/>
    <s v="الشاطئ"/>
    <s v="مستودع جدة الرئيسي"/>
    <n v="4000"/>
    <x v="0"/>
    <x v="0"/>
    <x v="0"/>
    <x v="0"/>
    <x v="2"/>
    <x v="6"/>
  </r>
  <r>
    <s v="ORD-2026-100604"/>
    <s v="CUS63557"/>
    <d v="2026-03-26T00:00:00"/>
    <s v="D009"/>
    <n v="12"/>
    <n v="6.5"/>
    <s v="سيارة سيدان"/>
    <s v="20:00-22:00"/>
    <d v="2026-03-26T07:07:00"/>
    <d v="2026-03-26T07:17:00"/>
    <d v="2026-03-26T08:23:00"/>
    <d v="2026-03-26T08:42:00"/>
    <d v="2026-03-26T08:53:00"/>
    <d v="2026-03-26T09:26:00"/>
    <n v="1"/>
    <x v="1"/>
    <s v="المدينة المنورة"/>
    <s v="العوالي"/>
    <s v="مستودع المدينة المنورة"/>
    <n v="2000"/>
    <x v="1"/>
    <x v="0"/>
    <x v="0"/>
    <x v="0"/>
    <x v="0"/>
    <x v="2"/>
  </r>
  <r>
    <s v="ORD-2026-100605"/>
    <s v="CUS95799"/>
    <d v="2026-01-08T00:00:00"/>
    <s v="D019"/>
    <n v="40"/>
    <n v="6.5"/>
    <s v="شاحنة صغيرة"/>
    <s v="14:00-16:00"/>
    <d v="2026-01-08T06:46:00"/>
    <d v="2026-01-08T06:59:00"/>
    <d v="2026-01-08T07:44:00"/>
    <d v="2026-01-08T07:57:00"/>
    <d v="2026-01-08T08:38:00"/>
    <d v="2026-01-08T08:51:00"/>
    <n v="2"/>
    <x v="1"/>
    <s v="الرياض"/>
    <s v="الروضة"/>
    <s v="مستودع الرياض الرئيسي"/>
    <n v="5000"/>
    <x v="0"/>
    <x v="0"/>
    <x v="0"/>
    <x v="0"/>
    <x v="4"/>
    <x v="8"/>
  </r>
  <r>
    <s v="ORD-2026-100606"/>
    <s v="CUS24835"/>
    <d v="2026-01-05T00:00:00"/>
    <s v="D006"/>
    <n v="25"/>
    <n v="4.3"/>
    <s v="دراجة نارية"/>
    <s v="08:00-10:00"/>
    <d v="2026-01-05T09:02:00"/>
    <d v="2026-01-05T09:15:00"/>
    <d v="2026-01-05T09:57:00"/>
    <d v="2026-01-05T10:02:00"/>
    <d v="2026-01-05T10:55:00"/>
    <d v="2026-01-05T11:22:00"/>
    <n v="5"/>
    <x v="1"/>
    <s v="المدينة المنورة"/>
    <s v="العنابس"/>
    <s v="مستودع المدينة المنورة"/>
    <n v="2000"/>
    <x v="0"/>
    <x v="0"/>
    <x v="0"/>
    <x v="0"/>
    <x v="1"/>
    <x v="4"/>
  </r>
  <r>
    <s v="ORD-2026-100607"/>
    <s v="CUS48543"/>
    <d v="2026-03-07T00:00:00"/>
    <s v="D003"/>
    <n v="25"/>
    <n v="8.6"/>
    <s v="فان"/>
    <s v="08:00-10:00"/>
    <d v="2026-03-07T08:44:00"/>
    <d v="2026-03-07T09:02:00"/>
    <d v="2026-03-07T09:48:00"/>
    <d v="2026-03-07T09:57:00"/>
    <d v="2026-03-07T10:08:00"/>
    <d v="2026-03-07T10:33:00"/>
    <n v="5"/>
    <x v="1"/>
    <s v="جدة"/>
    <s v="الزهراء"/>
    <s v="مستودع جدة الرئيسي"/>
    <n v="4000"/>
    <x v="0"/>
    <x v="0"/>
    <x v="0"/>
    <x v="0"/>
    <x v="0"/>
    <x v="4"/>
  </r>
  <r>
    <s v="ORD-2026-100608"/>
    <s v="CUS59655"/>
    <d v="2026-03-21T00:00:00"/>
    <s v="D001"/>
    <n v="7"/>
    <n v="6.3"/>
    <s v="دراجة نارية"/>
    <s v="16:00-18:00"/>
    <d v="2026-03-21T06:06:00"/>
    <d v="2026-03-21T06:14:00"/>
    <d v="2026-03-21T07:41:00"/>
    <d v="2026-03-21T07:52:00"/>
    <d v="2026-03-21T08:22:00"/>
    <d v="2026-03-21T08:59:00"/>
    <n v="6"/>
    <x v="1"/>
    <s v="جدة"/>
    <s v="الروضة"/>
    <s v="مستودع جدة الرئيسي"/>
    <n v="4000"/>
    <x v="0"/>
    <x v="0"/>
    <x v="0"/>
    <x v="0"/>
    <x v="2"/>
    <x v="2"/>
  </r>
  <r>
    <s v="ORD-2026-100609"/>
    <s v="CUS67805"/>
    <d v="2026-03-16T00:00:00"/>
    <s v="D002"/>
    <n v="10"/>
    <n v="11.6"/>
    <s v="دراجة نارية"/>
    <s v="16:00-18:00"/>
    <d v="2026-03-16T08:08:00"/>
    <d v="2026-03-16T08:31:00"/>
    <d v="2026-03-16T10:01:00"/>
    <d v="2026-03-16T10:19:00"/>
    <d v="2026-03-16T11:03:00"/>
    <d v="2026-03-16T11:15:00"/>
    <n v="7"/>
    <x v="1"/>
    <s v="جدة"/>
    <s v="الشاطئ"/>
    <s v="مستودع جدة الرئيسي"/>
    <n v="4000"/>
    <x v="0"/>
    <x v="0"/>
    <x v="0"/>
    <x v="0"/>
    <x v="0"/>
    <x v="9"/>
  </r>
  <r>
    <s v="ORD-2026-100610"/>
    <s v="CUS57432"/>
    <d v="2026-02-10T00:00:00"/>
    <s v="D009"/>
    <n v="23"/>
    <n v="11.3"/>
    <s v="سيارة سيدان"/>
    <s v="10:00-12:00"/>
    <d v="2026-02-10T09:24:00"/>
    <d v="2026-02-10T09:53:00"/>
    <d v="2026-02-10T10:49:00"/>
    <d v="2026-02-10T11:01:00"/>
    <d v="2026-02-10T11:40:00"/>
    <d v="2026-02-10T12:05:00"/>
    <n v="6"/>
    <x v="1"/>
    <s v="جدة"/>
    <s v="الأندلس"/>
    <s v="مستودع جدة الرئيسي"/>
    <n v="4000"/>
    <x v="0"/>
    <x v="0"/>
    <x v="0"/>
    <x v="0"/>
    <x v="0"/>
    <x v="12"/>
  </r>
  <r>
    <s v="ORD-2026-100611"/>
    <s v="CUS47602"/>
    <d v="2026-01-11T00:00:00"/>
    <s v="D012"/>
    <n v="28"/>
    <n v="9.1999999999999993"/>
    <s v="شاحنة متوسطة"/>
    <s v="10:00-12:00"/>
    <d v="2026-01-11T07:54:00"/>
    <d v="2026-01-11T08:24:00"/>
    <d v="2026-01-11T09:27:00"/>
    <d v="2026-01-11T09:39:00"/>
    <d v="2026-01-11T10:25:00"/>
    <d v="2026-01-11T10:38:00"/>
    <n v="5"/>
    <x v="4"/>
    <s v="المدينة المنورة"/>
    <s v="العوالي"/>
    <s v="مستودع المدينة المنورة"/>
    <n v="2000"/>
    <x v="0"/>
    <x v="0"/>
    <x v="0"/>
    <x v="0"/>
    <x v="2"/>
    <x v="3"/>
  </r>
  <r>
    <s v="ORD-2026-100612"/>
    <s v="CUS26567"/>
    <d v="2026-02-13T00:00:00"/>
    <s v="D011"/>
    <n v="31"/>
    <n v="7.4"/>
    <s v="دراجة نارية"/>
    <s v="16:00-18:00"/>
    <d v="2026-02-13T08:06:00"/>
    <d v="2026-02-13T08:31:00"/>
    <d v="2026-02-13T09:06:00"/>
    <d v="2026-02-13T09:16:00"/>
    <d v="2026-02-13T09:55:00"/>
    <d v="2026-02-13T10:00:00"/>
    <n v="2"/>
    <x v="5"/>
    <s v="الرياض"/>
    <s v="النزهة"/>
    <s v="مستودع الرياض الرئيسي"/>
    <n v="5000"/>
    <x v="0"/>
    <x v="0"/>
    <x v="0"/>
    <x v="0"/>
    <x v="2"/>
    <x v="8"/>
  </r>
  <r>
    <s v="ORD-2026-100613"/>
    <s v="CUS54124"/>
    <d v="2026-01-05T00:00:00"/>
    <s v="D027"/>
    <n v="15"/>
    <n v="11.9"/>
    <s v="دراجة نارية"/>
    <s v="16:00-18:00"/>
    <d v="2026-01-05T09:41:00"/>
    <d v="2026-01-05T10:02:00"/>
    <d v="2026-01-05T11:01:00"/>
    <d v="2026-01-05T11:19:00"/>
    <d v="2026-01-05T11:51:00"/>
    <d v="2026-01-05T12:04:00"/>
    <n v="4"/>
    <x v="1"/>
    <s v="مكة المكرمة"/>
    <s v="العزيزية"/>
    <s v="مستودع مكة المكرمة"/>
    <n v="2500"/>
    <x v="0"/>
    <x v="0"/>
    <x v="0"/>
    <x v="0"/>
    <x v="2"/>
    <x v="1"/>
  </r>
  <r>
    <s v="ORD-2026-100614"/>
    <s v="CUS76764"/>
    <d v="2026-03-17T00:00:00"/>
    <s v="D020"/>
    <n v="7"/>
    <n v="4.5999999999999996"/>
    <s v="سيارة سيدان"/>
    <s v="14:00-16:00"/>
    <d v="2026-03-17T09:53:00"/>
    <d v="2026-03-17T10:11:00"/>
    <d v="2026-03-17T11:41:00"/>
    <d v="2026-03-17T12:00:00"/>
    <d v="2026-03-17T12:57:00"/>
    <d v="2026-03-17T13:29:00"/>
    <n v="3"/>
    <x v="1"/>
    <s v="المدينة المنورة"/>
    <s v="العوالي"/>
    <s v="مستودع المدينة المنورة"/>
    <n v="2000"/>
    <x v="0"/>
    <x v="0"/>
    <x v="0"/>
    <x v="0"/>
    <x v="0"/>
    <x v="13"/>
  </r>
  <r>
    <s v="ORD-2026-100615"/>
    <s v="CUS76614"/>
    <d v="2026-01-11T00:00:00"/>
    <s v="D005"/>
    <n v="34"/>
    <n v="7"/>
    <s v="فان"/>
    <s v="10:00-12:00"/>
    <d v="2026-01-11T08:10:00"/>
    <d v="2026-01-11T08:38:00"/>
    <d v="2026-01-11T10:03:00"/>
    <d v="2026-01-11T10:16:00"/>
    <d v="2026-01-11T11:15:00"/>
    <d v="2026-01-11T11:26:00"/>
    <n v="2"/>
    <x v="1"/>
    <s v="الرياض"/>
    <s v="الورود"/>
    <s v="مستودع الرياض الرئيسي"/>
    <n v="5000"/>
    <x v="0"/>
    <x v="0"/>
    <x v="0"/>
    <x v="0"/>
    <x v="0"/>
    <x v="13"/>
  </r>
  <r>
    <s v="ORD-2026-100616"/>
    <s v="CUS45893"/>
    <d v="2026-02-24T00:00:00"/>
    <s v="D010"/>
    <n v="25"/>
    <n v="10.1"/>
    <s v="دراجة نارية"/>
    <s v="08:00-10:00"/>
    <d v="2026-02-24T09:28:00"/>
    <d v="2026-02-24T09:56:00"/>
    <d v="2026-02-24T10:32:00"/>
    <d v="2026-02-24T10:50:00"/>
    <d v="2026-02-24T11:33:00"/>
    <d v="2026-02-24T11:55:00"/>
    <n v="5"/>
    <x v="1"/>
    <s v="الدمام"/>
    <s v="الجلوية"/>
    <s v="مستودع الدمام"/>
    <n v="3000"/>
    <x v="0"/>
    <x v="0"/>
    <x v="0"/>
    <x v="0"/>
    <x v="3"/>
    <x v="11"/>
  </r>
  <r>
    <s v="ORD-2026-100617"/>
    <s v="CUS80756"/>
    <d v="2026-03-04T00:00:00"/>
    <s v="D015"/>
    <n v="23"/>
    <n v="11.5"/>
    <s v="سيارة سيدان"/>
    <s v="16:00-18:00"/>
    <d v="2026-03-04T09:12:00"/>
    <d v="2026-03-04T09:20:00"/>
    <d v="2026-03-04T09:59:00"/>
    <d v="2026-03-04T10:12:00"/>
    <d v="2026-03-04T10:31:00"/>
    <d v="2026-03-04T10:42:00"/>
    <n v="2"/>
    <x v="1"/>
    <s v="جدة"/>
    <s v="الزهراء"/>
    <s v="مستودع جدة الرئيسي"/>
    <n v="4000"/>
    <x v="0"/>
    <x v="0"/>
    <x v="0"/>
    <x v="0"/>
    <x v="2"/>
    <x v="7"/>
  </r>
  <r>
    <s v="ORD-2026-100618"/>
    <s v="CUS25720"/>
    <d v="2026-03-10T00:00:00"/>
    <s v="D026"/>
    <n v="36"/>
    <n v="10.7"/>
    <s v="شاحنة صغيرة"/>
    <s v="12:00-14:00"/>
    <d v="2026-03-10T06:52:00"/>
    <d v="2026-03-10T07:06:00"/>
    <d v="2026-03-10T08:29:00"/>
    <d v="2026-03-10T08:47:00"/>
    <d v="2026-03-10T09:43:00"/>
    <d v="2026-03-10T10:16:00"/>
    <n v="5"/>
    <x v="4"/>
    <s v="جدة"/>
    <s v="الحمراء"/>
    <s v="مستودع جدة الرئيسي"/>
    <n v="4000"/>
    <x v="0"/>
    <x v="0"/>
    <x v="0"/>
    <x v="0"/>
    <x v="0"/>
    <x v="1"/>
  </r>
  <r>
    <s v="ORD-2026-100619"/>
    <s v="CUS98091"/>
    <d v="2026-02-26T00:00:00"/>
    <s v="D029"/>
    <n v="21"/>
    <n v="4.7"/>
    <s v="دراجة نارية"/>
    <s v="12:00-14:00"/>
    <d v="2026-02-26T09:07:00"/>
    <d v="2026-02-26T09:33:00"/>
    <d v="2026-02-26T09:57:00"/>
    <d v="2026-02-26T10:13:00"/>
    <d v="2026-02-26T10:28:00"/>
    <d v="2026-02-26T10:47:00"/>
    <n v="6"/>
    <x v="3"/>
    <s v="مكة المكرمة"/>
    <s v="أجياد"/>
    <s v="مستودع مكة المكرمة"/>
    <n v="2500"/>
    <x v="0"/>
    <x v="0"/>
    <x v="0"/>
    <x v="0"/>
    <x v="0"/>
    <x v="9"/>
  </r>
  <r>
    <s v="ORD-2026-100620"/>
    <s v="CUS34524"/>
    <d v="2026-01-10T00:00:00"/>
    <s v="D023"/>
    <n v="32"/>
    <n v="4.8"/>
    <s v="شاحنة متوسطة"/>
    <s v="12:00-14:00"/>
    <d v="2026-01-10T06:48:00"/>
    <d v="2026-01-10T07:10:00"/>
    <d v="2026-01-10T08:40:00"/>
    <d v="2026-01-10T08:46:00"/>
    <d v="2026-01-10T09:36:00"/>
    <d v="2026-01-10T10:21:00"/>
    <n v="1"/>
    <x v="0"/>
    <s v="الدمام"/>
    <s v="العزيزية"/>
    <s v="مستودع الدمام"/>
    <n v="3000"/>
    <x v="0"/>
    <x v="1"/>
    <x v="1"/>
    <x v="5"/>
    <x v="2"/>
    <x v="4"/>
  </r>
  <r>
    <s v="ORD-2026-100621"/>
    <s v="CUS55705"/>
    <d v="2026-03-05T00:00:00"/>
    <s v="D010"/>
    <n v="10"/>
    <n v="11.6"/>
    <s v="دراجة نارية"/>
    <s v="08:00-10:00"/>
    <d v="2026-03-05T07:51:00"/>
    <d v="2026-03-05T07:58:00"/>
    <d v="2026-03-05T09:10:00"/>
    <d v="2026-03-05T09:21:00"/>
    <d v="2026-03-05T10:16:00"/>
    <d v="2026-03-05T10:32:00"/>
    <n v="1"/>
    <x v="1"/>
    <s v="جدة"/>
    <s v="الزهراء"/>
    <s v="مستودع جدة الرئيسي"/>
    <n v="4000"/>
    <x v="0"/>
    <x v="0"/>
    <x v="0"/>
    <x v="0"/>
    <x v="2"/>
    <x v="10"/>
  </r>
  <r>
    <s v="ORD-2026-100622"/>
    <s v="CUS42426"/>
    <d v="2026-03-03T00:00:00"/>
    <s v="D017"/>
    <n v="19"/>
    <n v="11"/>
    <s v="فان"/>
    <s v="14:00-16:00"/>
    <d v="2026-03-03T09:23:00"/>
    <d v="2026-03-03T09:48:00"/>
    <d v="2026-03-03T10:48:00"/>
    <d v="2026-03-03T11:04:00"/>
    <d v="2026-03-03T11:48:00"/>
    <d v="2026-03-03T12:23:00"/>
    <n v="3"/>
    <x v="6"/>
    <s v="جدة"/>
    <s v="الروضة"/>
    <s v="مستودع جدة الرئيسي"/>
    <n v="4000"/>
    <x v="1"/>
    <x v="1"/>
    <x v="2"/>
    <x v="4"/>
    <x v="0"/>
    <x v="6"/>
  </r>
  <r>
    <s v="ORD-2026-100623"/>
    <s v="CUS63609"/>
    <d v="2026-03-26T00:00:00"/>
    <s v="D014"/>
    <n v="34"/>
    <n v="11.7"/>
    <s v="شاحنة صغيرة"/>
    <s v="12:00-14:00"/>
    <d v="2026-03-26T08:58:00"/>
    <d v="2026-03-26T09:15:00"/>
    <d v="2026-03-26T09:41:00"/>
    <d v="2026-03-26T10:01:00"/>
    <d v="2026-03-26T10:42:00"/>
    <d v="2026-03-26T11:25:00"/>
    <n v="4"/>
    <x v="1"/>
    <s v="الرياض"/>
    <s v="الملقا"/>
    <s v="مستودع الرياض الرئيسي"/>
    <n v="5000"/>
    <x v="0"/>
    <x v="0"/>
    <x v="0"/>
    <x v="0"/>
    <x v="3"/>
    <x v="1"/>
  </r>
  <r>
    <s v="ORD-2026-100624"/>
    <s v="CUS31828"/>
    <d v="2026-01-08T00:00:00"/>
    <s v="D018"/>
    <n v="25"/>
    <n v="7.3"/>
    <s v="فان"/>
    <s v="14:00-16:00"/>
    <d v="2026-01-08T07:42:00"/>
    <d v="2026-01-08T07:55:00"/>
    <d v="2026-01-08T08:11:00"/>
    <d v="2026-01-08T08:24:00"/>
    <d v="2026-01-08T09:05:00"/>
    <d v="2026-01-08T09:24:00"/>
    <n v="3"/>
    <x v="1"/>
    <s v="الدمام"/>
    <s v="الشاطئ"/>
    <s v="مستودع الدمام"/>
    <n v="3000"/>
    <x v="0"/>
    <x v="0"/>
    <x v="0"/>
    <x v="0"/>
    <x v="3"/>
    <x v="5"/>
  </r>
  <r>
    <s v="ORD-2026-100625"/>
    <s v="CUS80185"/>
    <d v="2026-03-10T00:00:00"/>
    <s v="D007"/>
    <n v="13"/>
    <n v="8.8000000000000007"/>
    <s v="شاحنة صغيرة"/>
    <s v="18:00-20:00"/>
    <d v="2026-03-10T06:05:00"/>
    <d v="2026-03-10T06:35:00"/>
    <d v="2026-03-10T07:33:00"/>
    <d v="2026-03-10T07:40:00"/>
    <d v="2026-03-10T08:39:00"/>
    <d v="2026-03-10T09:05:00"/>
    <n v="3"/>
    <x v="1"/>
    <s v="الرياض"/>
    <s v="الورود"/>
    <s v="مستودع الرياض الرئيسي"/>
    <n v="5000"/>
    <x v="0"/>
    <x v="0"/>
    <x v="0"/>
    <x v="0"/>
    <x v="2"/>
    <x v="6"/>
  </r>
  <r>
    <s v="ORD-2026-100626"/>
    <s v="CUS47105"/>
    <d v="2026-01-26T00:00:00"/>
    <s v="D006"/>
    <n v="19"/>
    <n v="6.3"/>
    <s v="دراجة نارية"/>
    <s v="12:00-14:00"/>
    <d v="2026-01-26T07:24:00"/>
    <d v="2026-01-26T07:42:00"/>
    <d v="2026-01-26T08:19:00"/>
    <d v="2026-01-26T08:31:00"/>
    <d v="2026-01-26T08:41:00"/>
    <d v="2026-01-26T08:48:00"/>
    <n v="7"/>
    <x v="0"/>
    <s v="المدينة المنورة"/>
    <s v="العنابس"/>
    <s v="مستودع المدينة المنورة"/>
    <n v="2000"/>
    <x v="0"/>
    <x v="0"/>
    <x v="0"/>
    <x v="0"/>
    <x v="2"/>
    <x v="14"/>
  </r>
  <r>
    <s v="ORD-2026-100627"/>
    <s v="CUS11932"/>
    <d v="2026-02-08T00:00:00"/>
    <s v="D001"/>
    <n v="20"/>
    <n v="4.3"/>
    <s v="شاحنة صغيرة"/>
    <s v="20:00-22:00"/>
    <d v="2026-02-08T09:20:00"/>
    <d v="2026-02-08T09:37:00"/>
    <d v="2026-02-08T10:38:00"/>
    <d v="2026-02-08T10:47:00"/>
    <d v="2026-02-08T11:44:00"/>
    <d v="2026-02-08T12:06:00"/>
    <n v="7"/>
    <x v="6"/>
    <s v="جدة"/>
    <s v="الصفا"/>
    <s v="مستودع جدة الرئيسي"/>
    <n v="4000"/>
    <x v="0"/>
    <x v="0"/>
    <x v="0"/>
    <x v="0"/>
    <x v="0"/>
    <x v="7"/>
  </r>
  <r>
    <s v="ORD-2026-100628"/>
    <s v="CUS39131"/>
    <d v="2026-03-11T00:00:00"/>
    <s v="D020"/>
    <n v="30"/>
    <n v="5.6"/>
    <s v="شاحنة متوسطة"/>
    <s v="20:00-22:00"/>
    <d v="2026-03-11T07:19:00"/>
    <d v="2026-03-11T07:49:00"/>
    <d v="2026-03-11T08:40:00"/>
    <d v="2026-03-11T08:58:00"/>
    <d v="2026-03-11T09:40:00"/>
    <d v="2026-03-11T09:46:00"/>
    <n v="3"/>
    <x v="3"/>
    <s v="جدة"/>
    <s v="الحمراء"/>
    <s v="مستودع جدة الرئيسي"/>
    <n v="4000"/>
    <x v="0"/>
    <x v="1"/>
    <x v="3"/>
    <x v="4"/>
    <x v="2"/>
    <x v="8"/>
  </r>
  <r>
    <s v="ORD-2026-100629"/>
    <s v="CUS62081"/>
    <d v="2026-02-22T00:00:00"/>
    <s v="D018"/>
    <n v="23"/>
    <n v="11.3"/>
    <s v="شاحنة متوسطة"/>
    <s v="16:00-18:00"/>
    <d v="2026-02-22T07:02:00"/>
    <d v="2026-02-22T07:19:00"/>
    <d v="2026-02-22T07:31:00"/>
    <d v="2026-02-22T07:51:00"/>
    <d v="2026-02-22T08:47:00"/>
    <d v="2026-02-22T09:17:00"/>
    <n v="3"/>
    <x v="1"/>
    <s v="الدمام"/>
    <s v="الجلوية"/>
    <s v="مستودع الدمام"/>
    <n v="3000"/>
    <x v="0"/>
    <x v="0"/>
    <x v="0"/>
    <x v="0"/>
    <x v="2"/>
    <x v="7"/>
  </r>
  <r>
    <s v="ORD-2026-100630"/>
    <s v="CUS72064"/>
    <d v="2026-01-30T00:00:00"/>
    <s v="D015"/>
    <n v="11"/>
    <n v="9.1"/>
    <s v="سيارة سيدان"/>
    <s v="10:00-12:00"/>
    <d v="2026-01-30T09:27:00"/>
    <d v="2026-01-30T09:52:00"/>
    <d v="2026-01-30T10:12:00"/>
    <d v="2026-01-30T10:20:00"/>
    <d v="2026-01-30T11:05:00"/>
    <d v="2026-01-30T11:20:00"/>
    <n v="2"/>
    <x v="1"/>
    <s v="الدمام"/>
    <s v="الجلوية"/>
    <s v="مستودع الدمام"/>
    <n v="3000"/>
    <x v="0"/>
    <x v="0"/>
    <x v="0"/>
    <x v="0"/>
    <x v="3"/>
    <x v="13"/>
  </r>
  <r>
    <s v="ORD-2026-100631"/>
    <s v="CUS83716"/>
    <d v="2026-03-08T00:00:00"/>
    <s v="D024"/>
    <n v="8"/>
    <n v="10.1"/>
    <s v="سيارة سيدان"/>
    <s v="14:00-16:00"/>
    <d v="2026-03-08T07:19:00"/>
    <d v="2026-03-08T07:47:00"/>
    <d v="2026-03-08T08:40:00"/>
    <d v="2026-03-08T08:49:00"/>
    <d v="2026-03-08T09:01:00"/>
    <d v="2026-03-08T09:26:00"/>
    <n v="6"/>
    <x v="1"/>
    <s v="المدينة المنورة"/>
    <s v="قباء"/>
    <s v="مستودع المدينة المنورة"/>
    <n v="2000"/>
    <x v="0"/>
    <x v="0"/>
    <x v="0"/>
    <x v="0"/>
    <x v="0"/>
    <x v="3"/>
  </r>
  <r>
    <s v="ORD-2026-100632"/>
    <s v="CUS24898"/>
    <d v="2026-03-04T00:00:00"/>
    <s v="D018"/>
    <n v="20"/>
    <n v="6.6"/>
    <s v="فان"/>
    <s v="16:00-18:00"/>
    <d v="2026-03-04T08:22:00"/>
    <d v="2026-03-04T08:50:00"/>
    <d v="2026-03-04T09:10:00"/>
    <d v="2026-03-04T09:18:00"/>
    <d v="2026-03-04T09:55:00"/>
    <d v="2026-03-04T10:04:00"/>
    <n v="4"/>
    <x v="6"/>
    <s v="مكة المكرمة"/>
    <s v="الزاهر"/>
    <s v="مستودع مكة المكرمة"/>
    <n v="2500"/>
    <x v="0"/>
    <x v="0"/>
    <x v="0"/>
    <x v="0"/>
    <x v="3"/>
    <x v="4"/>
  </r>
  <r>
    <s v="ORD-2026-100633"/>
    <s v="CUS58710"/>
    <d v="2026-01-05T00:00:00"/>
    <s v="D029"/>
    <n v="15"/>
    <n v="9"/>
    <s v="شاحنة متوسطة"/>
    <s v="14:00-16:00"/>
    <d v="2026-01-05T06:35:00"/>
    <d v="2026-01-05T07:03:00"/>
    <d v="2026-01-05T08:23:00"/>
    <d v="2026-01-05T08:41:00"/>
    <d v="2026-01-05T09:16:00"/>
    <d v="2026-01-05T09:21:00"/>
    <n v="3"/>
    <x v="5"/>
    <s v="مكة المكرمة"/>
    <s v="أجياد"/>
    <s v="مستودع مكة المكرمة"/>
    <n v="2500"/>
    <x v="0"/>
    <x v="1"/>
    <x v="2"/>
    <x v="6"/>
    <x v="2"/>
    <x v="5"/>
  </r>
  <r>
    <s v="ORD-2026-100634"/>
    <s v="CUS31527"/>
    <d v="2026-03-14T00:00:00"/>
    <s v="D021"/>
    <n v="23"/>
    <n v="8.1999999999999993"/>
    <s v="دراجة نارية"/>
    <s v="20:00-22:00"/>
    <d v="2026-03-14T08:37:00"/>
    <d v="2026-03-14T09:04:00"/>
    <d v="2026-03-14T10:01:00"/>
    <d v="2026-03-14T10:14:00"/>
    <d v="2026-03-14T10:54:00"/>
    <d v="2026-03-14T11:28:00"/>
    <n v="2"/>
    <x v="1"/>
    <s v="جدة"/>
    <s v="الزهراء"/>
    <s v="مستودع جدة الرئيسي"/>
    <n v="4000"/>
    <x v="1"/>
    <x v="0"/>
    <x v="0"/>
    <x v="0"/>
    <x v="0"/>
    <x v="14"/>
  </r>
  <r>
    <s v="ORD-2026-100635"/>
    <s v="CUS55934"/>
    <d v="2026-03-09T00:00:00"/>
    <s v="D023"/>
    <n v="25"/>
    <n v="7.3"/>
    <s v="دراجة نارية"/>
    <s v="14:00-16:00"/>
    <d v="2026-03-09T06:17:00"/>
    <d v="2026-03-09T06:22:00"/>
    <d v="2026-03-09T07:11:00"/>
    <d v="2026-03-09T07:22:00"/>
    <d v="2026-03-09T07:44:00"/>
    <d v="2026-03-09T07:55:00"/>
    <n v="5"/>
    <x v="1"/>
    <s v="مكة المكرمة"/>
    <s v="العزيزية"/>
    <s v="مستودع مكة المكرمة"/>
    <n v="2500"/>
    <x v="0"/>
    <x v="0"/>
    <x v="0"/>
    <x v="0"/>
    <x v="2"/>
    <x v="8"/>
  </r>
  <r>
    <s v="ORD-2026-100636"/>
    <s v="CUS87678"/>
    <d v="2026-03-23T00:00:00"/>
    <s v="D018"/>
    <n v="5"/>
    <n v="11.4"/>
    <s v="سيارة سيدان"/>
    <s v="12:00-14:00"/>
    <d v="2026-03-23T09:30:00"/>
    <d v="2026-03-23T09:48:00"/>
    <d v="2026-03-23T11:12:00"/>
    <d v="2026-03-23T11:26:00"/>
    <d v="2026-03-23T11:59:00"/>
    <d v="2026-03-23T12:43:00"/>
    <n v="7"/>
    <x v="1"/>
    <s v="جدة"/>
    <s v="الروضة"/>
    <s v="مستودع جدة الرئيسي"/>
    <n v="4000"/>
    <x v="0"/>
    <x v="0"/>
    <x v="0"/>
    <x v="0"/>
    <x v="0"/>
    <x v="8"/>
  </r>
  <r>
    <s v="ORD-2026-100637"/>
    <s v="CUS40386"/>
    <d v="2026-01-20T00:00:00"/>
    <s v="D004"/>
    <n v="16"/>
    <n v="6.1"/>
    <s v="شاحنة صغيرة"/>
    <s v="10:00-12:00"/>
    <d v="2026-01-20T09:24:00"/>
    <d v="2026-01-20T09:45:00"/>
    <d v="2026-01-20T11:10:00"/>
    <d v="2026-01-20T11:27:00"/>
    <d v="2026-01-20T11:58:00"/>
    <d v="2026-01-20T12:39:00"/>
    <n v="7"/>
    <x v="1"/>
    <s v="جدة"/>
    <s v="الروضة"/>
    <s v="مستودع جدة الرئيسي"/>
    <n v="4000"/>
    <x v="0"/>
    <x v="1"/>
    <x v="3"/>
    <x v="2"/>
    <x v="3"/>
    <x v="3"/>
  </r>
  <r>
    <s v="ORD-2026-100638"/>
    <s v="CUS60532"/>
    <d v="2026-01-28T00:00:00"/>
    <s v="D003"/>
    <n v="14"/>
    <n v="5.3"/>
    <s v="شاحنة صغيرة"/>
    <s v="12:00-14:00"/>
    <d v="2026-01-28T06:19:00"/>
    <d v="2026-01-28T06:25:00"/>
    <d v="2026-01-28T06:52:00"/>
    <d v="2026-01-28T07:11:00"/>
    <d v="2026-01-28T07:48:00"/>
    <d v="2026-01-28T08:23:00"/>
    <n v="3"/>
    <x v="1"/>
    <s v="المدينة المنورة"/>
    <s v="قباء"/>
    <s v="مستودع المدينة المنورة"/>
    <n v="2000"/>
    <x v="0"/>
    <x v="0"/>
    <x v="0"/>
    <x v="0"/>
    <x v="2"/>
    <x v="3"/>
  </r>
  <r>
    <s v="ORD-2026-100639"/>
    <s v="CUS95471"/>
    <d v="2026-03-02T00:00:00"/>
    <s v="D012"/>
    <n v="25"/>
    <n v="8.1999999999999993"/>
    <s v="شاحنة متوسطة"/>
    <s v="20:00-22:00"/>
    <d v="2026-03-02T06:54:00"/>
    <d v="2026-03-02T07:04:00"/>
    <d v="2026-03-02T07:49:00"/>
    <d v="2026-03-02T07:58:00"/>
    <d v="2026-03-02T08:35:00"/>
    <d v="2026-03-02T09:15:00"/>
    <n v="4"/>
    <x v="1"/>
    <s v="الدمام"/>
    <s v="المزروعية"/>
    <s v="مستودع الدمام"/>
    <n v="3000"/>
    <x v="0"/>
    <x v="0"/>
    <x v="0"/>
    <x v="0"/>
    <x v="2"/>
    <x v="12"/>
  </r>
  <r>
    <s v="ORD-2026-100640"/>
    <s v="CUS10735"/>
    <d v="2026-02-14T00:00:00"/>
    <s v="D006"/>
    <n v="34"/>
    <n v="10.199999999999999"/>
    <s v="سيارة سيدان"/>
    <s v="18:00-20:00"/>
    <d v="2026-02-14T07:48:00"/>
    <d v="2026-02-14T07:59:00"/>
    <d v="2026-02-14T09:27:00"/>
    <d v="2026-02-14T09:38:00"/>
    <d v="2026-02-14T10:12:00"/>
    <d v="2026-02-14T10:40:00"/>
    <n v="2"/>
    <x v="1"/>
    <s v="الرياض"/>
    <s v="الورود"/>
    <s v="مستودع الرياض الرئيسي"/>
    <n v="5000"/>
    <x v="1"/>
    <x v="0"/>
    <x v="0"/>
    <x v="0"/>
    <x v="2"/>
    <x v="2"/>
  </r>
  <r>
    <s v="ORD-2026-100641"/>
    <s v="CUS13988"/>
    <d v="2026-03-17T00:00:00"/>
    <s v="D010"/>
    <n v="28"/>
    <n v="11.3"/>
    <s v="شاحنة متوسطة"/>
    <s v="08:00-10:00"/>
    <d v="2026-03-17T08:35:00"/>
    <d v="2026-03-17T08:48:00"/>
    <d v="2026-03-17T09:02:00"/>
    <d v="2026-03-17T09:15:00"/>
    <d v="2026-03-17T10:06:00"/>
    <d v="2026-03-17T10:41:00"/>
    <n v="4"/>
    <x v="2"/>
    <s v="الدمام"/>
    <s v="العزيزية"/>
    <s v="مستودع الدمام"/>
    <n v="3000"/>
    <x v="0"/>
    <x v="0"/>
    <x v="0"/>
    <x v="0"/>
    <x v="1"/>
    <x v="13"/>
  </r>
  <r>
    <s v="ORD-2026-100642"/>
    <s v="CUS25653"/>
    <d v="2026-03-02T00:00:00"/>
    <s v="D020"/>
    <n v="16"/>
    <n v="7.8"/>
    <s v="شاحنة متوسطة"/>
    <s v="20:00-22:00"/>
    <d v="2026-03-02T06:26:00"/>
    <d v="2026-03-02T06:32:00"/>
    <d v="2026-03-02T07:29:00"/>
    <d v="2026-03-02T07:34:00"/>
    <d v="2026-03-02T08:23:00"/>
    <d v="2026-03-02T08:37:00"/>
    <n v="6"/>
    <x v="1"/>
    <s v="مكة المكرمة"/>
    <s v="أجياد"/>
    <s v="مستودع مكة المكرمة"/>
    <n v="2500"/>
    <x v="0"/>
    <x v="0"/>
    <x v="0"/>
    <x v="0"/>
    <x v="2"/>
    <x v="1"/>
  </r>
  <r>
    <s v="ORD-2026-100643"/>
    <s v="CUS62844"/>
    <d v="2026-01-08T00:00:00"/>
    <s v="D015"/>
    <n v="11"/>
    <n v="10.9"/>
    <s v="سيارة سيدان"/>
    <s v="20:00-22:00"/>
    <d v="2026-01-08T06:49:00"/>
    <d v="2026-01-08T07:14:00"/>
    <d v="2026-01-08T08:42:00"/>
    <d v="2026-01-08T08:47:00"/>
    <d v="2026-01-08T09:18:00"/>
    <d v="2026-01-08T09:43:00"/>
    <n v="6"/>
    <x v="0"/>
    <s v="الرياض"/>
    <s v="الورود"/>
    <s v="مستودع الرياض الرئيسي"/>
    <n v="5000"/>
    <x v="0"/>
    <x v="0"/>
    <x v="0"/>
    <x v="0"/>
    <x v="4"/>
    <x v="10"/>
  </r>
  <r>
    <s v="ORD-2026-100644"/>
    <s v="CUS10422"/>
    <d v="2026-02-23T00:00:00"/>
    <s v="D027"/>
    <n v="17"/>
    <n v="10.6"/>
    <s v="شاحنة متوسطة"/>
    <s v="10:00-12:00"/>
    <d v="2026-02-23T09:06:00"/>
    <d v="2026-02-23T09:19:00"/>
    <d v="2026-02-23T09:39:00"/>
    <d v="2026-02-23T09:49:00"/>
    <d v="2026-02-23T10:27:00"/>
    <d v="2026-02-23T10:34:00"/>
    <n v="3"/>
    <x v="1"/>
    <s v="الرياض"/>
    <s v="النزهة"/>
    <s v="مستودع الرياض الرئيسي"/>
    <n v="5000"/>
    <x v="0"/>
    <x v="0"/>
    <x v="0"/>
    <x v="0"/>
    <x v="0"/>
    <x v="1"/>
  </r>
  <r>
    <s v="ORD-2026-100645"/>
    <s v="CUS32195"/>
    <d v="2026-02-09T00:00:00"/>
    <s v="D009"/>
    <n v="12"/>
    <n v="6.7"/>
    <s v="شاحنة متوسطة"/>
    <s v="20:00-22:00"/>
    <d v="2026-02-09T08:58:00"/>
    <d v="2026-02-09T09:05:00"/>
    <d v="2026-02-09T10:27:00"/>
    <d v="2026-02-09T10:46:00"/>
    <d v="2026-02-09T11:01:00"/>
    <d v="2026-02-09T11:13:00"/>
    <n v="1"/>
    <x v="6"/>
    <s v="المدينة المنورة"/>
    <s v="الحرة الغربية"/>
    <s v="مستودع المدينة المنورة"/>
    <n v="2000"/>
    <x v="0"/>
    <x v="0"/>
    <x v="0"/>
    <x v="0"/>
    <x v="0"/>
    <x v="3"/>
  </r>
  <r>
    <s v="ORD-2026-100646"/>
    <s v="CUS34673"/>
    <d v="2026-01-02T00:00:00"/>
    <s v="D007"/>
    <n v="10"/>
    <n v="11"/>
    <s v="دراجة نارية"/>
    <s v="12:00-14:00"/>
    <d v="2026-01-02T09:34:00"/>
    <d v="2026-01-02T10:00:00"/>
    <d v="2026-01-02T10:34:00"/>
    <d v="2026-01-02T10:43:00"/>
    <d v="2026-01-02T11:12:00"/>
    <d v="2026-01-02T11:20:00"/>
    <n v="4"/>
    <x v="1"/>
    <s v="الدمام"/>
    <s v="الجلوية"/>
    <s v="مستودع الدمام"/>
    <n v="3000"/>
    <x v="0"/>
    <x v="0"/>
    <x v="0"/>
    <x v="0"/>
    <x v="2"/>
    <x v="2"/>
  </r>
  <r>
    <s v="ORD-2026-100647"/>
    <s v="CUS60551"/>
    <d v="2026-02-04T00:00:00"/>
    <s v="D029"/>
    <n v="23"/>
    <n v="6.1"/>
    <s v="فان"/>
    <s v="12:00-14:00"/>
    <d v="2026-02-04T06:23:00"/>
    <d v="2026-02-04T06:43:00"/>
    <d v="2026-02-04T07:38:00"/>
    <d v="2026-02-04T07:54:00"/>
    <d v="2026-02-04T08:26:00"/>
    <d v="2026-02-04T09:04:00"/>
    <n v="4"/>
    <x v="1"/>
    <s v="جدة"/>
    <s v="الزهراء"/>
    <s v="مستودع جدة الرئيسي"/>
    <n v="4000"/>
    <x v="0"/>
    <x v="0"/>
    <x v="0"/>
    <x v="0"/>
    <x v="0"/>
    <x v="13"/>
  </r>
  <r>
    <s v="ORD-2026-100648"/>
    <s v="CUS92721"/>
    <d v="2026-01-20T00:00:00"/>
    <s v="D018"/>
    <n v="32"/>
    <n v="6.8"/>
    <s v="سيارة سيدان"/>
    <s v="10:00-12:00"/>
    <d v="2026-01-20T07:27:00"/>
    <d v="2026-01-20T07:54:00"/>
    <d v="2026-01-20T09:08:00"/>
    <d v="2026-01-20T09:21:00"/>
    <d v="2026-01-20T09:36:00"/>
    <d v="2026-01-20T10:13:00"/>
    <n v="7"/>
    <x v="3"/>
    <s v="المدينة المنورة"/>
    <s v="قباء"/>
    <s v="مستودع المدينة المنورة"/>
    <n v="2000"/>
    <x v="0"/>
    <x v="0"/>
    <x v="0"/>
    <x v="0"/>
    <x v="1"/>
    <x v="10"/>
  </r>
  <r>
    <s v="ORD-2026-100649"/>
    <s v="CUS23134"/>
    <d v="2026-01-24T00:00:00"/>
    <s v="D016"/>
    <n v="25"/>
    <n v="7"/>
    <s v="فان"/>
    <s v="18:00-20:00"/>
    <d v="2026-01-24T08:30:00"/>
    <d v="2026-01-24T08:36:00"/>
    <d v="2026-01-24T09:27:00"/>
    <d v="2026-01-24T09:35:00"/>
    <d v="2026-01-24T10:25:00"/>
    <d v="2026-01-24T10:52:00"/>
    <n v="7"/>
    <x v="1"/>
    <s v="جدة"/>
    <s v="الشاطئ"/>
    <s v="مستودع جدة الرئيسي"/>
    <n v="4000"/>
    <x v="0"/>
    <x v="0"/>
    <x v="0"/>
    <x v="0"/>
    <x v="2"/>
    <x v="5"/>
  </r>
  <r>
    <s v="ORD-2026-100650"/>
    <s v="CUS73249"/>
    <d v="2026-01-24T00:00:00"/>
    <s v="D030"/>
    <n v="15"/>
    <n v="7.7"/>
    <s v="دراجة نارية"/>
    <s v="20:00-22:00"/>
    <d v="2026-01-24T06:05:00"/>
    <d v="2026-01-24T06:24:00"/>
    <d v="2026-01-24T07:52:00"/>
    <d v="2026-01-24T08:11:00"/>
    <d v="2026-01-24T08:58:00"/>
    <d v="2026-01-24T09:39:00"/>
    <n v="6"/>
    <x v="1"/>
    <s v="الدمام"/>
    <s v="الشاطئ"/>
    <s v="مستودع الدمام"/>
    <n v="3000"/>
    <x v="0"/>
    <x v="1"/>
    <x v="2"/>
    <x v="1"/>
    <x v="2"/>
    <x v="6"/>
  </r>
  <r>
    <s v="ORD-2026-100651"/>
    <s v="CUS96954"/>
    <d v="2026-03-28T00:00:00"/>
    <s v="D013"/>
    <n v="19"/>
    <n v="10.1"/>
    <s v="شاحنة متوسطة"/>
    <s v="08:00-10:00"/>
    <d v="2026-03-28T07:47:00"/>
    <d v="2026-03-28T08:05:00"/>
    <d v="2026-03-28T08:49:00"/>
    <d v="2026-03-28T09:06:00"/>
    <d v="2026-03-28T09:53:00"/>
    <d v="2026-03-28T09:59:00"/>
    <n v="2"/>
    <x v="1"/>
    <s v="الدمام"/>
    <s v="العزيزية"/>
    <s v="مستودع الدمام"/>
    <n v="3000"/>
    <x v="1"/>
    <x v="1"/>
    <x v="1"/>
    <x v="6"/>
    <x v="0"/>
    <x v="14"/>
  </r>
  <r>
    <s v="ORD-2026-100652"/>
    <s v="CUS67219"/>
    <d v="2026-02-12T00:00:00"/>
    <s v="D026"/>
    <n v="24"/>
    <n v="10.3"/>
    <s v="دراجة نارية"/>
    <s v="20:00-22:00"/>
    <d v="2026-02-12T07:28:00"/>
    <d v="2026-02-12T07:47:00"/>
    <d v="2026-02-12T08:47:00"/>
    <d v="2026-02-12T08:57:00"/>
    <d v="2026-02-12T09:36:00"/>
    <d v="2026-02-12T09:41:00"/>
    <n v="6"/>
    <x v="3"/>
    <s v="الرياض"/>
    <s v="النزهة"/>
    <s v="مستودع الرياض الرئيسي"/>
    <n v="5000"/>
    <x v="0"/>
    <x v="0"/>
    <x v="0"/>
    <x v="0"/>
    <x v="3"/>
    <x v="2"/>
  </r>
  <r>
    <s v="ORD-2026-100653"/>
    <s v="CUS41816"/>
    <d v="2026-01-12T00:00:00"/>
    <s v="D024"/>
    <n v="40"/>
    <n v="10.8"/>
    <s v="سيارة سيدان"/>
    <s v="08:00-10:00"/>
    <d v="2026-01-12T08:02:00"/>
    <d v="2026-01-12T08:12:00"/>
    <d v="2026-01-12T09:06:00"/>
    <d v="2026-01-12T09:14:00"/>
    <d v="2026-01-12T09:54:00"/>
    <d v="2026-01-12T10:34:00"/>
    <n v="6"/>
    <x v="1"/>
    <s v="جدة"/>
    <s v="الزهراء"/>
    <s v="مستودع جدة الرئيسي"/>
    <n v="4000"/>
    <x v="0"/>
    <x v="0"/>
    <x v="0"/>
    <x v="0"/>
    <x v="2"/>
    <x v="4"/>
  </r>
  <r>
    <s v="ORD-2026-100654"/>
    <s v="CUS33351"/>
    <d v="2026-01-13T00:00:00"/>
    <s v="D013"/>
    <n v="13"/>
    <n v="7.2"/>
    <s v="سيارة سيدان"/>
    <s v="12:00-14:00"/>
    <d v="2026-01-13T09:29:00"/>
    <d v="2026-01-13T09:55:00"/>
    <d v="2026-01-13T10:59:00"/>
    <d v="2026-01-13T11:16:00"/>
    <d v="2026-01-13T12:00:00"/>
    <d v="2026-01-13T12:09:00"/>
    <n v="3"/>
    <x v="1"/>
    <s v="جدة"/>
    <s v="الروضة"/>
    <s v="مستودع جدة الرئيسي"/>
    <n v="4000"/>
    <x v="0"/>
    <x v="0"/>
    <x v="0"/>
    <x v="0"/>
    <x v="3"/>
    <x v="13"/>
  </r>
  <r>
    <s v="ORD-2026-100655"/>
    <s v="CUS29758"/>
    <d v="2026-01-31T00:00:00"/>
    <s v="D012"/>
    <n v="37"/>
    <n v="10.6"/>
    <s v="شاحنة متوسطة"/>
    <s v="16:00-18:00"/>
    <d v="2026-01-31T09:12:00"/>
    <d v="2026-01-31T09:29:00"/>
    <d v="2026-01-31T09:48:00"/>
    <d v="2026-01-31T10:00:00"/>
    <d v="2026-01-31T10:18:00"/>
    <d v="2026-01-31T10:54:00"/>
    <n v="2"/>
    <x v="5"/>
    <s v="الدمام"/>
    <s v="الشاطئ"/>
    <s v="مستودع الدمام"/>
    <n v="3000"/>
    <x v="0"/>
    <x v="0"/>
    <x v="0"/>
    <x v="0"/>
    <x v="0"/>
    <x v="12"/>
  </r>
  <r>
    <s v="ORD-2026-100656"/>
    <s v="CUS76449"/>
    <d v="2026-02-06T00:00:00"/>
    <s v="D010"/>
    <n v="7"/>
    <n v="6.1"/>
    <s v="فان"/>
    <s v="10:00-12:00"/>
    <d v="2026-02-06T06:41:00"/>
    <d v="2026-02-06T06:58:00"/>
    <d v="2026-02-06T08:14:00"/>
    <d v="2026-02-06T08:22:00"/>
    <d v="2026-02-06T09:01:00"/>
    <d v="2026-02-06T09:11:00"/>
    <n v="3"/>
    <x v="1"/>
    <s v="مكة المكرمة"/>
    <s v="أجياد"/>
    <s v="مستودع مكة المكرمة"/>
    <n v="2500"/>
    <x v="0"/>
    <x v="1"/>
    <x v="0"/>
    <x v="2"/>
    <x v="2"/>
    <x v="13"/>
  </r>
  <r>
    <s v="ORD-2026-100657"/>
    <s v="CUS53917"/>
    <d v="2026-02-19T00:00:00"/>
    <s v="D022"/>
    <n v="36"/>
    <n v="9.1999999999999993"/>
    <s v="فان"/>
    <s v="14:00-16:00"/>
    <d v="2026-02-19T09:17:00"/>
    <d v="2026-02-19T09:23:00"/>
    <d v="2026-02-19T10:11:00"/>
    <d v="2026-02-19T10:29:00"/>
    <d v="2026-02-19T10:55:00"/>
    <d v="2026-02-19T11:40:00"/>
    <n v="1"/>
    <x v="1"/>
    <s v="مكة المكرمة"/>
    <s v="العزيزية"/>
    <s v="مستودع مكة المكرمة"/>
    <n v="2500"/>
    <x v="0"/>
    <x v="0"/>
    <x v="0"/>
    <x v="0"/>
    <x v="2"/>
    <x v="4"/>
  </r>
  <r>
    <s v="ORD-2026-100658"/>
    <s v="CUS15222"/>
    <d v="2026-03-10T00:00:00"/>
    <s v="D012"/>
    <n v="32"/>
    <n v="8.3000000000000007"/>
    <s v="فان"/>
    <s v="20:00-22:00"/>
    <d v="2026-03-10T08:52:00"/>
    <d v="2026-03-10T08:59:00"/>
    <d v="2026-03-10T09:28:00"/>
    <d v="2026-03-10T09:33:00"/>
    <d v="2026-03-10T10:04:00"/>
    <d v="2026-03-10T10:46:00"/>
    <n v="3"/>
    <x v="0"/>
    <s v="الرياض"/>
    <s v="الملقا"/>
    <s v="مستودع الرياض الرئيسي"/>
    <n v="5000"/>
    <x v="0"/>
    <x v="0"/>
    <x v="0"/>
    <x v="0"/>
    <x v="4"/>
    <x v="11"/>
  </r>
  <r>
    <s v="ORD-2026-100659"/>
    <s v="CUS68559"/>
    <d v="2026-01-16T00:00:00"/>
    <s v="D028"/>
    <n v="28"/>
    <n v="4.4000000000000004"/>
    <s v="شاحنة متوسطة"/>
    <s v="18:00-20:00"/>
    <d v="2026-01-16T07:34:00"/>
    <d v="2026-01-16T07:47:00"/>
    <d v="2026-01-16T08:51:00"/>
    <d v="2026-01-16T09:06:00"/>
    <d v="2026-01-16T09:59:00"/>
    <d v="2026-01-16T10:22:00"/>
    <n v="7"/>
    <x v="1"/>
    <s v="مكة المكرمة"/>
    <s v="أجياد"/>
    <s v="مستودع مكة المكرمة"/>
    <n v="2500"/>
    <x v="0"/>
    <x v="0"/>
    <x v="0"/>
    <x v="0"/>
    <x v="2"/>
    <x v="7"/>
  </r>
  <r>
    <s v="ORD-2026-100660"/>
    <s v="CUS90903"/>
    <d v="2026-02-11T00:00:00"/>
    <s v="D010"/>
    <n v="27"/>
    <n v="9.9"/>
    <s v="شاحنة متوسطة"/>
    <s v="18:00-20:00"/>
    <d v="2026-02-11T07:41:00"/>
    <d v="2026-02-11T07:53:00"/>
    <d v="2026-02-11T08:25:00"/>
    <d v="2026-02-11T08:32:00"/>
    <d v="2026-02-11T09:16:00"/>
    <d v="2026-02-11T09:27:00"/>
    <n v="2"/>
    <x v="1"/>
    <s v="الرياض"/>
    <s v="النزهة"/>
    <s v="مستودع الرياض الرئيسي"/>
    <n v="5000"/>
    <x v="0"/>
    <x v="0"/>
    <x v="0"/>
    <x v="0"/>
    <x v="3"/>
    <x v="4"/>
  </r>
  <r>
    <s v="ORD-2026-100661"/>
    <s v="CUS43666"/>
    <d v="2026-02-01T00:00:00"/>
    <s v="D030"/>
    <n v="7"/>
    <n v="4.5999999999999996"/>
    <s v="سيارة سيدان"/>
    <s v="08:00-10:00"/>
    <d v="2026-02-01T06:37:00"/>
    <d v="2026-02-01T07:01:00"/>
    <d v="2026-02-01T07:23:00"/>
    <d v="2026-02-01T07:40:00"/>
    <d v="2026-02-01T08:22:00"/>
    <d v="2026-02-01T08:32:00"/>
    <n v="3"/>
    <x v="1"/>
    <s v="المدينة المنورة"/>
    <s v="العنابس"/>
    <s v="مستودع المدينة المنورة"/>
    <n v="2000"/>
    <x v="0"/>
    <x v="0"/>
    <x v="0"/>
    <x v="0"/>
    <x v="4"/>
    <x v="0"/>
  </r>
  <r>
    <s v="ORD-2026-100662"/>
    <s v="CUS46287"/>
    <d v="2026-03-25T00:00:00"/>
    <s v="D024"/>
    <n v="12"/>
    <n v="10.3"/>
    <s v="شاحنة متوسطة"/>
    <s v="12:00-14:00"/>
    <d v="2026-03-25T07:17:00"/>
    <d v="2026-03-25T07:41:00"/>
    <d v="2026-03-25T08:56:00"/>
    <d v="2026-03-25T09:08:00"/>
    <d v="2026-03-25T10:02:00"/>
    <d v="2026-03-25T10:10:00"/>
    <n v="3"/>
    <x v="1"/>
    <s v="الرياض"/>
    <s v="السليمانية"/>
    <s v="مستودع الرياض الرئيسي"/>
    <n v="5000"/>
    <x v="0"/>
    <x v="1"/>
    <x v="2"/>
    <x v="1"/>
    <x v="0"/>
    <x v="14"/>
  </r>
  <r>
    <s v="ORD-2026-100663"/>
    <s v="CUS12368"/>
    <d v="2026-03-06T00:00:00"/>
    <s v="D022"/>
    <n v="16"/>
    <n v="9.4"/>
    <s v="سيارة سيدان"/>
    <s v="08:00-10:00"/>
    <d v="2026-03-06T07:44:00"/>
    <d v="2026-03-06T07:55:00"/>
    <d v="2026-03-06T08:07:00"/>
    <d v="2026-03-06T08:25:00"/>
    <d v="2026-03-06T09:17:00"/>
    <d v="2026-03-06T09:30:00"/>
    <n v="3"/>
    <x v="0"/>
    <s v="الرياض"/>
    <s v="السليمانية"/>
    <s v="مستودع الرياض الرئيسي"/>
    <n v="5000"/>
    <x v="0"/>
    <x v="0"/>
    <x v="0"/>
    <x v="0"/>
    <x v="1"/>
    <x v="2"/>
  </r>
  <r>
    <s v="ORD-2026-100664"/>
    <s v="CUS79761"/>
    <d v="2026-02-11T00:00:00"/>
    <s v="D008"/>
    <n v="34"/>
    <n v="8.6999999999999993"/>
    <s v="شاحنة متوسطة"/>
    <s v="12:00-14:00"/>
    <d v="2026-02-11T08:18:00"/>
    <d v="2026-02-11T08:35:00"/>
    <d v="2026-02-11T09:45:00"/>
    <d v="2026-02-11T09:50:00"/>
    <d v="2026-02-11T10:21:00"/>
    <d v="2026-02-11T10:47:00"/>
    <n v="3"/>
    <x v="1"/>
    <s v="الرياض"/>
    <s v="الروضة"/>
    <s v="مستودع الرياض الرئيسي"/>
    <n v="5000"/>
    <x v="0"/>
    <x v="0"/>
    <x v="0"/>
    <x v="0"/>
    <x v="0"/>
    <x v="2"/>
  </r>
  <r>
    <s v="ORD-2026-100665"/>
    <s v="CUS71260"/>
    <d v="2026-03-31T00:00:00"/>
    <s v="D006"/>
    <n v="30"/>
    <n v="4.3"/>
    <s v="شاحنة متوسطة"/>
    <s v="08:00-10:00"/>
    <d v="2026-03-31T08:41:00"/>
    <d v="2026-03-31T09:01:00"/>
    <d v="2026-03-31T10:22:00"/>
    <d v="2026-03-31T10:38:00"/>
    <d v="2026-03-31T10:53:00"/>
    <d v="2026-03-31T11:11:00"/>
    <n v="6"/>
    <x v="1"/>
    <s v="مكة المكرمة"/>
    <s v="الزاهر"/>
    <s v="مستودع مكة المكرمة"/>
    <n v="2500"/>
    <x v="0"/>
    <x v="0"/>
    <x v="0"/>
    <x v="0"/>
    <x v="2"/>
    <x v="10"/>
  </r>
  <r>
    <s v="ORD-2026-100666"/>
    <s v="CUS24500"/>
    <d v="2026-01-04T00:00:00"/>
    <s v="D005"/>
    <n v="27"/>
    <n v="8.5"/>
    <s v="فان"/>
    <s v="20:00-22:00"/>
    <d v="2026-01-04T06:05:00"/>
    <d v="2026-01-04T06:34:00"/>
    <d v="2026-01-04T07:20:00"/>
    <d v="2026-01-04T07:40:00"/>
    <d v="2026-01-04T08:05:00"/>
    <d v="2026-01-04T08:34:00"/>
    <n v="5"/>
    <x v="0"/>
    <s v="المدينة المنورة"/>
    <s v="قباء"/>
    <s v="مستودع المدينة المنورة"/>
    <n v="2000"/>
    <x v="1"/>
    <x v="0"/>
    <x v="0"/>
    <x v="0"/>
    <x v="2"/>
    <x v="2"/>
  </r>
  <r>
    <s v="ORD-2026-100667"/>
    <s v="CUS93389"/>
    <d v="2026-03-15T00:00:00"/>
    <s v="D010"/>
    <n v="15"/>
    <n v="10.1"/>
    <s v="فان"/>
    <s v="16:00-18:00"/>
    <d v="2026-03-15T07:44:00"/>
    <d v="2026-03-15T08:00:00"/>
    <d v="2026-03-15T08:37:00"/>
    <d v="2026-03-15T08:55:00"/>
    <d v="2026-03-15T09:43:00"/>
    <d v="2026-03-15T10:05:00"/>
    <n v="3"/>
    <x v="1"/>
    <s v="جدة"/>
    <s v="الأندلس"/>
    <s v="مستودع جدة الرئيسي"/>
    <n v="4000"/>
    <x v="0"/>
    <x v="0"/>
    <x v="0"/>
    <x v="0"/>
    <x v="0"/>
    <x v="10"/>
  </r>
  <r>
    <s v="ORD-2026-100668"/>
    <s v="CUS60246"/>
    <d v="2026-02-10T00:00:00"/>
    <s v="D017"/>
    <n v="19"/>
    <n v="10.9"/>
    <s v="فان"/>
    <s v="20:00-22:00"/>
    <d v="2026-02-10T07:58:00"/>
    <d v="2026-02-10T08:12:00"/>
    <d v="2026-02-10T09:19:00"/>
    <d v="2026-02-10T09:29:00"/>
    <d v="2026-02-10T09:50:00"/>
    <d v="2026-02-10T10:20:00"/>
    <n v="3"/>
    <x v="5"/>
    <s v="المدينة المنورة"/>
    <s v="العنابس"/>
    <s v="مستودع المدينة المنورة"/>
    <n v="2000"/>
    <x v="0"/>
    <x v="0"/>
    <x v="0"/>
    <x v="0"/>
    <x v="0"/>
    <x v="8"/>
  </r>
  <r>
    <s v="ORD-2026-100669"/>
    <s v="CUS71854"/>
    <d v="2026-03-16T00:00:00"/>
    <s v="D021"/>
    <n v="31"/>
    <n v="5.5"/>
    <s v="شاحنة صغيرة"/>
    <s v="16:00-18:00"/>
    <d v="2026-03-16T06:57:00"/>
    <d v="2026-03-16T07:06:00"/>
    <d v="2026-03-16T08:34:00"/>
    <d v="2026-03-16T08:41:00"/>
    <d v="2026-03-16T09:29:00"/>
    <d v="2026-03-16T10:10:00"/>
    <n v="6"/>
    <x v="1"/>
    <s v="مكة المكرمة"/>
    <s v="أجياد"/>
    <s v="مستودع مكة المكرمة"/>
    <n v="2500"/>
    <x v="0"/>
    <x v="0"/>
    <x v="0"/>
    <x v="0"/>
    <x v="3"/>
    <x v="10"/>
  </r>
  <r>
    <s v="ORD-2026-100670"/>
    <s v="CUS14048"/>
    <d v="2026-03-29T00:00:00"/>
    <s v="D003"/>
    <n v="29"/>
    <n v="8.4"/>
    <s v="دراجة نارية"/>
    <s v="20:00-22:00"/>
    <d v="2026-03-29T09:53:00"/>
    <d v="2026-03-29T10:03:00"/>
    <d v="2026-03-29T11:11:00"/>
    <d v="2026-03-29T11:27:00"/>
    <d v="2026-03-29T12:23:00"/>
    <d v="2026-03-29T12:43:00"/>
    <n v="2"/>
    <x v="1"/>
    <s v="الدمام"/>
    <s v="العزيزية"/>
    <s v="مستودع الدمام"/>
    <n v="3000"/>
    <x v="0"/>
    <x v="0"/>
    <x v="0"/>
    <x v="0"/>
    <x v="3"/>
    <x v="8"/>
  </r>
  <r>
    <s v="ORD-2026-100671"/>
    <s v="CUS14236"/>
    <d v="2026-01-27T00:00:00"/>
    <s v="D019"/>
    <n v="20"/>
    <n v="9.5"/>
    <s v="فان"/>
    <s v="10:00-12:00"/>
    <d v="2026-01-27T09:23:00"/>
    <d v="2026-01-27T09:33:00"/>
    <d v="2026-01-27T10:42:00"/>
    <d v="2026-01-27T10:50:00"/>
    <d v="2026-01-27T11:38:00"/>
    <d v="2026-01-27T12:04:00"/>
    <n v="7"/>
    <x v="1"/>
    <s v="مكة المكرمة"/>
    <s v="أجياد"/>
    <s v="مستودع مكة المكرمة"/>
    <n v="2500"/>
    <x v="0"/>
    <x v="0"/>
    <x v="0"/>
    <x v="0"/>
    <x v="0"/>
    <x v="7"/>
  </r>
  <r>
    <s v="ORD-2026-100672"/>
    <s v="CUS48399"/>
    <d v="2026-03-29T00:00:00"/>
    <s v="D022"/>
    <n v="35"/>
    <n v="10.9"/>
    <s v="شاحنة صغيرة"/>
    <s v="20:00-22:00"/>
    <d v="2026-03-29T07:46:00"/>
    <d v="2026-03-29T07:59:00"/>
    <d v="2026-03-29T09:17:00"/>
    <d v="2026-03-29T09:25:00"/>
    <d v="2026-03-29T10:20:00"/>
    <d v="2026-03-29T11:03:00"/>
    <n v="6"/>
    <x v="1"/>
    <s v="مكة المكرمة"/>
    <s v="المسفلة"/>
    <s v="مستودع مكة المكرمة"/>
    <n v="2500"/>
    <x v="0"/>
    <x v="0"/>
    <x v="0"/>
    <x v="0"/>
    <x v="0"/>
    <x v="7"/>
  </r>
  <r>
    <s v="ORD-2026-100673"/>
    <s v="CUS96053"/>
    <d v="2026-02-20T00:00:00"/>
    <s v="D027"/>
    <n v="30"/>
    <n v="9.6999999999999993"/>
    <s v="شاحنة متوسطة"/>
    <s v="18:00-20:00"/>
    <d v="2026-02-20T08:46:00"/>
    <d v="2026-02-20T09:05:00"/>
    <d v="2026-02-20T10:09:00"/>
    <d v="2026-02-20T10:17:00"/>
    <d v="2026-02-20T10:33:00"/>
    <d v="2026-02-20T10:47:00"/>
    <n v="7"/>
    <x v="0"/>
    <s v="الرياض"/>
    <s v="الورود"/>
    <s v="مستودع الرياض الرئيسي"/>
    <n v="5000"/>
    <x v="0"/>
    <x v="0"/>
    <x v="0"/>
    <x v="0"/>
    <x v="3"/>
    <x v="12"/>
  </r>
  <r>
    <s v="ORD-2026-100674"/>
    <s v="CUS43806"/>
    <d v="2026-02-13T00:00:00"/>
    <s v="D005"/>
    <n v="35"/>
    <n v="5.7"/>
    <s v="شاحنة صغيرة"/>
    <s v="12:00-14:00"/>
    <d v="2026-02-13T08:44:00"/>
    <d v="2026-02-13T09:11:00"/>
    <d v="2026-02-13T09:30:00"/>
    <d v="2026-02-13T09:49:00"/>
    <d v="2026-02-13T10:44:00"/>
    <d v="2026-02-13T11:20:00"/>
    <n v="7"/>
    <x v="5"/>
    <s v="جدة"/>
    <s v="الأندلس"/>
    <s v="مستودع جدة الرئيسي"/>
    <n v="4000"/>
    <x v="0"/>
    <x v="0"/>
    <x v="0"/>
    <x v="0"/>
    <x v="2"/>
    <x v="4"/>
  </r>
  <r>
    <s v="ORD-2026-100675"/>
    <s v="CUS98247"/>
    <d v="2026-03-14T00:00:00"/>
    <s v="D009"/>
    <n v="13"/>
    <n v="5.2"/>
    <s v="سيارة سيدان"/>
    <s v="08:00-10:00"/>
    <d v="2026-03-14T06:56:00"/>
    <d v="2026-03-14T07:12:00"/>
    <d v="2026-03-14T08:34:00"/>
    <d v="2026-03-14T08:50:00"/>
    <d v="2026-03-14T09:45:00"/>
    <d v="2026-03-14T10:08:00"/>
    <n v="3"/>
    <x v="1"/>
    <s v="المدينة المنورة"/>
    <s v="العوالي"/>
    <s v="مستودع المدينة المنورة"/>
    <n v="2000"/>
    <x v="0"/>
    <x v="0"/>
    <x v="0"/>
    <x v="0"/>
    <x v="2"/>
    <x v="4"/>
  </r>
  <r>
    <s v="ORD-2026-100676"/>
    <s v="CUS55116"/>
    <d v="2026-02-07T00:00:00"/>
    <s v="D005"/>
    <n v="23"/>
    <n v="10.9"/>
    <s v="سيارة سيدان"/>
    <s v="18:00-20:00"/>
    <d v="2026-02-07T06:58:00"/>
    <d v="2026-02-07T07:03:00"/>
    <d v="2026-02-07T07:40:00"/>
    <d v="2026-02-07T07:54:00"/>
    <d v="2026-02-07T08:13:00"/>
    <d v="2026-02-07T08:55:00"/>
    <n v="1"/>
    <x v="2"/>
    <s v="جدة"/>
    <s v="الزهراء"/>
    <s v="مستودع جدة الرئيسي"/>
    <n v="4000"/>
    <x v="0"/>
    <x v="1"/>
    <x v="3"/>
    <x v="4"/>
    <x v="2"/>
    <x v="14"/>
  </r>
  <r>
    <s v="ORD-2026-100677"/>
    <s v="CUS46479"/>
    <d v="2026-03-24T00:00:00"/>
    <s v="D005"/>
    <n v="38"/>
    <n v="7"/>
    <s v="فان"/>
    <s v="18:00-20:00"/>
    <d v="2026-03-24T06:43:00"/>
    <d v="2026-03-24T07:04:00"/>
    <d v="2026-03-24T08:15:00"/>
    <d v="2026-03-24T08:25:00"/>
    <d v="2026-03-24T09:05:00"/>
    <d v="2026-03-24T09:34:00"/>
    <n v="1"/>
    <x v="1"/>
    <s v="المدينة المنورة"/>
    <s v="الحرة الغربية"/>
    <s v="مستودع المدينة المنورة"/>
    <n v="2000"/>
    <x v="0"/>
    <x v="0"/>
    <x v="0"/>
    <x v="0"/>
    <x v="3"/>
    <x v="14"/>
  </r>
  <r>
    <s v="ORD-2026-100678"/>
    <s v="CUS45582"/>
    <d v="2026-03-19T00:00:00"/>
    <s v="D025"/>
    <n v="27"/>
    <n v="8"/>
    <s v="شاحنة متوسطة"/>
    <s v="18:00-20:00"/>
    <d v="2026-03-19T09:52:00"/>
    <d v="2026-03-19T09:57:00"/>
    <d v="2026-03-19T11:14:00"/>
    <d v="2026-03-19T11:26:00"/>
    <d v="2026-03-19T12:23:00"/>
    <d v="2026-03-19T12:40:00"/>
    <n v="3"/>
    <x v="1"/>
    <s v="الرياض"/>
    <s v="حطين"/>
    <s v="مستودع الرياض الرئيسي"/>
    <n v="5000"/>
    <x v="0"/>
    <x v="0"/>
    <x v="0"/>
    <x v="0"/>
    <x v="2"/>
    <x v="8"/>
  </r>
  <r>
    <s v="ORD-2026-100679"/>
    <s v="CUS18345"/>
    <d v="2026-03-12T00:00:00"/>
    <s v="D018"/>
    <n v="8"/>
    <n v="7.6"/>
    <s v="شاحنة متوسطة"/>
    <s v="10:00-12:00"/>
    <d v="2026-03-12T07:02:00"/>
    <d v="2026-03-12T07:15:00"/>
    <d v="2026-03-12T07:48:00"/>
    <d v="2026-03-12T08:00:00"/>
    <d v="2026-03-12T08:24:00"/>
    <d v="2026-03-12T08:58:00"/>
    <n v="2"/>
    <x v="0"/>
    <s v="المدينة المنورة"/>
    <s v="العوالي"/>
    <s v="مستودع المدينة المنورة"/>
    <n v="2000"/>
    <x v="0"/>
    <x v="0"/>
    <x v="0"/>
    <x v="0"/>
    <x v="0"/>
    <x v="0"/>
  </r>
  <r>
    <s v="ORD-2026-100680"/>
    <s v="CUS35873"/>
    <d v="2026-01-17T00:00:00"/>
    <s v="D017"/>
    <n v="18"/>
    <n v="5.8"/>
    <s v="شاحنة متوسطة"/>
    <s v="20:00-22:00"/>
    <d v="2026-01-17T08:28:00"/>
    <d v="2026-01-17T08:48:00"/>
    <d v="2026-01-17T09:57:00"/>
    <d v="2026-01-17T10:05:00"/>
    <d v="2026-01-17T10:49:00"/>
    <d v="2026-01-17T10:57:00"/>
    <n v="3"/>
    <x v="1"/>
    <s v="الدمام"/>
    <s v="العزيزية"/>
    <s v="مستودع الدمام"/>
    <n v="3000"/>
    <x v="0"/>
    <x v="0"/>
    <x v="0"/>
    <x v="0"/>
    <x v="2"/>
    <x v="4"/>
  </r>
  <r>
    <s v="ORD-2026-100681"/>
    <s v="CUS74566"/>
    <d v="2026-01-13T00:00:00"/>
    <s v="D018"/>
    <n v="36"/>
    <n v="6.4"/>
    <s v="شاحنة صغيرة"/>
    <s v="16:00-18:00"/>
    <d v="2026-01-13T07:50:00"/>
    <d v="2026-01-13T07:58:00"/>
    <d v="2026-01-13T09:04:00"/>
    <d v="2026-01-13T09:15:00"/>
    <d v="2026-01-13T10:02:00"/>
    <d v="2026-01-13T10:47:00"/>
    <n v="5"/>
    <x v="1"/>
    <s v="المدينة المنورة"/>
    <s v="قباء"/>
    <s v="مستودع المدينة المنورة"/>
    <n v="2000"/>
    <x v="1"/>
    <x v="0"/>
    <x v="0"/>
    <x v="0"/>
    <x v="2"/>
    <x v="11"/>
  </r>
  <r>
    <s v="ORD-2026-100682"/>
    <s v="CUS76787"/>
    <d v="2026-03-22T00:00:00"/>
    <s v="D006"/>
    <n v="35"/>
    <n v="8.1"/>
    <s v="سيارة سيدان"/>
    <s v="12:00-14:00"/>
    <d v="2026-03-22T09:42:00"/>
    <d v="2026-03-22T10:04:00"/>
    <d v="2026-03-22T10:45:00"/>
    <d v="2026-03-22T11:00:00"/>
    <d v="2026-03-22T11:27:00"/>
    <d v="2026-03-22T12:07:00"/>
    <n v="5"/>
    <x v="1"/>
    <s v="الدمام"/>
    <s v="المزروعية"/>
    <s v="مستودع الدمام"/>
    <n v="3000"/>
    <x v="0"/>
    <x v="1"/>
    <x v="1"/>
    <x v="4"/>
    <x v="4"/>
    <x v="5"/>
  </r>
  <r>
    <s v="ORD-2026-100683"/>
    <s v="CUS99751"/>
    <d v="2026-03-02T00:00:00"/>
    <s v="D016"/>
    <n v="9"/>
    <n v="10.1"/>
    <s v="سيارة سيدان"/>
    <s v="08:00-10:00"/>
    <d v="2026-03-02T09:56:00"/>
    <d v="2026-03-02T10:15:00"/>
    <d v="2026-03-02T11:08:00"/>
    <d v="2026-03-02T11:18:00"/>
    <d v="2026-03-02T11:40:00"/>
    <d v="2026-03-02T11:51:00"/>
    <n v="7"/>
    <x v="5"/>
    <s v="جدة"/>
    <s v="الزهراء"/>
    <s v="مستودع جدة الرئيسي"/>
    <n v="4000"/>
    <x v="0"/>
    <x v="0"/>
    <x v="0"/>
    <x v="0"/>
    <x v="2"/>
    <x v="8"/>
  </r>
  <r>
    <s v="ORD-2026-100684"/>
    <s v="CUS45308"/>
    <d v="2026-02-08T00:00:00"/>
    <s v="D030"/>
    <n v="14"/>
    <n v="6.6"/>
    <s v="دراجة نارية"/>
    <s v="20:00-22:00"/>
    <d v="2026-02-08T07:41:00"/>
    <d v="2026-02-08T08:11:00"/>
    <d v="2026-02-08T08:42:00"/>
    <d v="2026-02-08T08:52:00"/>
    <d v="2026-02-08T09:41:00"/>
    <d v="2026-02-08T09:56:00"/>
    <n v="3"/>
    <x v="1"/>
    <s v="المدينة المنورة"/>
    <s v="قباء"/>
    <s v="مستودع المدينة المنورة"/>
    <n v="2000"/>
    <x v="1"/>
    <x v="0"/>
    <x v="0"/>
    <x v="0"/>
    <x v="0"/>
    <x v="3"/>
  </r>
  <r>
    <s v="ORD-2026-100685"/>
    <s v="CUS56348"/>
    <d v="2026-01-30T00:00:00"/>
    <s v="D030"/>
    <n v="24"/>
    <n v="7"/>
    <s v="سيارة سيدان"/>
    <s v="12:00-14:00"/>
    <d v="2026-01-30T09:06:00"/>
    <d v="2026-01-30T09:22:00"/>
    <d v="2026-01-30T10:12:00"/>
    <d v="2026-01-30T10:31:00"/>
    <d v="2026-01-30T11:00:00"/>
    <d v="2026-01-30T11:32:00"/>
    <n v="5"/>
    <x v="1"/>
    <s v="الدمام"/>
    <s v="الجلوية"/>
    <s v="مستودع الدمام"/>
    <n v="3000"/>
    <x v="0"/>
    <x v="0"/>
    <x v="0"/>
    <x v="0"/>
    <x v="2"/>
    <x v="12"/>
  </r>
  <r>
    <s v="ORD-2026-100686"/>
    <s v="CUS38177"/>
    <d v="2026-03-24T00:00:00"/>
    <s v="D026"/>
    <n v="22"/>
    <n v="4.2"/>
    <s v="دراجة نارية"/>
    <s v="10:00-12:00"/>
    <d v="2026-03-24T08:49:00"/>
    <d v="2026-03-24T09:16:00"/>
    <d v="2026-03-24T09:58:00"/>
    <d v="2026-03-24T10:12:00"/>
    <d v="2026-03-24T10:45:00"/>
    <d v="2026-03-24T10:51:00"/>
    <n v="3"/>
    <x v="1"/>
    <s v="جدة"/>
    <s v="الشاطئ"/>
    <s v="مستودع جدة الرئيسي"/>
    <n v="4000"/>
    <x v="0"/>
    <x v="0"/>
    <x v="0"/>
    <x v="0"/>
    <x v="0"/>
    <x v="3"/>
  </r>
  <r>
    <s v="ORD-2026-100687"/>
    <s v="CUS59154"/>
    <d v="2026-03-21T00:00:00"/>
    <s v="D017"/>
    <n v="11"/>
    <n v="4.5999999999999996"/>
    <s v="دراجة نارية"/>
    <s v="12:00-14:00"/>
    <d v="2026-03-21T09:05:00"/>
    <d v="2026-03-21T09:25:00"/>
    <d v="2026-03-21T10:50:00"/>
    <d v="2026-03-21T11:10:00"/>
    <d v="2026-03-21T11:22:00"/>
    <d v="2026-03-21T11:51:00"/>
    <n v="6"/>
    <x v="1"/>
    <s v="مكة المكرمة"/>
    <s v="الزاهر"/>
    <s v="مستودع مكة المكرمة"/>
    <n v="2500"/>
    <x v="0"/>
    <x v="0"/>
    <x v="0"/>
    <x v="0"/>
    <x v="0"/>
    <x v="13"/>
  </r>
  <r>
    <s v="ORD-2026-100688"/>
    <s v="CUS42142"/>
    <d v="2026-01-08T00:00:00"/>
    <s v="D004"/>
    <n v="22"/>
    <n v="8.3000000000000007"/>
    <s v="فان"/>
    <s v="12:00-14:00"/>
    <d v="2026-01-08T06:28:00"/>
    <d v="2026-01-08T06:48:00"/>
    <d v="2026-01-08T07:15:00"/>
    <d v="2026-01-08T07:22:00"/>
    <d v="2026-01-08T07:52:00"/>
    <d v="2026-01-08T08:23:00"/>
    <n v="7"/>
    <x v="3"/>
    <s v="الرياض"/>
    <s v="الورود"/>
    <s v="مستودع الرياض الرئيسي"/>
    <n v="5000"/>
    <x v="0"/>
    <x v="0"/>
    <x v="0"/>
    <x v="0"/>
    <x v="2"/>
    <x v="4"/>
  </r>
  <r>
    <s v="ORD-2026-100689"/>
    <s v="CUS36081"/>
    <d v="2026-02-11T00:00:00"/>
    <s v="D019"/>
    <n v="40"/>
    <n v="8.1999999999999993"/>
    <s v="سيارة سيدان"/>
    <s v="18:00-20:00"/>
    <d v="2026-02-11T06:05:00"/>
    <d v="2026-02-11T06:14:00"/>
    <d v="2026-02-11T06:32:00"/>
    <d v="2026-02-11T06:47:00"/>
    <d v="2026-02-11T07:20:00"/>
    <d v="2026-02-11T07:53:00"/>
    <n v="6"/>
    <x v="1"/>
    <s v="المدينة المنورة"/>
    <s v="الحرة الغربية"/>
    <s v="مستودع المدينة المنورة"/>
    <n v="2000"/>
    <x v="0"/>
    <x v="0"/>
    <x v="0"/>
    <x v="0"/>
    <x v="2"/>
    <x v="6"/>
  </r>
  <r>
    <s v="ORD-2026-100690"/>
    <s v="CUS53745"/>
    <d v="2026-03-28T00:00:00"/>
    <s v="D023"/>
    <n v="6"/>
    <n v="5.0999999999999996"/>
    <s v="فان"/>
    <s v="14:00-16:00"/>
    <d v="2026-03-28T07:41:00"/>
    <d v="2026-03-28T08:11:00"/>
    <d v="2026-03-28T09:23:00"/>
    <d v="2026-03-28T09:29:00"/>
    <d v="2026-03-28T10:12:00"/>
    <d v="2026-03-28T10:20:00"/>
    <n v="5"/>
    <x v="1"/>
    <s v="الدمام"/>
    <s v="الشاطئ"/>
    <s v="مستودع الدمام"/>
    <n v="3000"/>
    <x v="0"/>
    <x v="1"/>
    <x v="2"/>
    <x v="6"/>
    <x v="2"/>
    <x v="13"/>
  </r>
  <r>
    <s v="ORD-2026-100691"/>
    <s v="CUS29949"/>
    <d v="2026-03-23T00:00:00"/>
    <s v="D003"/>
    <n v="40"/>
    <n v="10.199999999999999"/>
    <s v="شاحنة متوسطة"/>
    <s v="10:00-12:00"/>
    <d v="2026-03-23T09:24:00"/>
    <d v="2026-03-23T09:45:00"/>
    <d v="2026-03-23T10:06:00"/>
    <d v="2026-03-23T10:25:00"/>
    <d v="2026-03-23T11:14:00"/>
    <d v="2026-03-23T11:31:00"/>
    <n v="7"/>
    <x v="2"/>
    <s v="الرياض"/>
    <s v="النزهة"/>
    <s v="مستودع الرياض الرئيسي"/>
    <n v="5000"/>
    <x v="0"/>
    <x v="0"/>
    <x v="0"/>
    <x v="0"/>
    <x v="2"/>
    <x v="5"/>
  </r>
  <r>
    <s v="ORD-2026-100692"/>
    <s v="CUS52810"/>
    <d v="2026-03-25T00:00:00"/>
    <s v="D011"/>
    <n v="26"/>
    <n v="7.6"/>
    <s v="فان"/>
    <s v="08:00-10:00"/>
    <d v="2026-03-25T07:42:00"/>
    <d v="2026-03-25T08:05:00"/>
    <d v="2026-03-25T08:52:00"/>
    <d v="2026-03-25T08:57:00"/>
    <d v="2026-03-25T09:46:00"/>
    <d v="2026-03-25T10:15:00"/>
    <n v="1"/>
    <x v="5"/>
    <s v="الرياض"/>
    <s v="الملقا"/>
    <s v="مستودع الرياض الرئيسي"/>
    <n v="5000"/>
    <x v="0"/>
    <x v="0"/>
    <x v="0"/>
    <x v="0"/>
    <x v="3"/>
    <x v="10"/>
  </r>
  <r>
    <s v="ORD-2026-100693"/>
    <s v="CUS19078"/>
    <d v="2026-03-10T00:00:00"/>
    <s v="D015"/>
    <n v="27"/>
    <n v="11.1"/>
    <s v="شاحنة متوسطة"/>
    <s v="10:00-12:00"/>
    <d v="2026-03-10T06:48:00"/>
    <d v="2026-03-10T07:17:00"/>
    <d v="2026-03-10T07:45:00"/>
    <d v="2026-03-10T07:56:00"/>
    <d v="2026-03-10T08:25:00"/>
    <d v="2026-03-10T08:41:00"/>
    <n v="1"/>
    <x v="0"/>
    <s v="جدة"/>
    <s v="الأندلس"/>
    <s v="مستودع جدة الرئيسي"/>
    <n v="4000"/>
    <x v="1"/>
    <x v="0"/>
    <x v="0"/>
    <x v="0"/>
    <x v="1"/>
    <x v="6"/>
  </r>
  <r>
    <s v="ORD-2026-100694"/>
    <s v="CUS62321"/>
    <d v="2026-02-11T00:00:00"/>
    <s v="D028"/>
    <n v="18"/>
    <n v="5.6"/>
    <s v="دراجة نارية"/>
    <s v="14:00-16:00"/>
    <d v="2026-02-11T07:09:00"/>
    <d v="2026-02-11T07:21:00"/>
    <d v="2026-02-11T07:58:00"/>
    <d v="2026-02-11T08:14:00"/>
    <d v="2026-02-11T08:25:00"/>
    <d v="2026-02-11T08:38:00"/>
    <n v="4"/>
    <x v="4"/>
    <s v="الدمام"/>
    <s v="الفيصلية"/>
    <s v="مستودع الدمام"/>
    <n v="3000"/>
    <x v="0"/>
    <x v="1"/>
    <x v="1"/>
    <x v="4"/>
    <x v="4"/>
    <x v="4"/>
  </r>
  <r>
    <s v="ORD-2026-100695"/>
    <s v="CUS35032"/>
    <d v="2026-01-26T00:00:00"/>
    <s v="D007"/>
    <n v="12"/>
    <n v="4.7"/>
    <s v="دراجة نارية"/>
    <s v="16:00-18:00"/>
    <d v="2026-01-26T09:53:00"/>
    <d v="2026-01-26T10:16:00"/>
    <d v="2026-01-26T11:32:00"/>
    <d v="2026-01-26T11:40:00"/>
    <d v="2026-01-26T12:00:00"/>
    <d v="2026-01-26T12:18:00"/>
    <n v="1"/>
    <x v="1"/>
    <s v="مكة المكرمة"/>
    <s v="المسفلة"/>
    <s v="مستودع مكة المكرمة"/>
    <n v="2500"/>
    <x v="0"/>
    <x v="0"/>
    <x v="0"/>
    <x v="0"/>
    <x v="0"/>
    <x v="12"/>
  </r>
  <r>
    <s v="ORD-2026-100696"/>
    <s v="CUS49412"/>
    <d v="2026-01-27T00:00:00"/>
    <s v="D003"/>
    <n v="35"/>
    <n v="6"/>
    <s v="شاحنة صغيرة"/>
    <s v="14:00-16:00"/>
    <d v="2026-01-27T06:04:00"/>
    <d v="2026-01-27T06:09:00"/>
    <d v="2026-01-27T07:07:00"/>
    <d v="2026-01-27T07:25:00"/>
    <d v="2026-01-27T08:00:00"/>
    <d v="2026-01-27T08:11:00"/>
    <n v="3"/>
    <x v="1"/>
    <s v="المدينة المنورة"/>
    <s v="الحرة الغربية"/>
    <s v="مستودع المدينة المنورة"/>
    <n v="2000"/>
    <x v="0"/>
    <x v="0"/>
    <x v="0"/>
    <x v="0"/>
    <x v="0"/>
    <x v="10"/>
  </r>
  <r>
    <s v="ORD-2026-100697"/>
    <s v="CUS88145"/>
    <d v="2026-01-30T00:00:00"/>
    <s v="D023"/>
    <n v="35"/>
    <n v="4.0999999999999996"/>
    <s v="سيارة سيدان"/>
    <s v="18:00-20:00"/>
    <d v="2026-01-30T08:45:00"/>
    <d v="2026-01-30T09:00:00"/>
    <d v="2026-01-30T09:15:00"/>
    <d v="2026-01-30T09:24:00"/>
    <d v="2026-01-30T09:49:00"/>
    <d v="2026-01-30T10:05:00"/>
    <n v="5"/>
    <x v="0"/>
    <s v="الرياض"/>
    <s v="السليمانية"/>
    <s v="مستودع الرياض الرئيسي"/>
    <n v="5000"/>
    <x v="0"/>
    <x v="0"/>
    <x v="0"/>
    <x v="0"/>
    <x v="0"/>
    <x v="7"/>
  </r>
  <r>
    <s v="ORD-2026-100698"/>
    <s v="CUS44757"/>
    <d v="2026-01-27T00:00:00"/>
    <s v="D028"/>
    <n v="31"/>
    <n v="10.6"/>
    <s v="فان"/>
    <s v="10:00-12:00"/>
    <d v="2026-01-27T06:44:00"/>
    <d v="2026-01-27T07:05:00"/>
    <d v="2026-01-27T07:34:00"/>
    <d v="2026-01-27T07:44:00"/>
    <d v="2026-01-27T08:17:00"/>
    <d v="2026-01-27T08:29:00"/>
    <n v="7"/>
    <x v="4"/>
    <s v="الدمام"/>
    <s v="الشاطئ"/>
    <s v="مستودع الدمام"/>
    <n v="3000"/>
    <x v="0"/>
    <x v="0"/>
    <x v="0"/>
    <x v="0"/>
    <x v="2"/>
    <x v="1"/>
  </r>
  <r>
    <s v="ORD-2026-100699"/>
    <s v="CUS39189"/>
    <d v="2026-03-21T00:00:00"/>
    <s v="D011"/>
    <n v="26"/>
    <n v="4.2"/>
    <s v="فان"/>
    <s v="08:00-10:00"/>
    <d v="2026-03-21T09:08:00"/>
    <d v="2026-03-21T09:17:00"/>
    <d v="2026-03-21T10:19:00"/>
    <d v="2026-03-21T10:25:00"/>
    <d v="2026-03-21T11:09:00"/>
    <d v="2026-03-21T11:38:00"/>
    <n v="7"/>
    <x v="1"/>
    <s v="الرياض"/>
    <s v="العليا"/>
    <s v="مستودع الرياض الرئيسي"/>
    <n v="5000"/>
    <x v="0"/>
    <x v="0"/>
    <x v="0"/>
    <x v="0"/>
    <x v="4"/>
    <x v="5"/>
  </r>
  <r>
    <s v="ORD-2026-100700"/>
    <s v="CUS90427"/>
    <d v="2026-01-12T00:00:00"/>
    <s v="D014"/>
    <n v="35"/>
    <n v="7.7"/>
    <s v="فان"/>
    <s v="20:00-22:00"/>
    <d v="2026-01-12T09:49:00"/>
    <d v="2026-01-12T10:11:00"/>
    <d v="2026-01-12T11:17:00"/>
    <d v="2026-01-12T11:26:00"/>
    <d v="2026-01-12T12:14:00"/>
    <d v="2026-01-12T12:59:00"/>
    <n v="1"/>
    <x v="1"/>
    <s v="الرياض"/>
    <s v="النزهة"/>
    <s v="مستودع الرياض الرئيسي"/>
    <n v="5000"/>
    <x v="0"/>
    <x v="1"/>
    <x v="1"/>
    <x v="5"/>
    <x v="0"/>
    <x v="6"/>
  </r>
  <r>
    <s v="ORD-2026-100701"/>
    <s v="CUS39651"/>
    <d v="2026-03-27T00:00:00"/>
    <s v="D023"/>
    <n v="36"/>
    <n v="10"/>
    <s v="شاحنة متوسطة"/>
    <s v="10:00-12:00"/>
    <d v="2026-03-27T06:32:00"/>
    <d v="2026-03-27T06:44:00"/>
    <d v="2026-03-27T07:59:00"/>
    <d v="2026-03-27T08:08:00"/>
    <d v="2026-03-27T08:27:00"/>
    <d v="2026-03-27T08:46:00"/>
    <n v="6"/>
    <x v="6"/>
    <s v="الرياض"/>
    <s v="الربوة"/>
    <s v="مستودع الرياض الرئيسي"/>
    <n v="5000"/>
    <x v="0"/>
    <x v="0"/>
    <x v="0"/>
    <x v="0"/>
    <x v="2"/>
    <x v="2"/>
  </r>
  <r>
    <s v="ORD-2026-100702"/>
    <s v="CUS92821"/>
    <d v="2026-02-02T00:00:00"/>
    <s v="D006"/>
    <n v="34"/>
    <n v="9.3000000000000007"/>
    <s v="شاحنة متوسطة"/>
    <s v="16:00-18:00"/>
    <d v="2026-02-02T08:27:00"/>
    <d v="2026-02-02T08:40:00"/>
    <d v="2026-02-02T09:06:00"/>
    <d v="2026-02-02T09:21:00"/>
    <d v="2026-02-02T09:58:00"/>
    <d v="2026-02-02T10:26:00"/>
    <n v="6"/>
    <x v="2"/>
    <s v="الدمام"/>
    <s v="الشاطئ"/>
    <s v="مستودع الدمام"/>
    <n v="3000"/>
    <x v="1"/>
    <x v="0"/>
    <x v="0"/>
    <x v="0"/>
    <x v="0"/>
    <x v="12"/>
  </r>
  <r>
    <s v="ORD-2026-100703"/>
    <s v="CUS63170"/>
    <d v="2026-01-07T00:00:00"/>
    <s v="D026"/>
    <n v="5"/>
    <n v="5.0999999999999996"/>
    <s v="شاحنة صغيرة"/>
    <s v="20:00-22:00"/>
    <d v="2026-01-07T09:23:00"/>
    <d v="2026-01-07T09:35:00"/>
    <d v="2026-01-07T10:05:00"/>
    <d v="2026-01-07T10:22:00"/>
    <d v="2026-01-07T10:52:00"/>
    <d v="2026-01-07T10:57:00"/>
    <n v="5"/>
    <x v="1"/>
    <s v="جدة"/>
    <s v="الزهراء"/>
    <s v="مستودع جدة الرئيسي"/>
    <n v="4000"/>
    <x v="0"/>
    <x v="0"/>
    <x v="0"/>
    <x v="0"/>
    <x v="0"/>
    <x v="13"/>
  </r>
  <r>
    <s v="ORD-2026-100704"/>
    <s v="CUS97557"/>
    <d v="2026-02-27T00:00:00"/>
    <s v="D007"/>
    <n v="21"/>
    <n v="8.4"/>
    <s v="شاحنة صغيرة"/>
    <s v="18:00-20:00"/>
    <d v="2026-02-27T07:11:00"/>
    <d v="2026-02-27T07:36:00"/>
    <d v="2026-02-27T08:51:00"/>
    <d v="2026-02-27T09:06:00"/>
    <d v="2026-02-27T09:37:00"/>
    <d v="2026-02-27T09:53:00"/>
    <n v="3"/>
    <x v="1"/>
    <s v="مكة المكرمة"/>
    <s v="المسفلة"/>
    <s v="مستودع مكة المكرمة"/>
    <n v="2500"/>
    <x v="0"/>
    <x v="0"/>
    <x v="0"/>
    <x v="0"/>
    <x v="2"/>
    <x v="8"/>
  </r>
  <r>
    <s v="ORD-2026-100705"/>
    <s v="CUS67168"/>
    <d v="2026-02-13T00:00:00"/>
    <s v="D025"/>
    <n v="9"/>
    <n v="10.3"/>
    <s v="فان"/>
    <s v="18:00-20:00"/>
    <d v="2026-02-13T06:06:00"/>
    <d v="2026-02-13T06:28:00"/>
    <d v="2026-02-13T06:54:00"/>
    <d v="2026-02-13T07:02:00"/>
    <d v="2026-02-13T07:26:00"/>
    <d v="2026-02-13T08:00:00"/>
    <n v="7"/>
    <x v="0"/>
    <s v="المدينة المنورة"/>
    <s v="الحرة الغربية"/>
    <s v="مستودع المدينة المنورة"/>
    <n v="2000"/>
    <x v="0"/>
    <x v="0"/>
    <x v="0"/>
    <x v="0"/>
    <x v="2"/>
    <x v="4"/>
  </r>
  <r>
    <s v="ORD-2026-100706"/>
    <s v="CUS79582"/>
    <d v="2026-03-12T00:00:00"/>
    <s v="D003"/>
    <n v="30"/>
    <n v="10.6"/>
    <s v="شاحنة متوسطة"/>
    <s v="10:00-12:00"/>
    <d v="2026-03-12T06:36:00"/>
    <d v="2026-03-12T07:02:00"/>
    <d v="2026-03-12T07:40:00"/>
    <d v="2026-03-12T07:45:00"/>
    <d v="2026-03-12T08:07:00"/>
    <d v="2026-03-12T08:34:00"/>
    <n v="5"/>
    <x v="1"/>
    <s v="المدينة المنورة"/>
    <s v="قباء"/>
    <s v="مستودع المدينة المنورة"/>
    <n v="2000"/>
    <x v="0"/>
    <x v="1"/>
    <x v="0"/>
    <x v="6"/>
    <x v="2"/>
    <x v="2"/>
  </r>
  <r>
    <s v="ORD-2026-100707"/>
    <s v="CUS72461"/>
    <d v="2026-01-22T00:00:00"/>
    <s v="D012"/>
    <n v="15"/>
    <n v="9.1"/>
    <s v="شاحنة متوسطة"/>
    <s v="10:00-12:00"/>
    <d v="2026-01-22T09:35:00"/>
    <d v="2026-01-22T10:04:00"/>
    <d v="2026-01-22T10:33:00"/>
    <d v="2026-01-22T10:51:00"/>
    <d v="2026-01-22T11:13:00"/>
    <d v="2026-01-22T11:35:00"/>
    <n v="1"/>
    <x v="1"/>
    <s v="جدة"/>
    <s v="الحمراء"/>
    <s v="مستودع جدة الرئيسي"/>
    <n v="4000"/>
    <x v="1"/>
    <x v="0"/>
    <x v="0"/>
    <x v="0"/>
    <x v="0"/>
    <x v="12"/>
  </r>
  <r>
    <s v="ORD-2026-100708"/>
    <s v="CUS31004"/>
    <d v="2026-03-01T00:00:00"/>
    <s v="D011"/>
    <n v="24"/>
    <n v="4"/>
    <s v="سيارة سيدان"/>
    <s v="18:00-20:00"/>
    <d v="2026-03-01T08:22:00"/>
    <d v="2026-03-01T08:48:00"/>
    <d v="2026-03-01T09:37:00"/>
    <d v="2026-03-01T09:48:00"/>
    <d v="2026-03-01T10:44:00"/>
    <d v="2026-03-01T11:28:00"/>
    <n v="5"/>
    <x v="1"/>
    <s v="جدة"/>
    <s v="الصفا"/>
    <s v="مستودع جدة الرئيسي"/>
    <n v="4000"/>
    <x v="0"/>
    <x v="0"/>
    <x v="0"/>
    <x v="0"/>
    <x v="3"/>
    <x v="1"/>
  </r>
  <r>
    <s v="ORD-2026-100709"/>
    <s v="CUS98111"/>
    <d v="2026-02-01T00:00:00"/>
    <s v="D013"/>
    <n v="31"/>
    <n v="7.1"/>
    <s v="دراجة نارية"/>
    <s v="10:00-12:00"/>
    <d v="2026-02-01T09:33:00"/>
    <d v="2026-02-01T09:49:00"/>
    <d v="2026-02-01T10:08:00"/>
    <d v="2026-02-01T10:20:00"/>
    <d v="2026-02-01T10:47:00"/>
    <d v="2026-02-01T11:00:00"/>
    <n v="4"/>
    <x v="2"/>
    <s v="جدة"/>
    <s v="الصفا"/>
    <s v="مستودع جدة الرئيسي"/>
    <n v="4000"/>
    <x v="0"/>
    <x v="0"/>
    <x v="0"/>
    <x v="0"/>
    <x v="3"/>
    <x v="14"/>
  </r>
  <r>
    <s v="ORD-2026-100710"/>
    <s v="CUS54744"/>
    <d v="2026-02-05T00:00:00"/>
    <s v="D025"/>
    <n v="12"/>
    <n v="8.1999999999999993"/>
    <s v="شاحنة متوسطة"/>
    <s v="08:00-10:00"/>
    <d v="2026-02-05T09:17:00"/>
    <d v="2026-02-05T09:42:00"/>
    <d v="2026-02-05T11:08:00"/>
    <d v="2026-02-05T11:28:00"/>
    <d v="2026-02-05T11:52:00"/>
    <d v="2026-02-05T12:25:00"/>
    <n v="3"/>
    <x v="1"/>
    <s v="الدمام"/>
    <s v="العزيزية"/>
    <s v="مستودع الدمام"/>
    <n v="3000"/>
    <x v="0"/>
    <x v="0"/>
    <x v="0"/>
    <x v="0"/>
    <x v="3"/>
    <x v="5"/>
  </r>
  <r>
    <s v="ORD-2026-100711"/>
    <s v="CUS97151"/>
    <d v="2026-02-04T00:00:00"/>
    <s v="D002"/>
    <n v="12"/>
    <n v="9"/>
    <s v="فان"/>
    <s v="16:00-18:00"/>
    <d v="2026-02-04T06:43:00"/>
    <d v="2026-02-04T07:10:00"/>
    <d v="2026-02-04T08:22:00"/>
    <d v="2026-02-04T08:36:00"/>
    <d v="2026-02-04T09:00:00"/>
    <d v="2026-02-04T09:38:00"/>
    <n v="1"/>
    <x v="2"/>
    <s v="مكة المكرمة"/>
    <s v="الزاهر"/>
    <s v="مستودع مكة المكرمة"/>
    <n v="2500"/>
    <x v="0"/>
    <x v="0"/>
    <x v="0"/>
    <x v="0"/>
    <x v="2"/>
    <x v="1"/>
  </r>
  <r>
    <s v="ORD-2026-100712"/>
    <s v="CUS73641"/>
    <d v="2026-03-05T00:00:00"/>
    <s v="D027"/>
    <n v="8"/>
    <n v="9.1"/>
    <s v="سيارة سيدان"/>
    <s v="20:00-22:00"/>
    <d v="2026-03-05T09:05:00"/>
    <d v="2026-03-05T09:33:00"/>
    <d v="2026-03-05T10:18:00"/>
    <d v="2026-03-05T10:31:00"/>
    <d v="2026-03-05T11:21:00"/>
    <d v="2026-03-05T11:58:00"/>
    <n v="3"/>
    <x v="1"/>
    <s v="مكة المكرمة"/>
    <s v="أجياد"/>
    <s v="مستودع مكة المكرمة"/>
    <n v="2500"/>
    <x v="0"/>
    <x v="1"/>
    <x v="0"/>
    <x v="3"/>
    <x v="1"/>
    <x v="3"/>
  </r>
  <r>
    <s v="ORD-2026-100713"/>
    <s v="CUS94237"/>
    <d v="2026-02-01T00:00:00"/>
    <s v="D019"/>
    <n v="32"/>
    <n v="9.3000000000000007"/>
    <s v="شاحنة صغيرة"/>
    <s v="20:00-22:00"/>
    <d v="2026-02-01T09:31:00"/>
    <d v="2026-02-01T09:58:00"/>
    <d v="2026-02-01T11:10:00"/>
    <d v="2026-02-01T11:27:00"/>
    <d v="2026-02-01T12:15:00"/>
    <d v="2026-02-01T12:53:00"/>
    <n v="7"/>
    <x v="1"/>
    <s v="مكة المكرمة"/>
    <s v="الشوقية"/>
    <s v="مستودع مكة المكرمة"/>
    <n v="2500"/>
    <x v="0"/>
    <x v="0"/>
    <x v="0"/>
    <x v="0"/>
    <x v="2"/>
    <x v="3"/>
  </r>
  <r>
    <s v="ORD-2026-100714"/>
    <s v="CUS92328"/>
    <d v="2026-01-13T00:00:00"/>
    <s v="D019"/>
    <n v="20"/>
    <n v="6.9"/>
    <s v="شاحنة متوسطة"/>
    <s v="14:00-16:00"/>
    <d v="2026-01-13T09:28:00"/>
    <d v="2026-01-13T09:45:00"/>
    <d v="2026-01-13T10:00:00"/>
    <d v="2026-01-13T10:16:00"/>
    <d v="2026-01-13T11:07:00"/>
    <d v="2026-01-13T11:40:00"/>
    <n v="7"/>
    <x v="1"/>
    <s v="الرياض"/>
    <s v="النزهة"/>
    <s v="مستودع الرياض الرئيسي"/>
    <n v="5000"/>
    <x v="0"/>
    <x v="0"/>
    <x v="0"/>
    <x v="0"/>
    <x v="2"/>
    <x v="3"/>
  </r>
  <r>
    <s v="ORD-2026-100715"/>
    <s v="CUS70057"/>
    <d v="2026-02-25T00:00:00"/>
    <s v="D022"/>
    <n v="16"/>
    <n v="4.2"/>
    <s v="سيارة سيدان"/>
    <s v="08:00-10:00"/>
    <d v="2026-02-25T07:14:00"/>
    <d v="2026-02-25T07:32:00"/>
    <d v="2026-02-25T07:45:00"/>
    <d v="2026-02-25T08:04:00"/>
    <d v="2026-02-25T08:30:00"/>
    <d v="2026-02-25T08:57:00"/>
    <n v="7"/>
    <x v="1"/>
    <s v="الرياض"/>
    <s v="حطين"/>
    <s v="مستودع الرياض الرئيسي"/>
    <n v="5000"/>
    <x v="0"/>
    <x v="1"/>
    <x v="2"/>
    <x v="4"/>
    <x v="0"/>
    <x v="6"/>
  </r>
  <r>
    <s v="ORD-2026-100716"/>
    <s v="CUS39828"/>
    <d v="2026-03-31T00:00:00"/>
    <s v="D021"/>
    <n v="18"/>
    <n v="8.5"/>
    <s v="شاحنة متوسطة"/>
    <s v="18:00-20:00"/>
    <d v="2026-03-31T07:22:00"/>
    <d v="2026-03-31T07:50:00"/>
    <d v="2026-03-31T08:51:00"/>
    <d v="2026-03-31T09:07:00"/>
    <d v="2026-03-31T10:06:00"/>
    <d v="2026-03-31T10:22:00"/>
    <n v="7"/>
    <x v="1"/>
    <s v="الدمام"/>
    <s v="الفيصلية"/>
    <s v="مستودع الدمام"/>
    <n v="3000"/>
    <x v="0"/>
    <x v="0"/>
    <x v="0"/>
    <x v="0"/>
    <x v="2"/>
    <x v="3"/>
  </r>
  <r>
    <s v="ORD-2026-100717"/>
    <s v="CUS30868"/>
    <d v="2026-02-10T00:00:00"/>
    <s v="D027"/>
    <n v="10"/>
    <n v="9.1"/>
    <s v="سيارة سيدان"/>
    <s v="16:00-18:00"/>
    <d v="2026-02-10T08:07:00"/>
    <d v="2026-02-10T08:32:00"/>
    <d v="2026-02-10T09:05:00"/>
    <d v="2026-02-10T09:22:00"/>
    <d v="2026-02-10T09:44:00"/>
    <d v="2026-02-10T10:05:00"/>
    <n v="7"/>
    <x v="1"/>
    <s v="الدمام"/>
    <s v="العزيزية"/>
    <s v="مستودع الدمام"/>
    <n v="3000"/>
    <x v="0"/>
    <x v="0"/>
    <x v="0"/>
    <x v="0"/>
    <x v="0"/>
    <x v="3"/>
  </r>
  <r>
    <s v="ORD-2026-100718"/>
    <s v="CUS44520"/>
    <d v="2026-01-22T00:00:00"/>
    <s v="D011"/>
    <n v="17"/>
    <n v="8.6999999999999993"/>
    <s v="شاحنة متوسطة"/>
    <s v="18:00-20:00"/>
    <d v="2026-01-22T08:44:00"/>
    <d v="2026-01-22T09:06:00"/>
    <d v="2026-01-22T09:53:00"/>
    <d v="2026-01-22T10:03:00"/>
    <d v="2026-01-22T10:38:00"/>
    <d v="2026-01-22T11:22:00"/>
    <n v="6"/>
    <x v="6"/>
    <s v="الرياض"/>
    <s v="النزهة"/>
    <s v="مستودع الرياض الرئيسي"/>
    <n v="5000"/>
    <x v="0"/>
    <x v="0"/>
    <x v="0"/>
    <x v="0"/>
    <x v="0"/>
    <x v="12"/>
  </r>
  <r>
    <s v="ORD-2026-100719"/>
    <s v="CUS74814"/>
    <d v="2026-01-19T00:00:00"/>
    <s v="D023"/>
    <n v="27"/>
    <n v="7.2"/>
    <s v="فان"/>
    <s v="08:00-10:00"/>
    <d v="2026-01-19T09:36:00"/>
    <d v="2026-01-19T10:04:00"/>
    <d v="2026-01-19T10:51:00"/>
    <d v="2026-01-19T10:58:00"/>
    <d v="2026-01-19T11:28:00"/>
    <d v="2026-01-19T11:47:00"/>
    <n v="4"/>
    <x v="1"/>
    <s v="الدمام"/>
    <s v="المزروعية"/>
    <s v="مستودع الدمام"/>
    <n v="3000"/>
    <x v="0"/>
    <x v="0"/>
    <x v="0"/>
    <x v="0"/>
    <x v="0"/>
    <x v="7"/>
  </r>
  <r>
    <s v="ORD-2026-100720"/>
    <s v="CUS86139"/>
    <d v="2026-01-29T00:00:00"/>
    <s v="D027"/>
    <n v="19"/>
    <n v="7.5"/>
    <s v="دراجة نارية"/>
    <s v="10:00-12:00"/>
    <d v="2026-01-29T06:03:00"/>
    <d v="2026-01-29T06:17:00"/>
    <d v="2026-01-29T06:58:00"/>
    <d v="2026-01-29T07:03:00"/>
    <d v="2026-01-29T07:52:00"/>
    <d v="2026-01-29T08:27:00"/>
    <n v="7"/>
    <x v="1"/>
    <s v="جدة"/>
    <s v="الزهراء"/>
    <s v="مستودع جدة الرئيسي"/>
    <n v="4000"/>
    <x v="0"/>
    <x v="1"/>
    <x v="1"/>
    <x v="4"/>
    <x v="3"/>
    <x v="9"/>
  </r>
  <r>
    <s v="ORD-2026-100721"/>
    <s v="CUS42361"/>
    <d v="2026-02-21T00:00:00"/>
    <s v="D021"/>
    <n v="21"/>
    <n v="9.6999999999999993"/>
    <s v="سيارة سيدان"/>
    <s v="20:00-22:00"/>
    <d v="2026-02-21T09:25:00"/>
    <d v="2026-02-21T09:38:00"/>
    <d v="2026-02-21T10:43:00"/>
    <d v="2026-02-21T10:59:00"/>
    <d v="2026-02-21T11:32:00"/>
    <d v="2026-02-21T11:52:00"/>
    <n v="3"/>
    <x v="1"/>
    <s v="المدينة المنورة"/>
    <s v="العنابس"/>
    <s v="مستودع المدينة المنورة"/>
    <n v="2000"/>
    <x v="0"/>
    <x v="0"/>
    <x v="0"/>
    <x v="0"/>
    <x v="2"/>
    <x v="1"/>
  </r>
  <r>
    <s v="ORD-2026-100722"/>
    <s v="CUS16973"/>
    <d v="2026-03-10T00:00:00"/>
    <s v="D019"/>
    <n v="37"/>
    <n v="9.6999999999999993"/>
    <s v="شاحنة متوسطة"/>
    <s v="12:00-14:00"/>
    <d v="2026-03-10T06:26:00"/>
    <d v="2026-03-10T06:56:00"/>
    <d v="2026-03-10T08:23:00"/>
    <d v="2026-03-10T08:35:00"/>
    <d v="2026-03-10T09:31:00"/>
    <d v="2026-03-10T09:58:00"/>
    <n v="6"/>
    <x v="1"/>
    <s v="جدة"/>
    <s v="الحمراء"/>
    <s v="مستودع جدة الرئيسي"/>
    <n v="4000"/>
    <x v="1"/>
    <x v="1"/>
    <x v="1"/>
    <x v="4"/>
    <x v="3"/>
    <x v="1"/>
  </r>
  <r>
    <s v="ORD-2026-100723"/>
    <s v="CUS84678"/>
    <d v="2026-02-28T00:00:00"/>
    <s v="D020"/>
    <n v="32"/>
    <n v="4.5"/>
    <s v="دراجة نارية"/>
    <s v="08:00-10:00"/>
    <d v="2026-02-28T08:23:00"/>
    <d v="2026-02-28T08:42:00"/>
    <d v="2026-02-28T10:03:00"/>
    <d v="2026-02-28T10:09:00"/>
    <d v="2026-02-28T10:41:00"/>
    <d v="2026-02-28T11:16:00"/>
    <n v="7"/>
    <x v="1"/>
    <s v="مكة المكرمة"/>
    <s v="أجياد"/>
    <s v="مستودع مكة المكرمة"/>
    <n v="2500"/>
    <x v="0"/>
    <x v="0"/>
    <x v="0"/>
    <x v="0"/>
    <x v="0"/>
    <x v="11"/>
  </r>
  <r>
    <s v="ORD-2026-100724"/>
    <s v="CUS86922"/>
    <d v="2026-02-02T00:00:00"/>
    <s v="D029"/>
    <n v="32"/>
    <n v="9.6"/>
    <s v="دراجة نارية"/>
    <s v="14:00-16:00"/>
    <d v="2026-02-02T06:55:00"/>
    <d v="2026-02-02T07:21:00"/>
    <d v="2026-02-02T08:28:00"/>
    <d v="2026-02-02T08:42:00"/>
    <d v="2026-02-02T09:26:00"/>
    <d v="2026-02-02T09:50:00"/>
    <n v="3"/>
    <x v="0"/>
    <s v="الرياض"/>
    <s v="الربوة"/>
    <s v="مستودع الرياض الرئيسي"/>
    <n v="5000"/>
    <x v="1"/>
    <x v="0"/>
    <x v="0"/>
    <x v="0"/>
    <x v="2"/>
    <x v="10"/>
  </r>
  <r>
    <s v="ORD-2026-100725"/>
    <s v="CUS25663"/>
    <d v="2026-02-10T00:00:00"/>
    <s v="D028"/>
    <n v="27"/>
    <n v="8.6999999999999993"/>
    <s v="شاحنة صغيرة"/>
    <s v="16:00-18:00"/>
    <d v="2026-02-10T06:16:00"/>
    <d v="2026-02-10T06:37:00"/>
    <d v="2026-02-10T07:39:00"/>
    <d v="2026-02-10T07:49:00"/>
    <d v="2026-02-10T08:45:00"/>
    <d v="2026-02-10T09:02:00"/>
    <n v="2"/>
    <x v="1"/>
    <s v="الرياض"/>
    <s v="العليا"/>
    <s v="مستودع الرياض الرئيسي"/>
    <n v="5000"/>
    <x v="0"/>
    <x v="1"/>
    <x v="1"/>
    <x v="3"/>
    <x v="0"/>
    <x v="4"/>
  </r>
  <r>
    <s v="ORD-2026-100726"/>
    <s v="CUS36293"/>
    <d v="2026-02-12T00:00:00"/>
    <s v="D003"/>
    <n v="29"/>
    <n v="10.4"/>
    <s v="فان"/>
    <s v="18:00-20:00"/>
    <d v="2026-02-12T08:01:00"/>
    <d v="2026-02-12T08:10:00"/>
    <d v="2026-02-12T09:03:00"/>
    <d v="2026-02-12T09:13:00"/>
    <d v="2026-02-12T09:29:00"/>
    <d v="2026-02-12T09:53:00"/>
    <n v="3"/>
    <x v="4"/>
    <s v="الرياض"/>
    <s v="السليمانية"/>
    <s v="مستودع الرياض الرئيسي"/>
    <n v="5000"/>
    <x v="0"/>
    <x v="0"/>
    <x v="0"/>
    <x v="0"/>
    <x v="3"/>
    <x v="12"/>
  </r>
  <r>
    <s v="ORD-2026-100727"/>
    <s v="CUS84459"/>
    <d v="2026-01-30T00:00:00"/>
    <s v="D012"/>
    <n v="33"/>
    <n v="10"/>
    <s v="شاحنة متوسطة"/>
    <s v="12:00-14:00"/>
    <d v="2026-01-30T06:05:00"/>
    <d v="2026-01-30T06:29:00"/>
    <d v="2026-01-30T06:46:00"/>
    <d v="2026-01-30T06:52:00"/>
    <d v="2026-01-30T07:45:00"/>
    <d v="2026-01-30T08:13:00"/>
    <n v="1"/>
    <x v="0"/>
    <s v="الرياض"/>
    <s v="الورود"/>
    <s v="مستودع الرياض الرئيسي"/>
    <n v="5000"/>
    <x v="0"/>
    <x v="0"/>
    <x v="0"/>
    <x v="0"/>
    <x v="2"/>
    <x v="3"/>
  </r>
  <r>
    <s v="ORD-2026-100728"/>
    <s v="CUS33264"/>
    <d v="2026-03-14T00:00:00"/>
    <s v="D012"/>
    <n v="17"/>
    <n v="9.1"/>
    <s v="فان"/>
    <s v="10:00-12:00"/>
    <d v="2026-03-14T08:17:00"/>
    <d v="2026-03-14T08:28:00"/>
    <d v="2026-03-14T09:22:00"/>
    <d v="2026-03-14T09:30:00"/>
    <d v="2026-03-14T10:23:00"/>
    <d v="2026-03-14T10:37:00"/>
    <n v="5"/>
    <x v="1"/>
    <s v="الرياض"/>
    <s v="الملقا"/>
    <s v="مستودع الرياض الرئيسي"/>
    <n v="5000"/>
    <x v="0"/>
    <x v="0"/>
    <x v="0"/>
    <x v="0"/>
    <x v="0"/>
    <x v="3"/>
  </r>
  <r>
    <s v="ORD-2026-100729"/>
    <s v="CUS54223"/>
    <d v="2026-03-06T00:00:00"/>
    <s v="D005"/>
    <n v="7"/>
    <n v="11.5"/>
    <s v="شاحنة صغيرة"/>
    <s v="20:00-22:00"/>
    <d v="2026-03-06T09:59:00"/>
    <d v="2026-03-06T10:13:00"/>
    <d v="2026-03-06T11:00:00"/>
    <d v="2026-03-06T11:08:00"/>
    <d v="2026-03-06T11:40:00"/>
    <d v="2026-03-06T11:56:00"/>
    <n v="5"/>
    <x v="1"/>
    <s v="مكة المكرمة"/>
    <s v="العزيزية"/>
    <s v="مستودع مكة المكرمة"/>
    <n v="2500"/>
    <x v="0"/>
    <x v="0"/>
    <x v="0"/>
    <x v="0"/>
    <x v="2"/>
    <x v="13"/>
  </r>
  <r>
    <s v="ORD-2026-100730"/>
    <s v="CUS96462"/>
    <d v="2026-02-28T00:00:00"/>
    <s v="D030"/>
    <n v="33"/>
    <n v="11.6"/>
    <s v="شاحنة متوسطة"/>
    <s v="08:00-10:00"/>
    <d v="2026-02-28T07:26:00"/>
    <d v="2026-02-28T07:38:00"/>
    <d v="2026-02-28T08:34:00"/>
    <d v="2026-02-28T08:43:00"/>
    <d v="2026-02-28T09:08:00"/>
    <d v="2026-02-28T09:44:00"/>
    <n v="2"/>
    <x v="1"/>
    <s v="المدينة المنورة"/>
    <s v="العنابس"/>
    <s v="مستودع المدينة المنورة"/>
    <n v="2000"/>
    <x v="0"/>
    <x v="0"/>
    <x v="0"/>
    <x v="0"/>
    <x v="0"/>
    <x v="4"/>
  </r>
  <r>
    <s v="ORD-2026-100731"/>
    <s v="CUS65878"/>
    <d v="2026-03-17T00:00:00"/>
    <s v="D004"/>
    <n v="25"/>
    <n v="11.3"/>
    <s v="شاحنة متوسطة"/>
    <s v="16:00-18:00"/>
    <d v="2026-03-17T08:59:00"/>
    <d v="2026-03-17T09:21:00"/>
    <d v="2026-03-17T10:37:00"/>
    <d v="2026-03-17T10:54:00"/>
    <d v="2026-03-17T11:52:00"/>
    <d v="2026-03-17T12:31:00"/>
    <n v="6"/>
    <x v="5"/>
    <s v="المدينة المنورة"/>
    <s v="العوالي"/>
    <s v="مستودع المدينة المنورة"/>
    <n v="2000"/>
    <x v="0"/>
    <x v="0"/>
    <x v="0"/>
    <x v="0"/>
    <x v="2"/>
    <x v="10"/>
  </r>
  <r>
    <s v="ORD-2026-100732"/>
    <s v="CUS34651"/>
    <d v="2026-02-21T00:00:00"/>
    <s v="D014"/>
    <n v="36"/>
    <n v="4.2"/>
    <s v="شاحنة صغيرة"/>
    <s v="12:00-14:00"/>
    <d v="2026-02-21T08:23:00"/>
    <d v="2026-02-21T08:43:00"/>
    <d v="2026-02-21T10:11:00"/>
    <d v="2026-02-21T10:28:00"/>
    <d v="2026-02-21T10:57:00"/>
    <d v="2026-02-21T11:33:00"/>
    <n v="7"/>
    <x v="1"/>
    <s v="مكة المكرمة"/>
    <s v="العزيزية"/>
    <s v="مستودع مكة المكرمة"/>
    <n v="2500"/>
    <x v="0"/>
    <x v="0"/>
    <x v="0"/>
    <x v="0"/>
    <x v="2"/>
    <x v="7"/>
  </r>
  <r>
    <s v="ORD-2026-100733"/>
    <s v="CUS33368"/>
    <d v="2026-01-12T00:00:00"/>
    <s v="D010"/>
    <n v="25"/>
    <n v="9.9"/>
    <s v="شاحنة متوسطة"/>
    <s v="08:00-10:00"/>
    <d v="2026-01-12T06:12:00"/>
    <d v="2026-01-12T06:26:00"/>
    <d v="2026-01-12T07:25:00"/>
    <d v="2026-01-12T07:36:00"/>
    <d v="2026-01-12T08:08:00"/>
    <d v="2026-01-12T08:47:00"/>
    <n v="1"/>
    <x v="1"/>
    <s v="المدينة المنورة"/>
    <s v="قباء"/>
    <s v="مستودع المدينة المنورة"/>
    <n v="2000"/>
    <x v="0"/>
    <x v="0"/>
    <x v="0"/>
    <x v="0"/>
    <x v="2"/>
    <x v="1"/>
  </r>
  <r>
    <s v="ORD-2026-100734"/>
    <s v="CUS10621"/>
    <d v="2026-03-07T00:00:00"/>
    <s v="D012"/>
    <n v="11"/>
    <n v="7.7"/>
    <s v="دراجة نارية"/>
    <s v="10:00-12:00"/>
    <d v="2026-03-07T09:02:00"/>
    <d v="2026-03-07T09:17:00"/>
    <d v="2026-03-07T09:36:00"/>
    <d v="2026-03-07T09:47:00"/>
    <d v="2026-03-07T10:28:00"/>
    <d v="2026-03-07T10:46:00"/>
    <n v="5"/>
    <x v="1"/>
    <s v="الرياض"/>
    <s v="حطين"/>
    <s v="مستودع الرياض الرئيسي"/>
    <n v="5000"/>
    <x v="0"/>
    <x v="1"/>
    <x v="1"/>
    <x v="1"/>
    <x v="1"/>
    <x v="11"/>
  </r>
  <r>
    <s v="ORD-2026-100735"/>
    <s v="CUS92076"/>
    <d v="2026-01-31T00:00:00"/>
    <s v="D022"/>
    <n v="29"/>
    <n v="10.6"/>
    <s v="سيارة سيدان"/>
    <s v="20:00-22:00"/>
    <d v="2026-01-31T07:42:00"/>
    <d v="2026-01-31T07:48:00"/>
    <d v="2026-01-31T08:17:00"/>
    <d v="2026-01-31T08:26:00"/>
    <d v="2026-01-31T09:14:00"/>
    <d v="2026-01-31T09:34:00"/>
    <n v="5"/>
    <x v="1"/>
    <s v="الدمام"/>
    <s v="الفيصلية"/>
    <s v="مستودع الدمام"/>
    <n v="3000"/>
    <x v="0"/>
    <x v="0"/>
    <x v="0"/>
    <x v="0"/>
    <x v="2"/>
    <x v="1"/>
  </r>
  <r>
    <s v="ORD-2026-100736"/>
    <s v="CUS39225"/>
    <d v="2026-02-09T00:00:00"/>
    <s v="D007"/>
    <n v="5"/>
    <n v="7.3"/>
    <s v="فان"/>
    <s v="14:00-16:00"/>
    <d v="2026-02-09T07:11:00"/>
    <d v="2026-02-09T07:22:00"/>
    <d v="2026-02-09T08:34:00"/>
    <d v="2026-02-09T08:47:00"/>
    <d v="2026-02-09T09:35:00"/>
    <d v="2026-02-09T09:40:00"/>
    <n v="6"/>
    <x v="1"/>
    <s v="الدمام"/>
    <s v="الجلوية"/>
    <s v="مستودع الدمام"/>
    <n v="3000"/>
    <x v="0"/>
    <x v="0"/>
    <x v="0"/>
    <x v="0"/>
    <x v="1"/>
    <x v="0"/>
  </r>
  <r>
    <s v="ORD-2026-100737"/>
    <s v="CUS84725"/>
    <d v="2026-01-10T00:00:00"/>
    <s v="D021"/>
    <n v="15"/>
    <n v="11.2"/>
    <s v="فان"/>
    <s v="08:00-10:00"/>
    <d v="2026-01-10T06:46:00"/>
    <d v="2026-01-10T07:08:00"/>
    <d v="2026-01-10T07:59:00"/>
    <d v="2026-01-10T08:09:00"/>
    <d v="2026-01-10T09:06:00"/>
    <d v="2026-01-10T09:27:00"/>
    <n v="6"/>
    <x v="1"/>
    <s v="الرياض"/>
    <s v="النزهة"/>
    <s v="مستودع الرياض الرئيسي"/>
    <n v="5000"/>
    <x v="0"/>
    <x v="0"/>
    <x v="0"/>
    <x v="0"/>
    <x v="2"/>
    <x v="1"/>
  </r>
  <r>
    <s v="ORD-2026-100738"/>
    <s v="CUS18834"/>
    <d v="2026-02-03T00:00:00"/>
    <s v="D004"/>
    <n v="17"/>
    <n v="11.6"/>
    <s v="شاحنة متوسطة"/>
    <s v="20:00-22:00"/>
    <d v="2026-02-03T08:07:00"/>
    <d v="2026-02-03T08:18:00"/>
    <d v="2026-02-03T08:44:00"/>
    <d v="2026-02-03T08:50:00"/>
    <d v="2026-02-03T09:30:00"/>
    <d v="2026-02-03T10:05:00"/>
    <n v="1"/>
    <x v="6"/>
    <s v="الرياض"/>
    <s v="السليمانية"/>
    <s v="مستودع الرياض الرئيسي"/>
    <n v="5000"/>
    <x v="0"/>
    <x v="0"/>
    <x v="0"/>
    <x v="0"/>
    <x v="0"/>
    <x v="3"/>
  </r>
  <r>
    <s v="ORD-2026-100739"/>
    <s v="CUS70559"/>
    <d v="2026-01-31T00:00:00"/>
    <s v="D014"/>
    <n v="33"/>
    <n v="9.9"/>
    <s v="فان"/>
    <s v="16:00-18:00"/>
    <d v="2026-01-31T09:16:00"/>
    <d v="2026-01-31T09:22:00"/>
    <d v="2026-01-31T10:36:00"/>
    <d v="2026-01-31T10:47:00"/>
    <d v="2026-01-31T11:46:00"/>
    <d v="2026-01-31T12:04:00"/>
    <n v="6"/>
    <x v="1"/>
    <s v="المدينة المنورة"/>
    <s v="الحرة الغربية"/>
    <s v="مستودع المدينة المنورة"/>
    <n v="2000"/>
    <x v="0"/>
    <x v="1"/>
    <x v="2"/>
    <x v="5"/>
    <x v="0"/>
    <x v="6"/>
  </r>
  <r>
    <s v="ORD-2026-100740"/>
    <s v="CUS31115"/>
    <d v="2026-01-26T00:00:00"/>
    <s v="D029"/>
    <n v="29"/>
    <n v="5.2"/>
    <s v="سيارة سيدان"/>
    <s v="16:00-18:00"/>
    <d v="2026-01-26T06:16:00"/>
    <d v="2026-01-26T06:28:00"/>
    <d v="2026-01-26T07:01:00"/>
    <d v="2026-01-26T07:12:00"/>
    <d v="2026-01-26T07:43:00"/>
    <d v="2026-01-26T08:16:00"/>
    <n v="1"/>
    <x v="1"/>
    <s v="الرياض"/>
    <s v="السليمانية"/>
    <s v="مستودع الرياض الرئيسي"/>
    <n v="5000"/>
    <x v="0"/>
    <x v="0"/>
    <x v="0"/>
    <x v="0"/>
    <x v="2"/>
    <x v="9"/>
  </r>
  <r>
    <s v="ORD-2026-100741"/>
    <s v="CUS60793"/>
    <d v="2026-01-19T00:00:00"/>
    <s v="D018"/>
    <n v="12"/>
    <n v="9.5"/>
    <s v="فان"/>
    <s v="16:00-18:00"/>
    <d v="2026-01-19T08:16:00"/>
    <d v="2026-01-19T08:21:00"/>
    <d v="2026-01-19T09:50:00"/>
    <d v="2026-01-19T10:00:00"/>
    <d v="2026-01-19T10:56:00"/>
    <d v="2026-01-19T11:21:00"/>
    <n v="3"/>
    <x v="6"/>
    <s v="الدمام"/>
    <s v="العزيزية"/>
    <s v="مستودع الدمام"/>
    <n v="3000"/>
    <x v="0"/>
    <x v="0"/>
    <x v="0"/>
    <x v="0"/>
    <x v="4"/>
    <x v="7"/>
  </r>
  <r>
    <s v="ORD-2026-100742"/>
    <s v="CUS93453"/>
    <d v="2026-03-14T00:00:00"/>
    <s v="D004"/>
    <n v="7"/>
    <n v="8.5"/>
    <s v="شاحنة صغيرة"/>
    <s v="08:00-10:00"/>
    <d v="2026-03-14T08:46:00"/>
    <d v="2026-03-14T09:06:00"/>
    <d v="2026-03-14T10:29:00"/>
    <d v="2026-03-14T10:46:00"/>
    <d v="2026-03-14T11:14:00"/>
    <d v="2026-03-14T11:58:00"/>
    <n v="4"/>
    <x v="1"/>
    <s v="جدة"/>
    <s v="الأندلس"/>
    <s v="مستودع جدة الرئيسي"/>
    <n v="4000"/>
    <x v="0"/>
    <x v="0"/>
    <x v="0"/>
    <x v="0"/>
    <x v="2"/>
    <x v="6"/>
  </r>
  <r>
    <s v="ORD-2026-100743"/>
    <s v="CUS80975"/>
    <d v="2026-02-28T00:00:00"/>
    <s v="D016"/>
    <n v="39"/>
    <n v="11"/>
    <s v="دراجة نارية"/>
    <s v="10:00-12:00"/>
    <d v="2026-02-28T07:13:00"/>
    <d v="2026-02-28T07:38:00"/>
    <d v="2026-02-28T08:10:00"/>
    <d v="2026-02-28T08:27:00"/>
    <d v="2026-02-28T08:53:00"/>
    <d v="2026-02-28T09:08:00"/>
    <n v="3"/>
    <x v="1"/>
    <s v="جدة"/>
    <s v="الشاطئ"/>
    <s v="مستودع جدة الرئيسي"/>
    <n v="4000"/>
    <x v="0"/>
    <x v="0"/>
    <x v="0"/>
    <x v="0"/>
    <x v="4"/>
    <x v="12"/>
  </r>
  <r>
    <s v="ORD-2026-100744"/>
    <s v="CUS42244"/>
    <d v="2026-01-30T00:00:00"/>
    <s v="D013"/>
    <n v="27"/>
    <n v="5.7"/>
    <s v="فان"/>
    <s v="14:00-16:00"/>
    <d v="2026-01-30T09:46:00"/>
    <d v="2026-01-30T10:04:00"/>
    <d v="2026-01-30T11:12:00"/>
    <d v="2026-01-30T11:31:00"/>
    <d v="2026-01-30T12:09:00"/>
    <d v="2026-01-30T12:38:00"/>
    <n v="4"/>
    <x v="1"/>
    <s v="جدة"/>
    <s v="الأندلس"/>
    <s v="مستودع جدة الرئيسي"/>
    <n v="4000"/>
    <x v="0"/>
    <x v="0"/>
    <x v="0"/>
    <x v="0"/>
    <x v="0"/>
    <x v="2"/>
  </r>
  <r>
    <s v="ORD-2026-100745"/>
    <s v="CUS91735"/>
    <d v="2026-01-28T00:00:00"/>
    <s v="D023"/>
    <n v="17"/>
    <n v="11.6"/>
    <s v="شاحنة متوسطة"/>
    <s v="12:00-14:00"/>
    <d v="2026-01-28T09:50:00"/>
    <d v="2026-01-28T10:09:00"/>
    <d v="2026-01-28T11:29:00"/>
    <d v="2026-01-28T11:47:00"/>
    <d v="2026-01-28T12:20:00"/>
    <d v="2026-01-28T12:44:00"/>
    <n v="2"/>
    <x v="1"/>
    <s v="جدة"/>
    <s v="النزهة"/>
    <s v="مستودع جدة الرئيسي"/>
    <n v="4000"/>
    <x v="0"/>
    <x v="0"/>
    <x v="0"/>
    <x v="0"/>
    <x v="2"/>
    <x v="5"/>
  </r>
  <r>
    <s v="ORD-2026-100746"/>
    <s v="CUS30428"/>
    <d v="2026-02-22T00:00:00"/>
    <s v="D002"/>
    <n v="26"/>
    <n v="8.4"/>
    <s v="دراجة نارية"/>
    <s v="18:00-20:00"/>
    <d v="2026-02-22T07:38:00"/>
    <d v="2026-02-22T07:59:00"/>
    <d v="2026-02-22T09:04:00"/>
    <d v="2026-02-22T09:14:00"/>
    <d v="2026-02-22T09:52:00"/>
    <d v="2026-02-22T09:58:00"/>
    <n v="6"/>
    <x v="0"/>
    <s v="جدة"/>
    <s v="الزهراء"/>
    <s v="مستودع جدة الرئيسي"/>
    <n v="4000"/>
    <x v="0"/>
    <x v="0"/>
    <x v="0"/>
    <x v="0"/>
    <x v="0"/>
    <x v="13"/>
  </r>
  <r>
    <s v="ORD-2026-100747"/>
    <s v="CUS16914"/>
    <d v="2026-03-24T00:00:00"/>
    <s v="D013"/>
    <n v="14"/>
    <n v="7.3"/>
    <s v="فان"/>
    <s v="10:00-12:00"/>
    <d v="2026-03-24T09:42:00"/>
    <d v="2026-03-24T10:10:00"/>
    <d v="2026-03-24T10:36:00"/>
    <d v="2026-03-24T10:56:00"/>
    <d v="2026-03-24T11:26:00"/>
    <d v="2026-03-24T12:10:00"/>
    <n v="7"/>
    <x v="1"/>
    <s v="المدينة المنورة"/>
    <s v="قباء"/>
    <s v="مستودع المدينة المنورة"/>
    <n v="2000"/>
    <x v="0"/>
    <x v="1"/>
    <x v="0"/>
    <x v="3"/>
    <x v="1"/>
    <x v="7"/>
  </r>
  <r>
    <s v="ORD-2026-100748"/>
    <s v="CUS29925"/>
    <d v="2026-02-12T00:00:00"/>
    <s v="D028"/>
    <n v="27"/>
    <n v="5.6"/>
    <s v="دراجة نارية"/>
    <s v="10:00-12:00"/>
    <d v="2026-02-12T07:18:00"/>
    <d v="2026-02-12T07:25:00"/>
    <d v="2026-02-12T08:21:00"/>
    <d v="2026-02-12T08:36:00"/>
    <d v="2026-02-12T09:23:00"/>
    <d v="2026-02-12T09:56:00"/>
    <n v="4"/>
    <x v="1"/>
    <s v="الرياض"/>
    <s v="الورود"/>
    <s v="مستودع الرياض الرئيسي"/>
    <n v="5000"/>
    <x v="0"/>
    <x v="0"/>
    <x v="0"/>
    <x v="0"/>
    <x v="0"/>
    <x v="14"/>
  </r>
  <r>
    <s v="ORD-2026-100749"/>
    <s v="CUS12615"/>
    <d v="2026-01-21T00:00:00"/>
    <s v="D014"/>
    <n v="15"/>
    <n v="8.5"/>
    <s v="فان"/>
    <s v="18:00-20:00"/>
    <d v="2026-01-21T07:11:00"/>
    <d v="2026-01-21T07:38:00"/>
    <d v="2026-01-21T08:19:00"/>
    <d v="2026-01-21T08:27:00"/>
    <d v="2026-01-21T09:19:00"/>
    <d v="2026-01-21T09:33:00"/>
    <n v="4"/>
    <x v="6"/>
    <s v="الرياض"/>
    <s v="السليمانية"/>
    <s v="مستودع الرياض الرئيسي"/>
    <n v="5000"/>
    <x v="0"/>
    <x v="0"/>
    <x v="0"/>
    <x v="0"/>
    <x v="2"/>
    <x v="14"/>
  </r>
  <r>
    <s v="ORD-2026-100750"/>
    <s v="CUS97674"/>
    <d v="2026-03-17T00:00:00"/>
    <s v="D023"/>
    <n v="16"/>
    <n v="7.6"/>
    <s v="شاحنة صغيرة"/>
    <s v="14:00-16:00"/>
    <d v="2026-03-17T08:51:00"/>
    <d v="2026-03-17T09:14:00"/>
    <d v="2026-03-17T10:08:00"/>
    <d v="2026-03-17T10:23:00"/>
    <d v="2026-03-17T10:38:00"/>
    <d v="2026-03-17T11:06:00"/>
    <n v="1"/>
    <x v="0"/>
    <s v="الدمام"/>
    <s v="الجلوية"/>
    <s v="مستودع الدمام"/>
    <n v="3000"/>
    <x v="0"/>
    <x v="0"/>
    <x v="0"/>
    <x v="0"/>
    <x v="3"/>
    <x v="5"/>
  </r>
  <r>
    <s v="ORD-2026-100751"/>
    <s v="CUS16817"/>
    <d v="2026-01-26T00:00:00"/>
    <s v="D021"/>
    <n v="10"/>
    <n v="6.8"/>
    <s v="فان"/>
    <s v="08:00-10:00"/>
    <d v="2026-01-26T08:39:00"/>
    <d v="2026-01-26T09:02:00"/>
    <d v="2026-01-26T10:05:00"/>
    <d v="2026-01-26T10:15:00"/>
    <d v="2026-01-26T10:48:00"/>
    <d v="2026-01-26T11:09:00"/>
    <n v="2"/>
    <x v="1"/>
    <s v="الدمام"/>
    <s v="الشاطئ"/>
    <s v="مستودع الدمام"/>
    <n v="3000"/>
    <x v="1"/>
    <x v="1"/>
    <x v="0"/>
    <x v="4"/>
    <x v="2"/>
    <x v="14"/>
  </r>
  <r>
    <s v="ORD-2026-100752"/>
    <s v="CUS71619"/>
    <d v="2026-03-25T00:00:00"/>
    <s v="D008"/>
    <n v="33"/>
    <n v="12"/>
    <s v="سيارة سيدان"/>
    <s v="08:00-10:00"/>
    <d v="2026-03-25T07:09:00"/>
    <d v="2026-03-25T07:37:00"/>
    <d v="2026-03-25T08:45:00"/>
    <d v="2026-03-25T08:52:00"/>
    <d v="2026-03-25T09:23:00"/>
    <d v="2026-03-25T10:03:00"/>
    <n v="1"/>
    <x v="0"/>
    <s v="الدمام"/>
    <s v="الشاطئ"/>
    <s v="مستودع الدمام"/>
    <n v="3000"/>
    <x v="0"/>
    <x v="0"/>
    <x v="0"/>
    <x v="0"/>
    <x v="2"/>
    <x v="2"/>
  </r>
  <r>
    <s v="ORD-2026-100753"/>
    <s v="CUS98055"/>
    <d v="2026-02-18T00:00:00"/>
    <s v="D013"/>
    <n v="29"/>
    <n v="6.7"/>
    <s v="شاحنة متوسطة"/>
    <s v="20:00-22:00"/>
    <d v="2026-02-18T09:20:00"/>
    <d v="2026-02-18T09:38:00"/>
    <d v="2026-02-18T10:40:00"/>
    <d v="2026-02-18T10:55:00"/>
    <d v="2026-02-18T11:13:00"/>
    <d v="2026-02-18T11:40:00"/>
    <n v="6"/>
    <x v="3"/>
    <s v="الرياض"/>
    <s v="الروضة"/>
    <s v="مستودع الرياض الرئيسي"/>
    <n v="5000"/>
    <x v="0"/>
    <x v="0"/>
    <x v="0"/>
    <x v="0"/>
    <x v="0"/>
    <x v="5"/>
  </r>
  <r>
    <s v="ORD-2026-100754"/>
    <s v="CUS54713"/>
    <d v="2026-01-11T00:00:00"/>
    <s v="D026"/>
    <n v="12"/>
    <n v="4.2"/>
    <s v="دراجة نارية"/>
    <s v="20:00-22:00"/>
    <d v="2026-01-11T09:15:00"/>
    <d v="2026-01-11T09:23:00"/>
    <d v="2026-01-11T10:04:00"/>
    <d v="2026-01-11T10:11:00"/>
    <d v="2026-01-11T10:32:00"/>
    <d v="2026-01-11T11:00:00"/>
    <n v="1"/>
    <x v="3"/>
    <s v="الدمام"/>
    <s v="المزروعية"/>
    <s v="مستودع الدمام"/>
    <n v="3000"/>
    <x v="0"/>
    <x v="1"/>
    <x v="0"/>
    <x v="1"/>
    <x v="4"/>
    <x v="3"/>
  </r>
  <r>
    <s v="ORD-2026-100755"/>
    <s v="CUS10503"/>
    <d v="2026-03-21T00:00:00"/>
    <s v="D003"/>
    <n v="34"/>
    <n v="9"/>
    <s v="سيارة سيدان"/>
    <s v="20:00-22:00"/>
    <d v="2026-03-21T08:50:00"/>
    <d v="2026-03-21T08:58:00"/>
    <d v="2026-03-21T10:26:00"/>
    <d v="2026-03-21T10:34:00"/>
    <d v="2026-03-21T10:47:00"/>
    <d v="2026-03-21T11:00:00"/>
    <n v="2"/>
    <x v="1"/>
    <s v="جدة"/>
    <s v="النزهة"/>
    <s v="مستودع جدة الرئيسي"/>
    <n v="4000"/>
    <x v="1"/>
    <x v="0"/>
    <x v="0"/>
    <x v="0"/>
    <x v="0"/>
    <x v="8"/>
  </r>
  <r>
    <s v="ORD-2026-100756"/>
    <s v="CUS18030"/>
    <d v="2026-02-25T00:00:00"/>
    <s v="D026"/>
    <n v="8"/>
    <n v="9.6999999999999993"/>
    <s v="فان"/>
    <s v="12:00-14:00"/>
    <d v="2026-02-25T08:40:00"/>
    <d v="2026-02-25T09:01:00"/>
    <d v="2026-02-25T09:35:00"/>
    <d v="2026-02-25T09:55:00"/>
    <d v="2026-02-25T10:17:00"/>
    <d v="2026-02-25T10:53:00"/>
    <n v="5"/>
    <x v="1"/>
    <s v="جدة"/>
    <s v="الزهراء"/>
    <s v="مستودع جدة الرئيسي"/>
    <n v="4000"/>
    <x v="0"/>
    <x v="0"/>
    <x v="0"/>
    <x v="0"/>
    <x v="2"/>
    <x v="1"/>
  </r>
  <r>
    <s v="ORD-2026-100757"/>
    <s v="CUS87635"/>
    <d v="2026-02-26T00:00:00"/>
    <s v="D006"/>
    <n v="10"/>
    <n v="5.4"/>
    <s v="دراجة نارية"/>
    <s v="12:00-14:00"/>
    <d v="2026-02-26T06:36:00"/>
    <d v="2026-02-26T06:58:00"/>
    <d v="2026-02-26T08:21:00"/>
    <d v="2026-02-26T08:32:00"/>
    <d v="2026-02-26T09:26:00"/>
    <d v="2026-02-26T09:38:00"/>
    <n v="6"/>
    <x v="1"/>
    <s v="المدينة المنورة"/>
    <s v="العوالي"/>
    <s v="مستودع المدينة المنورة"/>
    <n v="2000"/>
    <x v="0"/>
    <x v="1"/>
    <x v="1"/>
    <x v="2"/>
    <x v="2"/>
    <x v="1"/>
  </r>
  <r>
    <s v="ORD-2026-100758"/>
    <s v="CUS17917"/>
    <d v="2026-02-07T00:00:00"/>
    <s v="D020"/>
    <n v="23"/>
    <n v="5.7"/>
    <s v="سيارة سيدان"/>
    <s v="20:00-22:00"/>
    <d v="2026-02-07T07:28:00"/>
    <d v="2026-02-07T07:56:00"/>
    <d v="2026-02-07T08:36:00"/>
    <d v="2026-02-07T08:41:00"/>
    <d v="2026-02-07T09:32:00"/>
    <d v="2026-02-07T09:53:00"/>
    <n v="3"/>
    <x v="1"/>
    <s v="مكة المكرمة"/>
    <s v="المسفلة"/>
    <s v="مستودع مكة المكرمة"/>
    <n v="2500"/>
    <x v="0"/>
    <x v="0"/>
    <x v="0"/>
    <x v="0"/>
    <x v="2"/>
    <x v="0"/>
  </r>
  <r>
    <s v="ORD-2026-100759"/>
    <s v="CUS49353"/>
    <d v="2026-03-21T00:00:00"/>
    <s v="D025"/>
    <n v="33"/>
    <n v="4.0999999999999996"/>
    <s v="شاحنة صغيرة"/>
    <s v="12:00-14:00"/>
    <d v="2026-03-21T08:30:00"/>
    <d v="2026-03-21T08:59:00"/>
    <d v="2026-03-21T09:55:00"/>
    <d v="2026-03-21T10:02:00"/>
    <d v="2026-03-21T10:48:00"/>
    <d v="2026-03-21T11:09:00"/>
    <n v="6"/>
    <x v="1"/>
    <s v="مكة المكرمة"/>
    <s v="العزيزية"/>
    <s v="مستودع مكة المكرمة"/>
    <n v="2500"/>
    <x v="0"/>
    <x v="0"/>
    <x v="0"/>
    <x v="0"/>
    <x v="2"/>
    <x v="4"/>
  </r>
  <r>
    <s v="ORD-2026-100760"/>
    <s v="CUS64997"/>
    <d v="2026-03-04T00:00:00"/>
    <s v="D011"/>
    <n v="19"/>
    <n v="8.6999999999999993"/>
    <s v="شاحنة صغيرة"/>
    <s v="18:00-20:00"/>
    <d v="2026-03-04T07:30:00"/>
    <d v="2026-03-04T07:48:00"/>
    <d v="2026-03-04T08:57:00"/>
    <d v="2026-03-04T09:16:00"/>
    <d v="2026-03-04T09:46:00"/>
    <d v="2026-03-04T10:16:00"/>
    <n v="4"/>
    <x v="1"/>
    <s v="المدينة المنورة"/>
    <s v="قباء"/>
    <s v="مستودع المدينة المنورة"/>
    <n v="2000"/>
    <x v="0"/>
    <x v="0"/>
    <x v="0"/>
    <x v="0"/>
    <x v="0"/>
    <x v="12"/>
  </r>
  <r>
    <s v="ORD-2026-100761"/>
    <s v="CUS75185"/>
    <d v="2026-01-04T00:00:00"/>
    <s v="D028"/>
    <n v="25"/>
    <n v="7.1"/>
    <s v="دراجة نارية"/>
    <s v="14:00-16:00"/>
    <d v="2026-01-04T07:33:00"/>
    <d v="2026-01-04T07:38:00"/>
    <d v="2026-01-04T08:43:00"/>
    <d v="2026-01-04T08:53:00"/>
    <d v="2026-01-04T09:12:00"/>
    <d v="2026-01-04T09:54:00"/>
    <n v="2"/>
    <x v="6"/>
    <s v="جدة"/>
    <s v="الأندلس"/>
    <s v="مستودع جدة الرئيسي"/>
    <n v="4000"/>
    <x v="0"/>
    <x v="0"/>
    <x v="0"/>
    <x v="0"/>
    <x v="2"/>
    <x v="7"/>
  </r>
  <r>
    <s v="ORD-2026-100762"/>
    <s v="CUS28543"/>
    <d v="2026-02-20T00:00:00"/>
    <s v="D006"/>
    <n v="22"/>
    <n v="5.8"/>
    <s v="فان"/>
    <s v="16:00-18:00"/>
    <d v="2026-02-20T09:05:00"/>
    <d v="2026-02-20T09:25:00"/>
    <d v="2026-02-20T10:30:00"/>
    <d v="2026-02-20T10:48:00"/>
    <d v="2026-02-20T11:08:00"/>
    <d v="2026-02-20T11:44:00"/>
    <n v="6"/>
    <x v="6"/>
    <s v="الدمام"/>
    <s v="المزروعية"/>
    <s v="مستودع الدمام"/>
    <n v="3000"/>
    <x v="0"/>
    <x v="0"/>
    <x v="0"/>
    <x v="0"/>
    <x v="2"/>
    <x v="11"/>
  </r>
  <r>
    <s v="ORD-2026-100763"/>
    <s v="CUS26794"/>
    <d v="2026-01-31T00:00:00"/>
    <s v="D017"/>
    <n v="31"/>
    <n v="7.9"/>
    <s v="سيارة سيدان"/>
    <s v="18:00-20:00"/>
    <d v="2026-01-31T06:40:00"/>
    <d v="2026-01-31T06:55:00"/>
    <d v="2026-01-31T08:25:00"/>
    <d v="2026-01-31T08:39:00"/>
    <d v="2026-01-31T09:32:00"/>
    <d v="2026-01-31T10:16:00"/>
    <n v="4"/>
    <x v="1"/>
    <s v="مكة المكرمة"/>
    <s v="الشوقية"/>
    <s v="مستودع مكة المكرمة"/>
    <n v="2500"/>
    <x v="0"/>
    <x v="0"/>
    <x v="0"/>
    <x v="0"/>
    <x v="2"/>
    <x v="6"/>
  </r>
  <r>
    <s v="ORD-2026-100764"/>
    <s v="CUS26663"/>
    <d v="2026-02-17T00:00:00"/>
    <s v="D019"/>
    <n v="6"/>
    <n v="7.6"/>
    <s v="فان"/>
    <s v="10:00-12:00"/>
    <d v="2026-02-17T06:53:00"/>
    <d v="2026-02-17T07:08:00"/>
    <d v="2026-02-17T07:47:00"/>
    <d v="2026-02-17T08:02:00"/>
    <d v="2026-02-17T08:52:00"/>
    <d v="2026-02-17T09:27:00"/>
    <n v="7"/>
    <x v="1"/>
    <s v="مكة المكرمة"/>
    <s v="العزيزية"/>
    <s v="مستودع مكة المكرمة"/>
    <n v="2500"/>
    <x v="0"/>
    <x v="0"/>
    <x v="0"/>
    <x v="0"/>
    <x v="0"/>
    <x v="5"/>
  </r>
  <r>
    <s v="ORD-2026-100765"/>
    <s v="CUS44866"/>
    <d v="2026-02-11T00:00:00"/>
    <s v="D026"/>
    <n v="20"/>
    <n v="10.5"/>
    <s v="دراجة نارية"/>
    <s v="14:00-16:00"/>
    <d v="2026-02-11T08:24:00"/>
    <d v="2026-02-11T08:44:00"/>
    <d v="2026-02-11T08:56:00"/>
    <d v="2026-02-11T09:11:00"/>
    <d v="2026-02-11T09:53:00"/>
    <d v="2026-02-11T10:04:00"/>
    <n v="4"/>
    <x v="1"/>
    <s v="المدينة المنورة"/>
    <s v="قباء"/>
    <s v="مستودع المدينة المنورة"/>
    <n v="2000"/>
    <x v="0"/>
    <x v="0"/>
    <x v="0"/>
    <x v="0"/>
    <x v="2"/>
    <x v="13"/>
  </r>
  <r>
    <s v="ORD-2026-100766"/>
    <s v="CUS51947"/>
    <d v="2026-01-09T00:00:00"/>
    <s v="D015"/>
    <n v="22"/>
    <n v="9.6999999999999993"/>
    <s v="سيارة سيدان"/>
    <s v="20:00-22:00"/>
    <d v="2026-01-09T09:19:00"/>
    <d v="2026-01-09T09:25:00"/>
    <d v="2026-01-09T10:35:00"/>
    <d v="2026-01-09T10:47:00"/>
    <d v="2026-01-09T11:11:00"/>
    <d v="2026-01-09T11:56:00"/>
    <n v="1"/>
    <x v="1"/>
    <s v="مكة المكرمة"/>
    <s v="الشوقية"/>
    <s v="مستودع مكة المكرمة"/>
    <n v="2500"/>
    <x v="0"/>
    <x v="0"/>
    <x v="0"/>
    <x v="0"/>
    <x v="3"/>
    <x v="11"/>
  </r>
  <r>
    <s v="ORD-2026-100767"/>
    <s v="CUS36770"/>
    <d v="2026-03-04T00:00:00"/>
    <s v="D011"/>
    <n v="17"/>
    <n v="11.7"/>
    <s v="شاحنة متوسطة"/>
    <s v="16:00-18:00"/>
    <d v="2026-03-04T06:30:00"/>
    <d v="2026-03-04T06:44:00"/>
    <d v="2026-03-04T07:01:00"/>
    <d v="2026-03-04T07:12:00"/>
    <d v="2026-03-04T07:55:00"/>
    <d v="2026-03-04T08:32:00"/>
    <n v="3"/>
    <x v="4"/>
    <s v="المدينة المنورة"/>
    <s v="قباء"/>
    <s v="مستودع المدينة المنورة"/>
    <n v="2000"/>
    <x v="0"/>
    <x v="0"/>
    <x v="0"/>
    <x v="0"/>
    <x v="4"/>
    <x v="11"/>
  </r>
  <r>
    <s v="ORD-2026-100768"/>
    <s v="CUS69419"/>
    <d v="2026-01-19T00:00:00"/>
    <s v="D010"/>
    <n v="31"/>
    <n v="4.5999999999999996"/>
    <s v="فان"/>
    <s v="20:00-22:00"/>
    <d v="2026-01-19T09:52:00"/>
    <d v="2026-01-19T10:01:00"/>
    <d v="2026-01-19T11:08:00"/>
    <d v="2026-01-19T11:25:00"/>
    <d v="2026-01-19T12:10:00"/>
    <d v="2026-01-19T12:25:00"/>
    <n v="5"/>
    <x v="1"/>
    <s v="الرياض"/>
    <s v="العليا"/>
    <s v="مستودع الرياض الرئيسي"/>
    <n v="5000"/>
    <x v="0"/>
    <x v="1"/>
    <x v="3"/>
    <x v="5"/>
    <x v="3"/>
    <x v="13"/>
  </r>
  <r>
    <s v="ORD-2026-100769"/>
    <s v="CUS61843"/>
    <d v="2026-02-06T00:00:00"/>
    <s v="D006"/>
    <n v="25"/>
    <n v="11.6"/>
    <s v="شاحنة صغيرة"/>
    <s v="08:00-10:00"/>
    <d v="2026-02-06T09:42:00"/>
    <d v="2026-02-06T09:57:00"/>
    <d v="2026-02-06T11:17:00"/>
    <d v="2026-02-06T11:37:00"/>
    <d v="2026-02-06T12:10:00"/>
    <d v="2026-02-06T12:24:00"/>
    <n v="3"/>
    <x v="1"/>
    <s v="المدينة المنورة"/>
    <s v="قباء"/>
    <s v="مستودع المدينة المنورة"/>
    <n v="2000"/>
    <x v="0"/>
    <x v="0"/>
    <x v="0"/>
    <x v="0"/>
    <x v="2"/>
    <x v="6"/>
  </r>
  <r>
    <s v="ORD-2026-100770"/>
    <s v="CUS54323"/>
    <d v="2026-01-23T00:00:00"/>
    <s v="D011"/>
    <n v="23"/>
    <n v="6.6"/>
    <s v="شاحنة متوسطة"/>
    <s v="08:00-10:00"/>
    <d v="2026-01-23T09:46:00"/>
    <d v="2026-01-23T10:07:00"/>
    <d v="2026-01-23T10:24:00"/>
    <d v="2026-01-23T10:33:00"/>
    <d v="2026-01-23T11:14:00"/>
    <d v="2026-01-23T11:23:00"/>
    <n v="1"/>
    <x v="6"/>
    <s v="المدينة المنورة"/>
    <s v="العوالي"/>
    <s v="مستودع المدينة المنورة"/>
    <n v="2000"/>
    <x v="0"/>
    <x v="1"/>
    <x v="1"/>
    <x v="3"/>
    <x v="0"/>
    <x v="6"/>
  </r>
  <r>
    <s v="ORD-2026-100771"/>
    <s v="CUS99590"/>
    <d v="2026-01-11T00:00:00"/>
    <s v="D014"/>
    <n v="36"/>
    <n v="7.2"/>
    <s v="شاحنة صغيرة"/>
    <s v="16:00-18:00"/>
    <d v="2026-01-11T07:46:00"/>
    <d v="2026-01-11T08:11:00"/>
    <d v="2026-01-11T09:11:00"/>
    <d v="2026-01-11T09:20:00"/>
    <d v="2026-01-11T10:05:00"/>
    <d v="2026-01-11T10:15:00"/>
    <n v="7"/>
    <x v="3"/>
    <s v="الدمام"/>
    <s v="العزيزية"/>
    <s v="مستودع الدمام"/>
    <n v="3000"/>
    <x v="0"/>
    <x v="1"/>
    <x v="2"/>
    <x v="2"/>
    <x v="3"/>
    <x v="10"/>
  </r>
  <r>
    <s v="ORD-2026-100772"/>
    <s v="CUS97771"/>
    <d v="2026-03-13T00:00:00"/>
    <s v="D001"/>
    <n v="35"/>
    <n v="4.3"/>
    <s v="دراجة نارية"/>
    <s v="20:00-22:00"/>
    <d v="2026-03-13T06:59:00"/>
    <d v="2026-03-13T07:08:00"/>
    <d v="2026-03-13T07:35:00"/>
    <d v="2026-03-13T07:50:00"/>
    <d v="2026-03-13T08:20:00"/>
    <d v="2026-03-13T08:49:00"/>
    <n v="7"/>
    <x v="1"/>
    <s v="الرياض"/>
    <s v="حطين"/>
    <s v="مستودع الرياض الرئيسي"/>
    <n v="5000"/>
    <x v="0"/>
    <x v="0"/>
    <x v="0"/>
    <x v="0"/>
    <x v="2"/>
    <x v="7"/>
  </r>
  <r>
    <s v="ORD-2026-100773"/>
    <s v="CUS92271"/>
    <d v="2026-03-31T00:00:00"/>
    <s v="D014"/>
    <n v="7"/>
    <n v="5.6"/>
    <s v="شاحنة صغيرة"/>
    <s v="10:00-12:00"/>
    <d v="2026-03-31T06:58:00"/>
    <d v="2026-03-31T07:21:00"/>
    <d v="2026-03-31T08:33:00"/>
    <d v="2026-03-31T08:38:00"/>
    <d v="2026-03-31T09:10:00"/>
    <d v="2026-03-31T09:20:00"/>
    <n v="5"/>
    <x v="1"/>
    <s v="المدينة المنورة"/>
    <s v="العوالي"/>
    <s v="مستودع المدينة المنورة"/>
    <n v="2000"/>
    <x v="0"/>
    <x v="1"/>
    <x v="3"/>
    <x v="2"/>
    <x v="3"/>
    <x v="7"/>
  </r>
  <r>
    <s v="ORD-2026-100774"/>
    <s v="CUS89084"/>
    <d v="2026-03-21T00:00:00"/>
    <s v="D010"/>
    <n v="28"/>
    <n v="8.1"/>
    <s v="دراجة نارية"/>
    <s v="20:00-22:00"/>
    <d v="2026-03-21T06:51:00"/>
    <d v="2026-03-21T07:20:00"/>
    <d v="2026-03-21T08:47:00"/>
    <d v="2026-03-21T09:00:00"/>
    <d v="2026-03-21T09:31:00"/>
    <d v="2026-03-21T09:48:00"/>
    <n v="3"/>
    <x v="1"/>
    <s v="الدمام"/>
    <s v="المزروعية"/>
    <s v="مستودع الدمام"/>
    <n v="3000"/>
    <x v="0"/>
    <x v="0"/>
    <x v="0"/>
    <x v="0"/>
    <x v="2"/>
    <x v="4"/>
  </r>
  <r>
    <s v="ORD-2026-100775"/>
    <s v="CUS49763"/>
    <d v="2026-03-25T00:00:00"/>
    <s v="D022"/>
    <n v="18"/>
    <n v="5.5"/>
    <s v="شاحنة صغيرة"/>
    <s v="14:00-16:00"/>
    <d v="2026-03-25T09:25:00"/>
    <d v="2026-03-25T09:33:00"/>
    <d v="2026-03-25T10:09:00"/>
    <d v="2026-03-25T10:20:00"/>
    <d v="2026-03-25T11:18:00"/>
    <d v="2026-03-25T11:59:00"/>
    <n v="6"/>
    <x v="1"/>
    <s v="المدينة المنورة"/>
    <s v="العنابس"/>
    <s v="مستودع المدينة المنورة"/>
    <n v="2000"/>
    <x v="0"/>
    <x v="0"/>
    <x v="0"/>
    <x v="0"/>
    <x v="0"/>
    <x v="1"/>
  </r>
  <r>
    <s v="ORD-2026-100776"/>
    <s v="CUS47400"/>
    <d v="2026-02-16T00:00:00"/>
    <s v="D015"/>
    <n v="21"/>
    <n v="5.7"/>
    <s v="شاحنة صغيرة"/>
    <s v="12:00-14:00"/>
    <d v="2026-02-16T06:03:00"/>
    <d v="2026-02-16T06:14:00"/>
    <d v="2026-02-16T06:47:00"/>
    <d v="2026-02-16T07:02:00"/>
    <d v="2026-02-16T07:25:00"/>
    <d v="2026-02-16T08:01:00"/>
    <n v="6"/>
    <x v="1"/>
    <s v="الرياض"/>
    <s v="حطين"/>
    <s v="مستودع الرياض الرئيسي"/>
    <n v="5000"/>
    <x v="0"/>
    <x v="1"/>
    <x v="1"/>
    <x v="4"/>
    <x v="2"/>
    <x v="13"/>
  </r>
  <r>
    <s v="ORD-2026-100777"/>
    <s v="CUS35006"/>
    <d v="2026-03-27T00:00:00"/>
    <s v="D028"/>
    <n v="11"/>
    <n v="11.1"/>
    <s v="شاحنة صغيرة"/>
    <s v="16:00-18:00"/>
    <d v="2026-03-27T06:12:00"/>
    <d v="2026-03-27T06:17:00"/>
    <d v="2026-03-27T07:02:00"/>
    <d v="2026-03-27T07:07:00"/>
    <d v="2026-03-27T07:36:00"/>
    <d v="2026-03-27T08:09:00"/>
    <n v="4"/>
    <x v="1"/>
    <s v="جدة"/>
    <s v="الحمراء"/>
    <s v="مستودع جدة الرئيسي"/>
    <n v="4000"/>
    <x v="1"/>
    <x v="0"/>
    <x v="0"/>
    <x v="0"/>
    <x v="2"/>
    <x v="10"/>
  </r>
  <r>
    <s v="ORD-2026-100778"/>
    <s v="CUS93454"/>
    <d v="2026-02-24T00:00:00"/>
    <s v="D024"/>
    <n v="22"/>
    <n v="7.3"/>
    <s v="شاحنة صغيرة"/>
    <s v="12:00-14:00"/>
    <d v="2026-02-24T09:17:00"/>
    <d v="2026-02-24T09:23:00"/>
    <d v="2026-02-24T09:48:00"/>
    <d v="2026-02-24T10:02:00"/>
    <d v="2026-02-24T10:21:00"/>
    <d v="2026-02-24T10:42:00"/>
    <n v="4"/>
    <x v="1"/>
    <s v="الدمام"/>
    <s v="العزيزية"/>
    <s v="مستودع الدمام"/>
    <n v="3000"/>
    <x v="0"/>
    <x v="0"/>
    <x v="0"/>
    <x v="0"/>
    <x v="3"/>
    <x v="5"/>
  </r>
  <r>
    <s v="ORD-2026-100779"/>
    <s v="CUS98869"/>
    <d v="2026-03-29T00:00:00"/>
    <s v="D026"/>
    <n v="16"/>
    <n v="4.0999999999999996"/>
    <s v="شاحنة صغيرة"/>
    <s v="18:00-20:00"/>
    <d v="2026-03-29T07:00:00"/>
    <d v="2026-03-29T07:19:00"/>
    <d v="2026-03-29T08:43:00"/>
    <d v="2026-03-29T08:56:00"/>
    <d v="2026-03-29T09:23:00"/>
    <d v="2026-03-29T09:29:00"/>
    <n v="6"/>
    <x v="1"/>
    <s v="الرياض"/>
    <s v="الربوة"/>
    <s v="مستودع الرياض الرئيسي"/>
    <n v="5000"/>
    <x v="0"/>
    <x v="0"/>
    <x v="0"/>
    <x v="0"/>
    <x v="3"/>
    <x v="12"/>
  </r>
  <r>
    <s v="ORD-2026-100780"/>
    <s v="CUS34650"/>
    <d v="2026-02-18T00:00:00"/>
    <s v="D001"/>
    <n v="32"/>
    <n v="10.6"/>
    <s v="فان"/>
    <s v="10:00-12:00"/>
    <d v="2026-02-18T06:03:00"/>
    <d v="2026-02-18T06:26:00"/>
    <d v="2026-02-18T06:41:00"/>
    <d v="2026-02-18T06:48:00"/>
    <d v="2026-02-18T07:47:00"/>
    <d v="2026-02-18T08:09:00"/>
    <n v="6"/>
    <x v="1"/>
    <s v="الرياض"/>
    <s v="الربوة"/>
    <s v="مستودع الرياض الرئيسي"/>
    <n v="5000"/>
    <x v="0"/>
    <x v="0"/>
    <x v="0"/>
    <x v="0"/>
    <x v="4"/>
    <x v="11"/>
  </r>
  <r>
    <s v="ORD-2026-100781"/>
    <s v="CUS58663"/>
    <d v="2026-01-31T00:00:00"/>
    <s v="D023"/>
    <n v="7"/>
    <n v="11"/>
    <s v="فان"/>
    <s v="16:00-18:00"/>
    <d v="2026-01-31T08:59:00"/>
    <d v="2026-01-31T09:19:00"/>
    <d v="2026-01-31T09:58:00"/>
    <d v="2026-01-31T10:04:00"/>
    <d v="2026-01-31T10:32:00"/>
    <d v="2026-01-31T11:00:00"/>
    <n v="1"/>
    <x v="1"/>
    <s v="مكة المكرمة"/>
    <s v="العزيزية"/>
    <s v="مستودع مكة المكرمة"/>
    <n v="2500"/>
    <x v="0"/>
    <x v="0"/>
    <x v="0"/>
    <x v="0"/>
    <x v="3"/>
    <x v="10"/>
  </r>
  <r>
    <s v="ORD-2026-100782"/>
    <s v="CUS28040"/>
    <d v="2026-03-12T00:00:00"/>
    <s v="D018"/>
    <n v="27"/>
    <n v="7.3"/>
    <s v="شاحنة متوسطة"/>
    <s v="14:00-16:00"/>
    <d v="2026-03-12T07:35:00"/>
    <d v="2026-03-12T07:54:00"/>
    <d v="2026-03-12T08:48:00"/>
    <d v="2026-03-12T09:02:00"/>
    <d v="2026-03-12T09:21:00"/>
    <d v="2026-03-12T09:57:00"/>
    <n v="6"/>
    <x v="1"/>
    <s v="جدة"/>
    <s v="الروضة"/>
    <s v="مستودع جدة الرئيسي"/>
    <n v="4000"/>
    <x v="0"/>
    <x v="0"/>
    <x v="0"/>
    <x v="0"/>
    <x v="2"/>
    <x v="5"/>
  </r>
  <r>
    <s v="ORD-2026-100783"/>
    <s v="CUS20714"/>
    <d v="2026-02-12T00:00:00"/>
    <s v="D030"/>
    <n v="33"/>
    <n v="10"/>
    <s v="دراجة نارية"/>
    <s v="08:00-10:00"/>
    <d v="2026-02-12T07:27:00"/>
    <d v="2026-02-12T07:48:00"/>
    <d v="2026-02-12T09:18:00"/>
    <d v="2026-02-12T09:27:00"/>
    <d v="2026-02-12T10:15:00"/>
    <d v="2026-02-12T10:41:00"/>
    <n v="5"/>
    <x v="1"/>
    <s v="الدمام"/>
    <s v="الجلوية"/>
    <s v="مستودع الدمام"/>
    <n v="3000"/>
    <x v="0"/>
    <x v="1"/>
    <x v="1"/>
    <x v="2"/>
    <x v="0"/>
    <x v="12"/>
  </r>
  <r>
    <s v="ORD-2026-100784"/>
    <s v="CUS96100"/>
    <d v="2026-02-23T00:00:00"/>
    <s v="D029"/>
    <n v="38"/>
    <n v="4.8"/>
    <s v="شاحنة صغيرة"/>
    <s v="12:00-14:00"/>
    <d v="2026-02-23T09:59:00"/>
    <d v="2026-02-23T10:21:00"/>
    <d v="2026-02-23T10:52:00"/>
    <d v="2026-02-23T11:04:00"/>
    <d v="2026-02-23T11:57:00"/>
    <d v="2026-02-23T12:23:00"/>
    <n v="4"/>
    <x v="2"/>
    <s v="الرياض"/>
    <s v="العليا"/>
    <s v="مستودع الرياض الرئيسي"/>
    <n v="5000"/>
    <x v="0"/>
    <x v="0"/>
    <x v="0"/>
    <x v="0"/>
    <x v="0"/>
    <x v="9"/>
  </r>
  <r>
    <s v="ORD-2026-100785"/>
    <s v="CUS50180"/>
    <d v="2026-02-20T00:00:00"/>
    <s v="D008"/>
    <n v="31"/>
    <n v="9.5"/>
    <s v="شاحنة صغيرة"/>
    <s v="10:00-12:00"/>
    <d v="2026-02-20T08:43:00"/>
    <d v="2026-02-20T09:08:00"/>
    <d v="2026-02-20T10:16:00"/>
    <d v="2026-02-20T10:25:00"/>
    <d v="2026-02-20T11:19:00"/>
    <d v="2026-02-20T11:36:00"/>
    <n v="6"/>
    <x v="0"/>
    <s v="المدينة المنورة"/>
    <s v="الحرة الغربية"/>
    <s v="مستودع المدينة المنورة"/>
    <n v="2000"/>
    <x v="0"/>
    <x v="0"/>
    <x v="0"/>
    <x v="0"/>
    <x v="0"/>
    <x v="0"/>
  </r>
  <r>
    <s v="ORD-2026-100786"/>
    <s v="CUS56860"/>
    <d v="2026-01-31T00:00:00"/>
    <s v="D025"/>
    <n v="18"/>
    <n v="8.3000000000000007"/>
    <s v="شاحنة صغيرة"/>
    <s v="20:00-22:00"/>
    <d v="2026-01-31T06:48:00"/>
    <d v="2026-01-31T06:53:00"/>
    <d v="2026-01-31T07:05:00"/>
    <d v="2026-01-31T07:10:00"/>
    <d v="2026-01-31T07:38:00"/>
    <d v="2026-01-31T07:50:00"/>
    <n v="2"/>
    <x v="2"/>
    <s v="مكة المكرمة"/>
    <s v="الزاهر"/>
    <s v="مستودع مكة المكرمة"/>
    <n v="2500"/>
    <x v="0"/>
    <x v="0"/>
    <x v="0"/>
    <x v="0"/>
    <x v="0"/>
    <x v="12"/>
  </r>
  <r>
    <s v="ORD-2026-100787"/>
    <s v="CUS72075"/>
    <d v="2026-03-26T00:00:00"/>
    <s v="D013"/>
    <n v="26"/>
    <n v="7.1"/>
    <s v="دراجة نارية"/>
    <s v="12:00-14:00"/>
    <d v="2026-03-26T07:49:00"/>
    <d v="2026-03-26T08:13:00"/>
    <d v="2026-03-26T09:38:00"/>
    <d v="2026-03-26T09:58:00"/>
    <d v="2026-03-26T10:48:00"/>
    <d v="2026-03-26T11:32:00"/>
    <n v="5"/>
    <x v="4"/>
    <s v="الرياض"/>
    <s v="الروضة"/>
    <s v="مستودع الرياض الرئيسي"/>
    <n v="5000"/>
    <x v="1"/>
    <x v="0"/>
    <x v="0"/>
    <x v="0"/>
    <x v="2"/>
    <x v="11"/>
  </r>
  <r>
    <s v="ORD-2026-100788"/>
    <s v="CUS92745"/>
    <d v="2026-02-19T00:00:00"/>
    <s v="D025"/>
    <n v="32"/>
    <n v="9.5"/>
    <s v="شاحنة متوسطة"/>
    <s v="12:00-14:00"/>
    <d v="2026-02-19T08:55:00"/>
    <d v="2026-02-19T09:15:00"/>
    <d v="2026-02-19T09:28:00"/>
    <d v="2026-02-19T09:45:00"/>
    <d v="2026-02-19T09:57:00"/>
    <d v="2026-02-19T10:33:00"/>
    <n v="7"/>
    <x v="1"/>
    <s v="المدينة المنورة"/>
    <s v="العوالي"/>
    <s v="مستودع المدينة المنورة"/>
    <n v="2000"/>
    <x v="0"/>
    <x v="0"/>
    <x v="0"/>
    <x v="0"/>
    <x v="1"/>
    <x v="0"/>
  </r>
  <r>
    <s v="ORD-2026-100789"/>
    <s v="CUS33754"/>
    <d v="2026-01-13T00:00:00"/>
    <s v="D015"/>
    <n v="20"/>
    <n v="8.8000000000000007"/>
    <s v="فان"/>
    <s v="08:00-10:00"/>
    <d v="2026-01-13T07:22:00"/>
    <d v="2026-01-13T07:36:00"/>
    <d v="2026-01-13T08:56:00"/>
    <d v="2026-01-13T09:15:00"/>
    <d v="2026-01-13T09:38:00"/>
    <d v="2026-01-13T10:22:00"/>
    <n v="4"/>
    <x v="2"/>
    <s v="مكة المكرمة"/>
    <s v="الزاهر"/>
    <s v="مستودع مكة المكرمة"/>
    <n v="2500"/>
    <x v="0"/>
    <x v="1"/>
    <x v="0"/>
    <x v="6"/>
    <x v="2"/>
    <x v="9"/>
  </r>
  <r>
    <s v="ORD-2026-100790"/>
    <s v="CUS30289"/>
    <d v="2026-03-01T00:00:00"/>
    <s v="D009"/>
    <n v="39"/>
    <n v="9.1999999999999993"/>
    <s v="شاحنة صغيرة"/>
    <s v="12:00-14:00"/>
    <d v="2026-03-01T08:29:00"/>
    <d v="2026-03-01T08:37:00"/>
    <d v="2026-03-01T09:53:00"/>
    <d v="2026-03-01T10:13:00"/>
    <d v="2026-03-01T10:34:00"/>
    <d v="2026-03-01T11:07:00"/>
    <n v="3"/>
    <x v="1"/>
    <s v="المدينة المنورة"/>
    <s v="العنابس"/>
    <s v="مستودع المدينة المنورة"/>
    <n v="2000"/>
    <x v="0"/>
    <x v="0"/>
    <x v="0"/>
    <x v="0"/>
    <x v="2"/>
    <x v="10"/>
  </r>
  <r>
    <s v="ORD-2026-100791"/>
    <s v="CUS25216"/>
    <d v="2026-01-10T00:00:00"/>
    <s v="D007"/>
    <n v="20"/>
    <n v="4"/>
    <s v="دراجة نارية"/>
    <s v="20:00-22:00"/>
    <d v="2026-01-10T07:36:00"/>
    <d v="2026-01-10T07:42:00"/>
    <d v="2026-01-10T08:30:00"/>
    <d v="2026-01-10T08:40:00"/>
    <d v="2026-01-10T09:04:00"/>
    <d v="2026-01-10T09:30:00"/>
    <n v="7"/>
    <x v="1"/>
    <s v="مكة المكرمة"/>
    <s v="أجياد"/>
    <s v="مستودع مكة المكرمة"/>
    <n v="2500"/>
    <x v="0"/>
    <x v="0"/>
    <x v="0"/>
    <x v="0"/>
    <x v="2"/>
    <x v="0"/>
  </r>
  <r>
    <s v="ORD-2026-100792"/>
    <s v="CUS18542"/>
    <d v="2026-01-13T00:00:00"/>
    <s v="D006"/>
    <n v="6"/>
    <n v="7.5"/>
    <s v="سيارة سيدان"/>
    <s v="20:00-22:00"/>
    <d v="2026-01-13T08:58:00"/>
    <d v="2026-01-13T09:16:00"/>
    <d v="2026-01-13T09:28:00"/>
    <d v="2026-01-13T09:44:00"/>
    <d v="2026-01-13T10:34:00"/>
    <d v="2026-01-13T11:13:00"/>
    <n v="1"/>
    <x v="1"/>
    <s v="جدة"/>
    <s v="الزهراء"/>
    <s v="مستودع جدة الرئيسي"/>
    <n v="4000"/>
    <x v="0"/>
    <x v="0"/>
    <x v="0"/>
    <x v="0"/>
    <x v="0"/>
    <x v="8"/>
  </r>
  <r>
    <s v="ORD-2026-100793"/>
    <s v="CUS96017"/>
    <d v="2026-01-12T00:00:00"/>
    <s v="D009"/>
    <n v="30"/>
    <n v="8.1"/>
    <s v="دراجة نارية"/>
    <s v="10:00-12:00"/>
    <d v="2026-01-12T06:30:00"/>
    <d v="2026-01-12T06:35:00"/>
    <d v="2026-01-12T07:05:00"/>
    <d v="2026-01-12T07:12:00"/>
    <d v="2026-01-12T07:58:00"/>
    <d v="2026-01-12T08:14:00"/>
    <n v="6"/>
    <x v="2"/>
    <s v="الدمام"/>
    <s v="الجلوية"/>
    <s v="مستودع الدمام"/>
    <n v="3000"/>
    <x v="1"/>
    <x v="0"/>
    <x v="0"/>
    <x v="0"/>
    <x v="3"/>
    <x v="8"/>
  </r>
  <r>
    <s v="ORD-2026-100794"/>
    <s v="CUS49759"/>
    <d v="2026-01-24T00:00:00"/>
    <s v="D019"/>
    <n v="40"/>
    <n v="4.3"/>
    <s v="دراجة نارية"/>
    <s v="10:00-12:00"/>
    <d v="2026-01-24T07:16:00"/>
    <d v="2026-01-24T07:25:00"/>
    <d v="2026-01-24T08:25:00"/>
    <d v="2026-01-24T08:30:00"/>
    <d v="2026-01-24T09:03:00"/>
    <d v="2026-01-24T09:11:00"/>
    <n v="5"/>
    <x v="1"/>
    <s v="مكة المكرمة"/>
    <s v="العزيزية"/>
    <s v="مستودع مكة المكرمة"/>
    <n v="2500"/>
    <x v="0"/>
    <x v="0"/>
    <x v="0"/>
    <x v="0"/>
    <x v="2"/>
    <x v="7"/>
  </r>
  <r>
    <s v="ORD-2026-100795"/>
    <s v="CUS76829"/>
    <d v="2026-01-18T00:00:00"/>
    <s v="D011"/>
    <n v="35"/>
    <n v="10.4"/>
    <s v="دراجة نارية"/>
    <s v="18:00-20:00"/>
    <d v="2026-01-18T08:01:00"/>
    <d v="2026-01-18T08:21:00"/>
    <d v="2026-01-18T09:32:00"/>
    <d v="2026-01-18T09:43:00"/>
    <d v="2026-01-18T09:59:00"/>
    <d v="2026-01-18T10:15:00"/>
    <n v="4"/>
    <x v="1"/>
    <s v="جدة"/>
    <s v="الأندلس"/>
    <s v="مستودع جدة الرئيسي"/>
    <n v="4000"/>
    <x v="0"/>
    <x v="1"/>
    <x v="0"/>
    <x v="2"/>
    <x v="0"/>
    <x v="1"/>
  </r>
  <r>
    <s v="ORD-2026-100796"/>
    <s v="CUS61724"/>
    <d v="2026-01-19T00:00:00"/>
    <s v="D028"/>
    <n v="37"/>
    <n v="11.9"/>
    <s v="شاحنة صغيرة"/>
    <s v="16:00-18:00"/>
    <d v="2026-01-19T06:42:00"/>
    <d v="2026-01-19T06:54:00"/>
    <d v="2026-01-19T08:24:00"/>
    <d v="2026-01-19T08:42:00"/>
    <d v="2026-01-19T09:32:00"/>
    <d v="2026-01-19T10:00:00"/>
    <n v="2"/>
    <x v="1"/>
    <s v="الرياض"/>
    <s v="الربوة"/>
    <s v="مستودع الرياض الرئيسي"/>
    <n v="5000"/>
    <x v="0"/>
    <x v="0"/>
    <x v="0"/>
    <x v="0"/>
    <x v="4"/>
    <x v="6"/>
  </r>
  <r>
    <s v="ORD-2026-100797"/>
    <s v="CUS64698"/>
    <d v="2026-01-04T00:00:00"/>
    <s v="D007"/>
    <n v="33"/>
    <n v="8.9"/>
    <s v="دراجة نارية"/>
    <s v="18:00-20:00"/>
    <d v="2026-01-04T09:52:00"/>
    <d v="2026-01-04T10:01:00"/>
    <d v="2026-01-04T11:12:00"/>
    <d v="2026-01-04T11:30:00"/>
    <d v="2026-01-04T12:21:00"/>
    <d v="2026-01-04T13:06:00"/>
    <n v="2"/>
    <x v="0"/>
    <s v="الدمام"/>
    <s v="الجلوية"/>
    <s v="مستودع الدمام"/>
    <n v="3000"/>
    <x v="0"/>
    <x v="0"/>
    <x v="0"/>
    <x v="0"/>
    <x v="2"/>
    <x v="7"/>
  </r>
  <r>
    <s v="ORD-2026-100798"/>
    <s v="CUS87274"/>
    <d v="2026-01-09T00:00:00"/>
    <s v="D018"/>
    <n v="7"/>
    <n v="7"/>
    <s v="فان"/>
    <s v="12:00-14:00"/>
    <d v="2026-01-09T07:58:00"/>
    <d v="2026-01-09T08:23:00"/>
    <d v="2026-01-09T09:16:00"/>
    <d v="2026-01-09T09:30:00"/>
    <d v="2026-01-09T10:14:00"/>
    <d v="2026-01-09T10:57:00"/>
    <n v="3"/>
    <x v="1"/>
    <s v="الرياض"/>
    <s v="الملقا"/>
    <s v="مستودع الرياض الرئيسي"/>
    <n v="5000"/>
    <x v="0"/>
    <x v="0"/>
    <x v="0"/>
    <x v="0"/>
    <x v="2"/>
    <x v="3"/>
  </r>
  <r>
    <s v="ORD-2026-100799"/>
    <s v="CUS52488"/>
    <d v="2026-03-30T00:00:00"/>
    <s v="D018"/>
    <n v="35"/>
    <n v="6.7"/>
    <s v="فان"/>
    <s v="12:00-14:00"/>
    <d v="2026-03-30T08:16:00"/>
    <d v="2026-03-30T08:37:00"/>
    <d v="2026-03-30T10:05:00"/>
    <d v="2026-03-30T10:12:00"/>
    <d v="2026-03-30T10:38:00"/>
    <d v="2026-03-30T11:23:00"/>
    <n v="3"/>
    <x v="1"/>
    <s v="المدينة المنورة"/>
    <s v="قباء"/>
    <s v="مستودع المدينة المنورة"/>
    <n v="2000"/>
    <x v="0"/>
    <x v="0"/>
    <x v="0"/>
    <x v="0"/>
    <x v="3"/>
    <x v="5"/>
  </r>
  <r>
    <s v="ORD-2026-100800"/>
    <s v="CUS99912"/>
    <d v="2026-01-31T00:00:00"/>
    <s v="D019"/>
    <n v="24"/>
    <n v="5.5"/>
    <s v="سيارة سيدان"/>
    <s v="16:00-18:00"/>
    <d v="2026-01-31T08:53:00"/>
    <d v="2026-01-31T09:11:00"/>
    <d v="2026-01-31T09:56:00"/>
    <d v="2026-01-31T10:09:00"/>
    <d v="2026-01-31T10:57:00"/>
    <d v="2026-01-31T11:29:00"/>
    <n v="6"/>
    <x v="1"/>
    <s v="جدة"/>
    <s v="الروضة"/>
    <s v="مستودع جدة الرئيسي"/>
    <n v="4000"/>
    <x v="0"/>
    <x v="1"/>
    <x v="1"/>
    <x v="1"/>
    <x v="2"/>
    <x v="10"/>
  </r>
  <r>
    <s v="ORD-2026-100801"/>
    <s v="CUS45486"/>
    <d v="2026-02-16T00:00:00"/>
    <s v="D023"/>
    <n v="18"/>
    <n v="10.4"/>
    <s v="شاحنة متوسطة"/>
    <s v="16:00-18:00"/>
    <d v="2026-02-16T06:44:00"/>
    <d v="2026-02-16T06:52:00"/>
    <d v="2026-02-16T07:39:00"/>
    <d v="2026-02-16T07:51:00"/>
    <d v="2026-02-16T08:14:00"/>
    <d v="2026-02-16T08:57:00"/>
    <n v="7"/>
    <x v="1"/>
    <s v="المدينة المنورة"/>
    <s v="الحرة الغربية"/>
    <s v="مستودع المدينة المنورة"/>
    <n v="2000"/>
    <x v="0"/>
    <x v="1"/>
    <x v="3"/>
    <x v="5"/>
    <x v="3"/>
    <x v="4"/>
  </r>
  <r>
    <s v="ORD-2026-100802"/>
    <s v="CUS86491"/>
    <d v="2026-03-14T00:00:00"/>
    <s v="D015"/>
    <n v="14"/>
    <n v="6"/>
    <s v="شاحنة صغيرة"/>
    <s v="12:00-14:00"/>
    <d v="2026-03-14T06:31:00"/>
    <d v="2026-03-14T06:48:00"/>
    <d v="2026-03-14T08:08:00"/>
    <d v="2026-03-14T08:25:00"/>
    <d v="2026-03-14T08:35:00"/>
    <d v="2026-03-14T08:44:00"/>
    <n v="2"/>
    <x v="1"/>
    <s v="المدينة المنورة"/>
    <s v="الحرة الغربية"/>
    <s v="مستودع المدينة المنورة"/>
    <n v="2000"/>
    <x v="0"/>
    <x v="0"/>
    <x v="0"/>
    <x v="0"/>
    <x v="0"/>
    <x v="9"/>
  </r>
  <r>
    <s v="ORD-2026-100803"/>
    <s v="CUS19211"/>
    <d v="2026-02-05T00:00:00"/>
    <s v="D017"/>
    <n v="17"/>
    <n v="6.1"/>
    <s v="فان"/>
    <s v="18:00-20:00"/>
    <d v="2026-02-05T08:05:00"/>
    <d v="2026-02-05T08:29:00"/>
    <d v="2026-02-05T08:52:00"/>
    <d v="2026-02-05T09:12:00"/>
    <d v="2026-02-05T09:49:00"/>
    <d v="2026-02-05T10:18:00"/>
    <n v="3"/>
    <x v="3"/>
    <s v="المدينة المنورة"/>
    <s v="العنابس"/>
    <s v="مستودع المدينة المنورة"/>
    <n v="2000"/>
    <x v="0"/>
    <x v="0"/>
    <x v="0"/>
    <x v="0"/>
    <x v="0"/>
    <x v="7"/>
  </r>
  <r>
    <s v="ORD-2026-100804"/>
    <s v="CUS91043"/>
    <d v="2026-02-05T00:00:00"/>
    <s v="D004"/>
    <n v="13"/>
    <n v="10.3"/>
    <s v="فان"/>
    <s v="10:00-12:00"/>
    <d v="2026-02-05T06:10:00"/>
    <d v="2026-02-05T06:36:00"/>
    <d v="2026-02-05T07:58:00"/>
    <d v="2026-02-05T08:04:00"/>
    <d v="2026-02-05T08:14:00"/>
    <d v="2026-02-05T08:26:00"/>
    <n v="3"/>
    <x v="1"/>
    <s v="المدينة المنورة"/>
    <s v="الحرة الغربية"/>
    <s v="مستودع المدينة المنورة"/>
    <n v="2000"/>
    <x v="0"/>
    <x v="0"/>
    <x v="0"/>
    <x v="0"/>
    <x v="3"/>
    <x v="2"/>
  </r>
  <r>
    <s v="ORD-2026-100805"/>
    <s v="CUS45353"/>
    <d v="2026-03-19T00:00:00"/>
    <s v="D019"/>
    <n v="27"/>
    <n v="10.7"/>
    <s v="دراجة نارية"/>
    <s v="08:00-10:00"/>
    <d v="2026-03-19T08:21:00"/>
    <d v="2026-03-19T08:44:00"/>
    <d v="2026-03-19T09:34:00"/>
    <d v="2026-03-19T09:46:00"/>
    <d v="2026-03-19T10:06:00"/>
    <d v="2026-03-19T10:35:00"/>
    <n v="2"/>
    <x v="1"/>
    <s v="الدمام"/>
    <s v="المزروعية"/>
    <s v="مستودع الدمام"/>
    <n v="3000"/>
    <x v="0"/>
    <x v="0"/>
    <x v="0"/>
    <x v="0"/>
    <x v="2"/>
    <x v="13"/>
  </r>
  <r>
    <s v="ORD-2026-100806"/>
    <s v="CUS20747"/>
    <d v="2026-03-04T00:00:00"/>
    <s v="D004"/>
    <n v="31"/>
    <n v="5.8"/>
    <s v="فان"/>
    <s v="16:00-18:00"/>
    <d v="2026-03-04T06:42:00"/>
    <d v="2026-03-04T06:52:00"/>
    <d v="2026-03-04T07:30:00"/>
    <d v="2026-03-04T07:43:00"/>
    <d v="2026-03-04T07:59:00"/>
    <d v="2026-03-04T08:04:00"/>
    <n v="2"/>
    <x v="1"/>
    <s v="الرياض"/>
    <s v="حطين"/>
    <s v="مستودع الرياض الرئيسي"/>
    <n v="5000"/>
    <x v="0"/>
    <x v="1"/>
    <x v="3"/>
    <x v="4"/>
    <x v="3"/>
    <x v="8"/>
  </r>
  <r>
    <s v="ORD-2026-100807"/>
    <s v="CUS12715"/>
    <d v="2026-02-22T00:00:00"/>
    <s v="D023"/>
    <n v="14"/>
    <n v="9.9"/>
    <s v="فان"/>
    <s v="20:00-22:00"/>
    <d v="2026-02-22T08:37:00"/>
    <d v="2026-02-22T09:06:00"/>
    <d v="2026-02-22T10:04:00"/>
    <d v="2026-02-22T10:09:00"/>
    <d v="2026-02-22T10:53:00"/>
    <d v="2026-02-22T11:15:00"/>
    <n v="2"/>
    <x v="1"/>
    <s v="مكة المكرمة"/>
    <s v="أجياد"/>
    <s v="مستودع مكة المكرمة"/>
    <n v="2500"/>
    <x v="0"/>
    <x v="0"/>
    <x v="0"/>
    <x v="0"/>
    <x v="2"/>
    <x v="6"/>
  </r>
  <r>
    <s v="ORD-2026-100808"/>
    <s v="CUS59734"/>
    <d v="2026-03-05T00:00:00"/>
    <s v="D017"/>
    <n v="33"/>
    <n v="8.9"/>
    <s v="سيارة سيدان"/>
    <s v="10:00-12:00"/>
    <d v="2026-03-05T09:00:00"/>
    <d v="2026-03-05T09:07:00"/>
    <d v="2026-03-05T10:33:00"/>
    <d v="2026-03-05T10:50:00"/>
    <d v="2026-03-05T11:10:00"/>
    <d v="2026-03-05T11:40:00"/>
    <n v="2"/>
    <x v="5"/>
    <s v="المدينة المنورة"/>
    <s v="العنابس"/>
    <s v="مستودع المدينة المنورة"/>
    <n v="2000"/>
    <x v="0"/>
    <x v="0"/>
    <x v="0"/>
    <x v="0"/>
    <x v="2"/>
    <x v="2"/>
  </r>
  <r>
    <s v="ORD-2026-100809"/>
    <s v="CUS67325"/>
    <d v="2026-03-18T00:00:00"/>
    <s v="D029"/>
    <n v="20"/>
    <n v="9.1999999999999993"/>
    <s v="شاحنة صغيرة"/>
    <s v="14:00-16:00"/>
    <d v="2026-03-18T09:02:00"/>
    <d v="2026-03-18T09:32:00"/>
    <d v="2026-03-18T09:44:00"/>
    <d v="2026-03-18T10:01:00"/>
    <d v="2026-03-18T10:47:00"/>
    <d v="2026-03-18T11:14:00"/>
    <n v="3"/>
    <x v="1"/>
    <s v="مكة المكرمة"/>
    <s v="العزيزية"/>
    <s v="مستودع مكة المكرمة"/>
    <n v="2500"/>
    <x v="0"/>
    <x v="0"/>
    <x v="0"/>
    <x v="0"/>
    <x v="0"/>
    <x v="8"/>
  </r>
  <r>
    <s v="ORD-2026-100810"/>
    <s v="CUS42819"/>
    <d v="2026-02-02T00:00:00"/>
    <s v="D012"/>
    <n v="28"/>
    <n v="11.3"/>
    <s v="سيارة سيدان"/>
    <s v="14:00-16:00"/>
    <d v="2026-02-02T06:40:00"/>
    <d v="2026-02-02T06:50:00"/>
    <d v="2026-02-02T07:28:00"/>
    <d v="2026-02-02T07:39:00"/>
    <d v="2026-02-02T07:51:00"/>
    <d v="2026-02-02T08:20:00"/>
    <n v="3"/>
    <x v="3"/>
    <s v="جدة"/>
    <s v="الروضة"/>
    <s v="مستودع جدة الرئيسي"/>
    <n v="4000"/>
    <x v="0"/>
    <x v="1"/>
    <x v="0"/>
    <x v="6"/>
    <x v="0"/>
    <x v="7"/>
  </r>
  <r>
    <s v="ORD-2026-100811"/>
    <s v="CUS33061"/>
    <d v="2026-01-11T00:00:00"/>
    <s v="D017"/>
    <n v="14"/>
    <n v="6.3"/>
    <s v="فان"/>
    <s v="12:00-14:00"/>
    <d v="2026-01-11T09:42:00"/>
    <d v="2026-01-11T09:52:00"/>
    <d v="2026-01-11T10:31:00"/>
    <d v="2026-01-11T10:49:00"/>
    <d v="2026-01-11T11:18:00"/>
    <d v="2026-01-11T11:33:00"/>
    <n v="5"/>
    <x v="6"/>
    <s v="الدمام"/>
    <s v="الجلوية"/>
    <s v="مستودع الدمام"/>
    <n v="3000"/>
    <x v="0"/>
    <x v="0"/>
    <x v="0"/>
    <x v="0"/>
    <x v="0"/>
    <x v="1"/>
  </r>
  <r>
    <s v="ORD-2026-100812"/>
    <s v="CUS34485"/>
    <d v="2026-02-06T00:00:00"/>
    <s v="D018"/>
    <n v="15"/>
    <n v="5.9"/>
    <s v="دراجة نارية"/>
    <s v="16:00-18:00"/>
    <d v="2026-02-06T09:02:00"/>
    <d v="2026-02-06T09:09:00"/>
    <d v="2026-02-06T09:27:00"/>
    <d v="2026-02-06T09:35:00"/>
    <d v="2026-02-06T10:02:00"/>
    <d v="2026-02-06T10:18:00"/>
    <n v="5"/>
    <x v="4"/>
    <s v="مكة المكرمة"/>
    <s v="أجياد"/>
    <s v="مستودع مكة المكرمة"/>
    <n v="2500"/>
    <x v="0"/>
    <x v="0"/>
    <x v="0"/>
    <x v="0"/>
    <x v="3"/>
    <x v="9"/>
  </r>
  <r>
    <s v="ORD-2026-100813"/>
    <s v="CUS85217"/>
    <d v="2026-02-01T00:00:00"/>
    <s v="D026"/>
    <n v="15"/>
    <n v="10.1"/>
    <s v="شاحنة متوسطة"/>
    <s v="20:00-22:00"/>
    <d v="2026-02-01T06:05:00"/>
    <d v="2026-02-01T06:26:00"/>
    <d v="2026-02-01T07:40:00"/>
    <d v="2026-02-01T07:46:00"/>
    <d v="2026-02-01T08:21:00"/>
    <d v="2026-02-01T08:34:00"/>
    <n v="2"/>
    <x v="3"/>
    <s v="الرياض"/>
    <s v="الورود"/>
    <s v="مستودع الرياض الرئيسي"/>
    <n v="5000"/>
    <x v="0"/>
    <x v="0"/>
    <x v="0"/>
    <x v="0"/>
    <x v="2"/>
    <x v="6"/>
  </r>
  <r>
    <s v="ORD-2026-100814"/>
    <s v="CUS80971"/>
    <d v="2026-02-05T00:00:00"/>
    <s v="D015"/>
    <n v="16"/>
    <n v="9.6999999999999993"/>
    <s v="دراجة نارية"/>
    <s v="10:00-12:00"/>
    <d v="2026-02-05T08:43:00"/>
    <d v="2026-02-05T09:07:00"/>
    <d v="2026-02-05T09:22:00"/>
    <d v="2026-02-05T09:29:00"/>
    <d v="2026-02-05T10:03:00"/>
    <d v="2026-02-05T10:16:00"/>
    <n v="1"/>
    <x v="1"/>
    <s v="جدة"/>
    <s v="الشاطئ"/>
    <s v="مستودع جدة الرئيسي"/>
    <n v="4000"/>
    <x v="0"/>
    <x v="0"/>
    <x v="0"/>
    <x v="0"/>
    <x v="0"/>
    <x v="9"/>
  </r>
  <r>
    <s v="ORD-2026-100815"/>
    <s v="CUS58169"/>
    <d v="2026-02-21T00:00:00"/>
    <s v="D029"/>
    <n v="38"/>
    <n v="6.8"/>
    <s v="شاحنة متوسطة"/>
    <s v="16:00-18:00"/>
    <d v="2026-02-21T09:03:00"/>
    <d v="2026-02-21T09:31:00"/>
    <d v="2026-02-21T10:32:00"/>
    <d v="2026-02-21T10:45:00"/>
    <d v="2026-02-21T11:28:00"/>
    <d v="2026-02-21T11:59:00"/>
    <n v="2"/>
    <x v="1"/>
    <s v="المدينة المنورة"/>
    <s v="العنابس"/>
    <s v="مستودع المدينة المنورة"/>
    <n v="2000"/>
    <x v="0"/>
    <x v="0"/>
    <x v="0"/>
    <x v="0"/>
    <x v="3"/>
    <x v="13"/>
  </r>
  <r>
    <s v="ORD-2026-100816"/>
    <s v="CUS42046"/>
    <d v="2026-02-08T00:00:00"/>
    <s v="D004"/>
    <n v="29"/>
    <n v="7"/>
    <s v="سيارة سيدان"/>
    <s v="08:00-10:00"/>
    <d v="2026-02-08T07:20:00"/>
    <d v="2026-02-08T07:40:00"/>
    <d v="2026-02-08T08:15:00"/>
    <d v="2026-02-08T08:20:00"/>
    <d v="2026-02-08T08:43:00"/>
    <d v="2026-02-08T09:15:00"/>
    <n v="7"/>
    <x v="1"/>
    <s v="المدينة المنورة"/>
    <s v="العنابس"/>
    <s v="مستودع المدينة المنورة"/>
    <n v="2000"/>
    <x v="0"/>
    <x v="1"/>
    <x v="1"/>
    <x v="1"/>
    <x v="0"/>
    <x v="12"/>
  </r>
  <r>
    <s v="ORD-2026-100817"/>
    <s v="CUS60666"/>
    <d v="2026-01-19T00:00:00"/>
    <s v="D001"/>
    <n v="21"/>
    <n v="7.9"/>
    <s v="فان"/>
    <s v="18:00-20:00"/>
    <d v="2026-01-19T07:59:00"/>
    <d v="2026-01-19T08:15:00"/>
    <d v="2026-01-19T08:51:00"/>
    <d v="2026-01-19T09:10:00"/>
    <d v="2026-01-19T09:28:00"/>
    <d v="2026-01-19T09:59:00"/>
    <n v="1"/>
    <x v="3"/>
    <s v="جدة"/>
    <s v="الشاطئ"/>
    <s v="مستودع جدة الرئيسي"/>
    <n v="4000"/>
    <x v="0"/>
    <x v="1"/>
    <x v="2"/>
    <x v="5"/>
    <x v="1"/>
    <x v="4"/>
  </r>
  <r>
    <s v="ORD-2026-100818"/>
    <s v="CUS83608"/>
    <d v="2026-03-25T00:00:00"/>
    <s v="D028"/>
    <n v="23"/>
    <n v="6.8"/>
    <s v="شاحنة متوسطة"/>
    <s v="16:00-18:00"/>
    <d v="2026-03-25T08:02:00"/>
    <d v="2026-03-25T08:08:00"/>
    <d v="2026-03-25T09:19:00"/>
    <d v="2026-03-25T09:26:00"/>
    <d v="2026-03-25T09:58:00"/>
    <d v="2026-03-25T10:24:00"/>
    <n v="2"/>
    <x v="1"/>
    <s v="مكة المكرمة"/>
    <s v="العزيزية"/>
    <s v="مستودع مكة المكرمة"/>
    <n v="2500"/>
    <x v="0"/>
    <x v="0"/>
    <x v="0"/>
    <x v="0"/>
    <x v="1"/>
    <x v="0"/>
  </r>
  <r>
    <s v="ORD-2026-100819"/>
    <s v="CUS73899"/>
    <d v="2026-02-04T00:00:00"/>
    <s v="D002"/>
    <n v="38"/>
    <n v="7"/>
    <s v="فان"/>
    <s v="14:00-16:00"/>
    <d v="2026-02-04T07:25:00"/>
    <d v="2026-02-04T07:55:00"/>
    <d v="2026-02-04T09:23:00"/>
    <d v="2026-02-04T09:42:00"/>
    <d v="2026-02-04T10:14:00"/>
    <d v="2026-02-04T10:58:00"/>
    <n v="3"/>
    <x v="1"/>
    <s v="الرياض"/>
    <s v="حطين"/>
    <s v="مستودع الرياض الرئيسي"/>
    <n v="5000"/>
    <x v="0"/>
    <x v="0"/>
    <x v="0"/>
    <x v="0"/>
    <x v="1"/>
    <x v="4"/>
  </r>
  <r>
    <s v="ORD-2026-100820"/>
    <s v="CUS90854"/>
    <d v="2026-02-25T00:00:00"/>
    <s v="D025"/>
    <n v="40"/>
    <n v="9.8000000000000007"/>
    <s v="شاحنة متوسطة"/>
    <s v="16:00-18:00"/>
    <d v="2026-02-25T06:17:00"/>
    <d v="2026-02-25T06:26:00"/>
    <d v="2026-02-25T07:24:00"/>
    <d v="2026-02-25T07:39:00"/>
    <d v="2026-02-25T08:31:00"/>
    <d v="2026-02-25T09:04:00"/>
    <n v="6"/>
    <x v="1"/>
    <s v="المدينة المنورة"/>
    <s v="العوالي"/>
    <s v="مستودع المدينة المنورة"/>
    <n v="2000"/>
    <x v="0"/>
    <x v="0"/>
    <x v="0"/>
    <x v="0"/>
    <x v="0"/>
    <x v="8"/>
  </r>
  <r>
    <s v="ORD-2026-100821"/>
    <s v="CUS44800"/>
    <d v="2026-02-19T00:00:00"/>
    <s v="D009"/>
    <n v="7"/>
    <n v="4.4000000000000004"/>
    <s v="شاحنة صغيرة"/>
    <s v="10:00-12:00"/>
    <d v="2026-02-19T06:49:00"/>
    <d v="2026-02-19T07:07:00"/>
    <d v="2026-02-19T08:29:00"/>
    <d v="2026-02-19T08:40:00"/>
    <d v="2026-02-19T09:16:00"/>
    <d v="2026-02-19T09:30:00"/>
    <n v="4"/>
    <x v="1"/>
    <s v="مكة المكرمة"/>
    <s v="الشوقية"/>
    <s v="مستودع مكة المكرمة"/>
    <n v="2500"/>
    <x v="0"/>
    <x v="1"/>
    <x v="0"/>
    <x v="3"/>
    <x v="3"/>
    <x v="7"/>
  </r>
  <r>
    <s v="ORD-2026-100822"/>
    <s v="CUS53332"/>
    <d v="2026-03-03T00:00:00"/>
    <s v="D026"/>
    <n v="34"/>
    <n v="11.3"/>
    <s v="دراجة نارية"/>
    <s v="18:00-20:00"/>
    <d v="2026-03-03T08:06:00"/>
    <d v="2026-03-03T08:14:00"/>
    <d v="2026-03-03T08:34:00"/>
    <d v="2026-03-03T08:53:00"/>
    <d v="2026-03-03T09:24:00"/>
    <d v="2026-03-03T10:08:00"/>
    <n v="6"/>
    <x v="1"/>
    <s v="الرياض"/>
    <s v="حطين"/>
    <s v="مستودع الرياض الرئيسي"/>
    <n v="5000"/>
    <x v="0"/>
    <x v="1"/>
    <x v="2"/>
    <x v="6"/>
    <x v="2"/>
    <x v="5"/>
  </r>
  <r>
    <s v="ORD-2026-100823"/>
    <s v="CUS63046"/>
    <d v="2026-03-22T00:00:00"/>
    <s v="D022"/>
    <n v="14"/>
    <n v="9.3000000000000007"/>
    <s v="شاحنة متوسطة"/>
    <s v="16:00-18:00"/>
    <d v="2026-03-22T08:54:00"/>
    <d v="2026-03-22T09:07:00"/>
    <d v="2026-03-22T10:33:00"/>
    <d v="2026-03-22T10:45:00"/>
    <d v="2026-03-22T11:09:00"/>
    <d v="2026-03-22T11:15:00"/>
    <n v="4"/>
    <x v="1"/>
    <s v="الدمام"/>
    <s v="المزروعية"/>
    <s v="مستودع الدمام"/>
    <n v="3000"/>
    <x v="0"/>
    <x v="0"/>
    <x v="0"/>
    <x v="0"/>
    <x v="2"/>
    <x v="0"/>
  </r>
  <r>
    <s v="ORD-2026-100824"/>
    <s v="CUS53412"/>
    <d v="2026-01-07T00:00:00"/>
    <s v="D019"/>
    <n v="11"/>
    <n v="10.6"/>
    <s v="شاحنة متوسطة"/>
    <s v="10:00-12:00"/>
    <d v="2026-01-07T09:36:00"/>
    <d v="2026-01-07T10:06:00"/>
    <d v="2026-01-07T10:44:00"/>
    <d v="2026-01-07T10:56:00"/>
    <d v="2026-01-07T11:35:00"/>
    <d v="2026-01-07T11:49:00"/>
    <n v="1"/>
    <x v="1"/>
    <s v="الدمام"/>
    <s v="الشاطئ"/>
    <s v="مستودع الدمام"/>
    <n v="3000"/>
    <x v="0"/>
    <x v="0"/>
    <x v="0"/>
    <x v="0"/>
    <x v="2"/>
    <x v="13"/>
  </r>
  <r>
    <s v="ORD-2026-100825"/>
    <s v="CUS74469"/>
    <d v="2026-02-08T00:00:00"/>
    <s v="D003"/>
    <n v="35"/>
    <n v="11.6"/>
    <s v="شاحنة صغيرة"/>
    <s v="20:00-22:00"/>
    <d v="2026-02-08T07:20:00"/>
    <d v="2026-02-08T07:26:00"/>
    <d v="2026-02-08T08:31:00"/>
    <d v="2026-02-08T08:48:00"/>
    <d v="2026-02-08T09:25:00"/>
    <d v="2026-02-08T09:39:00"/>
    <n v="4"/>
    <x v="1"/>
    <s v="جدة"/>
    <s v="الزهراء"/>
    <s v="مستودع جدة الرئيسي"/>
    <n v="4000"/>
    <x v="0"/>
    <x v="1"/>
    <x v="0"/>
    <x v="5"/>
    <x v="3"/>
    <x v="5"/>
  </r>
  <r>
    <s v="ORD-2026-100826"/>
    <s v="CUS11112"/>
    <d v="2026-02-20T00:00:00"/>
    <s v="D019"/>
    <n v="32"/>
    <n v="10.8"/>
    <s v="سيارة سيدان"/>
    <s v="10:00-12:00"/>
    <d v="2026-02-20T08:36:00"/>
    <d v="2026-02-20T09:06:00"/>
    <d v="2026-02-20T09:37:00"/>
    <d v="2026-02-20T09:52:00"/>
    <d v="2026-02-20T10:12:00"/>
    <d v="2026-02-20T10:55:00"/>
    <n v="3"/>
    <x v="1"/>
    <s v="جدة"/>
    <s v="الشاطئ"/>
    <s v="مستودع جدة الرئيسي"/>
    <n v="4000"/>
    <x v="0"/>
    <x v="0"/>
    <x v="0"/>
    <x v="0"/>
    <x v="1"/>
    <x v="0"/>
  </r>
  <r>
    <s v="ORD-2026-100827"/>
    <s v="CUS31655"/>
    <d v="2026-01-20T00:00:00"/>
    <s v="D018"/>
    <n v="10"/>
    <n v="11.5"/>
    <s v="دراجة نارية"/>
    <s v="08:00-10:00"/>
    <d v="2026-01-20T06:00:00"/>
    <d v="2026-01-20T06:20:00"/>
    <d v="2026-01-20T06:52:00"/>
    <d v="2026-01-20T06:58:00"/>
    <d v="2026-01-20T07:16:00"/>
    <d v="2026-01-20T07:39:00"/>
    <n v="7"/>
    <x v="1"/>
    <s v="مكة المكرمة"/>
    <s v="أجياد"/>
    <s v="مستودع مكة المكرمة"/>
    <n v="2500"/>
    <x v="0"/>
    <x v="1"/>
    <x v="2"/>
    <x v="1"/>
    <x v="2"/>
    <x v="7"/>
  </r>
  <r>
    <s v="ORD-2026-100828"/>
    <s v="CUS28168"/>
    <d v="2026-02-09T00:00:00"/>
    <s v="D011"/>
    <n v="10"/>
    <n v="11.9"/>
    <s v="شاحنة متوسطة"/>
    <s v="08:00-10:00"/>
    <d v="2026-02-09T09:30:00"/>
    <d v="2026-02-09T09:41:00"/>
    <d v="2026-02-09T10:12:00"/>
    <d v="2026-02-09T10:29:00"/>
    <d v="2026-02-09T11:10:00"/>
    <d v="2026-02-09T11:21:00"/>
    <n v="3"/>
    <x v="1"/>
    <s v="الرياض"/>
    <s v="العليا"/>
    <s v="مستودع الرياض الرئيسي"/>
    <n v="5000"/>
    <x v="0"/>
    <x v="0"/>
    <x v="0"/>
    <x v="0"/>
    <x v="0"/>
    <x v="11"/>
  </r>
  <r>
    <s v="ORD-2026-100829"/>
    <s v="CUS50160"/>
    <d v="2026-01-09T00:00:00"/>
    <s v="D015"/>
    <n v="15"/>
    <n v="9.1"/>
    <s v="شاحنة متوسطة"/>
    <s v="08:00-10:00"/>
    <d v="2026-01-09T08:07:00"/>
    <d v="2026-01-09T08:31:00"/>
    <d v="2026-01-09T09:09:00"/>
    <d v="2026-01-09T09:23:00"/>
    <d v="2026-01-09T09:35:00"/>
    <d v="2026-01-09T10:05:00"/>
    <n v="7"/>
    <x v="1"/>
    <s v="المدينة المنورة"/>
    <s v="الحرة الغربية"/>
    <s v="مستودع المدينة المنورة"/>
    <n v="2000"/>
    <x v="0"/>
    <x v="0"/>
    <x v="0"/>
    <x v="0"/>
    <x v="2"/>
    <x v="9"/>
  </r>
  <r>
    <s v="ORD-2026-100830"/>
    <s v="CUS29572"/>
    <d v="2026-02-07T00:00:00"/>
    <s v="D021"/>
    <n v="20"/>
    <n v="10.4"/>
    <s v="سيارة سيدان"/>
    <s v="18:00-20:00"/>
    <d v="2026-02-07T07:23:00"/>
    <d v="2026-02-07T07:34:00"/>
    <d v="2026-02-07T08:14:00"/>
    <d v="2026-02-07T08:33:00"/>
    <d v="2026-02-07T08:52:00"/>
    <d v="2026-02-07T09:06:00"/>
    <n v="1"/>
    <x v="0"/>
    <s v="مكة المكرمة"/>
    <s v="أجياد"/>
    <s v="مستودع مكة المكرمة"/>
    <n v="2500"/>
    <x v="0"/>
    <x v="0"/>
    <x v="0"/>
    <x v="0"/>
    <x v="0"/>
    <x v="14"/>
  </r>
  <r>
    <s v="ORD-2026-100831"/>
    <s v="CUS14112"/>
    <d v="2026-01-10T00:00:00"/>
    <s v="D010"/>
    <n v="20"/>
    <n v="9.6999999999999993"/>
    <s v="فان"/>
    <s v="14:00-16:00"/>
    <d v="2026-01-10T06:31:00"/>
    <d v="2026-01-10T06:56:00"/>
    <d v="2026-01-10T08:16:00"/>
    <d v="2026-01-10T08:30:00"/>
    <d v="2026-01-10T09:25:00"/>
    <d v="2026-01-10T09:43:00"/>
    <n v="4"/>
    <x v="1"/>
    <s v="الدمام"/>
    <s v="الشاطئ"/>
    <s v="مستودع الدمام"/>
    <n v="3000"/>
    <x v="0"/>
    <x v="0"/>
    <x v="0"/>
    <x v="0"/>
    <x v="2"/>
    <x v="7"/>
  </r>
  <r>
    <s v="ORD-2026-100832"/>
    <s v="CUS31519"/>
    <d v="2026-02-02T00:00:00"/>
    <s v="D013"/>
    <n v="36"/>
    <n v="7.7"/>
    <s v="فان"/>
    <s v="20:00-22:00"/>
    <d v="2026-02-02T09:01:00"/>
    <d v="2026-02-02T09:16:00"/>
    <d v="2026-02-02T10:23:00"/>
    <d v="2026-02-02T10:32:00"/>
    <d v="2026-02-02T11:02:00"/>
    <d v="2026-02-02T11:34:00"/>
    <n v="6"/>
    <x v="1"/>
    <s v="جدة"/>
    <s v="الأندلس"/>
    <s v="مستودع جدة الرئيسي"/>
    <n v="4000"/>
    <x v="0"/>
    <x v="0"/>
    <x v="0"/>
    <x v="0"/>
    <x v="0"/>
    <x v="7"/>
  </r>
  <r>
    <s v="ORD-2026-100833"/>
    <s v="CUS54194"/>
    <d v="2026-02-02T00:00:00"/>
    <s v="D014"/>
    <n v="26"/>
    <n v="5.2"/>
    <s v="دراجة نارية"/>
    <s v="10:00-12:00"/>
    <d v="2026-02-02T08:11:00"/>
    <d v="2026-02-02T08:35:00"/>
    <d v="2026-02-02T09:48:00"/>
    <d v="2026-02-02T10:01:00"/>
    <d v="2026-02-02T10:23:00"/>
    <d v="2026-02-02T10:39:00"/>
    <n v="4"/>
    <x v="6"/>
    <s v="الرياض"/>
    <s v="الربوة"/>
    <s v="مستودع الرياض الرئيسي"/>
    <n v="5000"/>
    <x v="0"/>
    <x v="0"/>
    <x v="0"/>
    <x v="0"/>
    <x v="0"/>
    <x v="6"/>
  </r>
  <r>
    <s v="ORD-2026-100834"/>
    <s v="CUS15167"/>
    <d v="2026-01-01T00:00:00"/>
    <s v="D004"/>
    <n v="17"/>
    <n v="5.7"/>
    <s v="سيارة سيدان"/>
    <s v="18:00-20:00"/>
    <d v="2026-01-01T08:48:00"/>
    <d v="2026-01-01T09:16:00"/>
    <d v="2026-01-01T10:30:00"/>
    <d v="2026-01-01T10:43:00"/>
    <d v="2026-01-01T11:26:00"/>
    <d v="2026-01-01T11:56:00"/>
    <n v="5"/>
    <x v="1"/>
    <s v="مكة المكرمة"/>
    <s v="المسفلة"/>
    <s v="مستودع مكة المكرمة"/>
    <n v="2500"/>
    <x v="0"/>
    <x v="0"/>
    <x v="0"/>
    <x v="0"/>
    <x v="2"/>
    <x v="0"/>
  </r>
  <r>
    <s v="ORD-2026-100835"/>
    <s v="CUS68886"/>
    <d v="2026-02-28T00:00:00"/>
    <s v="D024"/>
    <n v="39"/>
    <n v="12"/>
    <s v="فان"/>
    <s v="08:00-10:00"/>
    <d v="2026-02-28T07:12:00"/>
    <d v="2026-02-28T07:27:00"/>
    <d v="2026-02-28T07:39:00"/>
    <d v="2026-02-28T07:57:00"/>
    <d v="2026-02-28T08:44:00"/>
    <d v="2026-02-28T09:29:00"/>
    <n v="7"/>
    <x v="4"/>
    <s v="المدينة المنورة"/>
    <s v="الحرة الغربية"/>
    <s v="مستودع المدينة المنورة"/>
    <n v="2000"/>
    <x v="1"/>
    <x v="1"/>
    <x v="1"/>
    <x v="5"/>
    <x v="0"/>
    <x v="2"/>
  </r>
  <r>
    <s v="ORD-2026-100836"/>
    <s v="CUS81636"/>
    <d v="2026-02-03T00:00:00"/>
    <s v="D010"/>
    <n v="21"/>
    <n v="7.2"/>
    <s v="شاحنة صغيرة"/>
    <s v="16:00-18:00"/>
    <d v="2026-02-03T06:58:00"/>
    <d v="2026-02-03T07:04:00"/>
    <d v="2026-02-03T07:42:00"/>
    <d v="2026-02-03T08:01:00"/>
    <d v="2026-02-03T08:26:00"/>
    <d v="2026-02-03T08:56:00"/>
    <n v="1"/>
    <x v="1"/>
    <s v="الرياض"/>
    <s v="حطين"/>
    <s v="مستودع الرياض الرئيسي"/>
    <n v="5000"/>
    <x v="1"/>
    <x v="0"/>
    <x v="0"/>
    <x v="0"/>
    <x v="3"/>
    <x v="1"/>
  </r>
  <r>
    <s v="ORD-2026-100837"/>
    <s v="CUS11862"/>
    <d v="2026-02-23T00:00:00"/>
    <s v="D001"/>
    <n v="8"/>
    <n v="8"/>
    <s v="شاحنة متوسطة"/>
    <s v="10:00-12:00"/>
    <d v="2026-02-23T08:16:00"/>
    <d v="2026-02-23T08:42:00"/>
    <d v="2026-02-23T10:02:00"/>
    <d v="2026-02-23T10:16:00"/>
    <d v="2026-02-23T11:15:00"/>
    <d v="2026-02-23T11:27:00"/>
    <n v="7"/>
    <x v="4"/>
    <s v="المدينة المنورة"/>
    <s v="الحرة الغربية"/>
    <s v="مستودع المدينة المنورة"/>
    <n v="2000"/>
    <x v="0"/>
    <x v="0"/>
    <x v="0"/>
    <x v="0"/>
    <x v="2"/>
    <x v="2"/>
  </r>
  <r>
    <s v="ORD-2026-100838"/>
    <s v="CUS47850"/>
    <d v="2026-03-29T00:00:00"/>
    <s v="D014"/>
    <n v="20"/>
    <n v="11.6"/>
    <s v="شاحنة صغيرة"/>
    <s v="08:00-10:00"/>
    <d v="2026-03-29T06:33:00"/>
    <d v="2026-03-29T07:01:00"/>
    <d v="2026-03-29T07:44:00"/>
    <d v="2026-03-29T07:54:00"/>
    <d v="2026-03-29T08:46:00"/>
    <d v="2026-03-29T09:09:00"/>
    <n v="6"/>
    <x v="3"/>
    <s v="الرياض"/>
    <s v="الورود"/>
    <s v="مستودع الرياض الرئيسي"/>
    <n v="5000"/>
    <x v="0"/>
    <x v="0"/>
    <x v="0"/>
    <x v="0"/>
    <x v="3"/>
    <x v="8"/>
  </r>
  <r>
    <s v="ORD-2026-100839"/>
    <s v="CUS70987"/>
    <d v="2026-02-09T00:00:00"/>
    <s v="D018"/>
    <n v="9"/>
    <n v="11.9"/>
    <s v="شاحنة صغيرة"/>
    <s v="20:00-22:00"/>
    <d v="2026-02-09T09:59:00"/>
    <d v="2026-02-09T10:04:00"/>
    <d v="2026-02-09T10:44:00"/>
    <d v="2026-02-09T10:51:00"/>
    <d v="2026-02-09T11:50:00"/>
    <d v="2026-02-09T12:12:00"/>
    <n v="2"/>
    <x v="4"/>
    <s v="المدينة المنورة"/>
    <s v="العوالي"/>
    <s v="مستودع المدينة المنورة"/>
    <n v="2000"/>
    <x v="0"/>
    <x v="0"/>
    <x v="0"/>
    <x v="0"/>
    <x v="0"/>
    <x v="9"/>
  </r>
  <r>
    <s v="ORD-2026-100840"/>
    <s v="CUS21327"/>
    <d v="2026-03-07T00:00:00"/>
    <s v="D004"/>
    <n v="22"/>
    <n v="10.3"/>
    <s v="سيارة سيدان"/>
    <s v="20:00-22:00"/>
    <d v="2026-03-07T06:23:00"/>
    <d v="2026-03-07T06:39:00"/>
    <d v="2026-03-07T07:11:00"/>
    <d v="2026-03-07T07:28:00"/>
    <d v="2026-03-07T07:50:00"/>
    <d v="2026-03-07T08:29:00"/>
    <n v="3"/>
    <x v="1"/>
    <s v="مكة المكرمة"/>
    <s v="المسفلة"/>
    <s v="مستودع مكة المكرمة"/>
    <n v="2500"/>
    <x v="0"/>
    <x v="0"/>
    <x v="0"/>
    <x v="0"/>
    <x v="0"/>
    <x v="3"/>
  </r>
  <r>
    <s v="ORD-2026-100841"/>
    <s v="CUS62751"/>
    <d v="2026-01-09T00:00:00"/>
    <s v="D006"/>
    <n v="15"/>
    <n v="8.1999999999999993"/>
    <s v="شاحنة متوسطة"/>
    <s v="10:00-12:00"/>
    <d v="2026-01-09T08:02:00"/>
    <d v="2026-01-09T08:31:00"/>
    <d v="2026-01-09T10:01:00"/>
    <d v="2026-01-09T10:17:00"/>
    <d v="2026-01-09T10:28:00"/>
    <d v="2026-01-09T10:54:00"/>
    <n v="7"/>
    <x v="1"/>
    <s v="جدة"/>
    <s v="الروضة"/>
    <s v="مستودع جدة الرئيسي"/>
    <n v="4000"/>
    <x v="0"/>
    <x v="0"/>
    <x v="0"/>
    <x v="0"/>
    <x v="2"/>
    <x v="3"/>
  </r>
  <r>
    <s v="ORD-2026-100842"/>
    <s v="CUS56585"/>
    <d v="2026-01-28T00:00:00"/>
    <s v="D006"/>
    <n v="35"/>
    <n v="10.199999999999999"/>
    <s v="شاحنة صغيرة"/>
    <s v="18:00-20:00"/>
    <d v="2026-01-28T06:58:00"/>
    <d v="2026-01-28T07:24:00"/>
    <d v="2026-01-28T08:37:00"/>
    <d v="2026-01-28T08:56:00"/>
    <d v="2026-01-28T09:30:00"/>
    <d v="2026-01-28T09:55:00"/>
    <n v="6"/>
    <x v="1"/>
    <s v="جدة"/>
    <s v="النزهة"/>
    <s v="مستودع جدة الرئيسي"/>
    <n v="4000"/>
    <x v="0"/>
    <x v="0"/>
    <x v="0"/>
    <x v="0"/>
    <x v="3"/>
    <x v="13"/>
  </r>
  <r>
    <s v="ORD-2026-100843"/>
    <s v="CUS54656"/>
    <d v="2026-01-03T00:00:00"/>
    <s v="D022"/>
    <n v="31"/>
    <n v="10"/>
    <s v="شاحنة صغيرة"/>
    <s v="12:00-14:00"/>
    <d v="2026-01-03T09:40:00"/>
    <d v="2026-01-03T09:59:00"/>
    <d v="2026-01-03T10:19:00"/>
    <d v="2026-01-03T10:28:00"/>
    <d v="2026-01-03T10:44:00"/>
    <d v="2026-01-03T11:27:00"/>
    <n v="5"/>
    <x v="1"/>
    <s v="الدمام"/>
    <s v="الشاطئ"/>
    <s v="مستودع الدمام"/>
    <n v="3000"/>
    <x v="0"/>
    <x v="0"/>
    <x v="0"/>
    <x v="0"/>
    <x v="2"/>
    <x v="9"/>
  </r>
  <r>
    <s v="ORD-2026-100844"/>
    <s v="CUS79594"/>
    <d v="2026-01-16T00:00:00"/>
    <s v="D020"/>
    <n v="20"/>
    <n v="6.5"/>
    <s v="فان"/>
    <s v="12:00-14:00"/>
    <d v="2026-01-16T06:09:00"/>
    <d v="2026-01-16T06:17:00"/>
    <d v="2026-01-16T06:34:00"/>
    <d v="2026-01-16T06:48:00"/>
    <d v="2026-01-16T07:40:00"/>
    <d v="2026-01-16T07:53:00"/>
    <n v="6"/>
    <x v="4"/>
    <s v="الرياض"/>
    <s v="الورود"/>
    <s v="مستودع الرياض الرئيسي"/>
    <n v="5000"/>
    <x v="1"/>
    <x v="0"/>
    <x v="0"/>
    <x v="0"/>
    <x v="0"/>
    <x v="8"/>
  </r>
  <r>
    <s v="ORD-2026-100845"/>
    <s v="CUS51721"/>
    <d v="2026-02-16T00:00:00"/>
    <s v="D003"/>
    <n v="24"/>
    <n v="7.3"/>
    <s v="شاحنة صغيرة"/>
    <s v="12:00-14:00"/>
    <d v="2026-02-16T07:23:00"/>
    <d v="2026-02-16T07:33:00"/>
    <d v="2026-02-16T07:54:00"/>
    <d v="2026-02-16T08:03:00"/>
    <d v="2026-02-16T08:46:00"/>
    <d v="2026-02-16T09:29:00"/>
    <n v="5"/>
    <x v="1"/>
    <s v="مكة المكرمة"/>
    <s v="الزاهر"/>
    <s v="مستودع مكة المكرمة"/>
    <n v="2500"/>
    <x v="0"/>
    <x v="0"/>
    <x v="0"/>
    <x v="0"/>
    <x v="3"/>
    <x v="6"/>
  </r>
  <r>
    <s v="ORD-2026-100846"/>
    <s v="CUS15339"/>
    <d v="2026-01-16T00:00:00"/>
    <s v="D006"/>
    <n v="10"/>
    <n v="5.9"/>
    <s v="سيارة سيدان"/>
    <s v="12:00-14:00"/>
    <d v="2026-01-16T09:35:00"/>
    <d v="2026-01-16T10:04:00"/>
    <d v="2026-01-16T11:24:00"/>
    <d v="2026-01-16T11:31:00"/>
    <d v="2026-01-16T12:26:00"/>
    <d v="2026-01-16T13:06:00"/>
    <n v="5"/>
    <x v="1"/>
    <s v="المدينة المنورة"/>
    <s v="قباء"/>
    <s v="مستودع المدينة المنورة"/>
    <n v="2000"/>
    <x v="0"/>
    <x v="1"/>
    <x v="2"/>
    <x v="3"/>
    <x v="0"/>
    <x v="3"/>
  </r>
  <r>
    <s v="ORD-2026-100847"/>
    <s v="CUS83556"/>
    <d v="2026-02-09T00:00:00"/>
    <s v="D030"/>
    <n v="26"/>
    <n v="6.2"/>
    <s v="شاحنة صغيرة"/>
    <s v="10:00-12:00"/>
    <d v="2026-02-09T06:17:00"/>
    <d v="2026-02-09T06:25:00"/>
    <d v="2026-02-09T07:50:00"/>
    <d v="2026-02-09T07:55:00"/>
    <d v="2026-02-09T08:11:00"/>
    <d v="2026-02-09T08:46:00"/>
    <n v="1"/>
    <x v="1"/>
    <s v="مكة المكرمة"/>
    <s v="العزيزية"/>
    <s v="مستودع مكة المكرمة"/>
    <n v="2500"/>
    <x v="0"/>
    <x v="0"/>
    <x v="0"/>
    <x v="0"/>
    <x v="3"/>
    <x v="13"/>
  </r>
  <r>
    <s v="ORD-2026-100848"/>
    <s v="CUS45823"/>
    <d v="2026-02-01T00:00:00"/>
    <s v="D003"/>
    <n v="16"/>
    <n v="9.1999999999999993"/>
    <s v="شاحنة متوسطة"/>
    <s v="18:00-20:00"/>
    <d v="2026-02-01T09:41:00"/>
    <d v="2026-02-01T09:49:00"/>
    <d v="2026-02-01T11:19:00"/>
    <d v="2026-02-01T11:24:00"/>
    <d v="2026-02-01T12:04:00"/>
    <d v="2026-02-01T12:22:00"/>
    <n v="6"/>
    <x v="1"/>
    <s v="الدمام"/>
    <s v="الفيصلية"/>
    <s v="مستودع الدمام"/>
    <n v="3000"/>
    <x v="0"/>
    <x v="1"/>
    <x v="1"/>
    <x v="4"/>
    <x v="4"/>
    <x v="9"/>
  </r>
  <r>
    <s v="ORD-2026-100849"/>
    <s v="CUS26337"/>
    <d v="2026-03-15T00:00:00"/>
    <s v="D026"/>
    <n v="40"/>
    <n v="5.9"/>
    <s v="فان"/>
    <s v="10:00-12:00"/>
    <d v="2026-03-15T08:36:00"/>
    <d v="2026-03-15T09:02:00"/>
    <d v="2026-03-15T10:01:00"/>
    <d v="2026-03-15T10:12:00"/>
    <d v="2026-03-15T10:55:00"/>
    <d v="2026-03-15T11:18:00"/>
    <n v="3"/>
    <x v="0"/>
    <s v="جدة"/>
    <s v="الشاطئ"/>
    <s v="مستودع جدة الرئيسي"/>
    <n v="4000"/>
    <x v="0"/>
    <x v="0"/>
    <x v="0"/>
    <x v="0"/>
    <x v="3"/>
    <x v="13"/>
  </r>
  <r>
    <s v="ORD-2026-100850"/>
    <s v="CUS40258"/>
    <d v="2026-02-23T00:00:00"/>
    <s v="D009"/>
    <n v="5"/>
    <n v="11.8"/>
    <s v="فان"/>
    <s v="16:00-18:00"/>
    <d v="2026-02-23T06:48:00"/>
    <d v="2026-02-23T07:16:00"/>
    <d v="2026-02-23T07:58:00"/>
    <d v="2026-02-23T08:07:00"/>
    <d v="2026-02-23T08:53:00"/>
    <d v="2026-02-23T09:09:00"/>
    <n v="7"/>
    <x v="1"/>
    <s v="المدينة المنورة"/>
    <s v="العنابس"/>
    <s v="مستودع المدينة المنورة"/>
    <n v="2000"/>
    <x v="0"/>
    <x v="0"/>
    <x v="0"/>
    <x v="0"/>
    <x v="3"/>
    <x v="7"/>
  </r>
  <r>
    <s v="ORD-2026-100851"/>
    <s v="CUS94929"/>
    <d v="2026-02-01T00:00:00"/>
    <s v="D024"/>
    <n v="30"/>
    <n v="5.0999999999999996"/>
    <s v="دراجة نارية"/>
    <s v="12:00-14:00"/>
    <d v="2026-02-01T06:28:00"/>
    <d v="2026-02-01T06:51:00"/>
    <d v="2026-02-01T07:01:00"/>
    <d v="2026-02-01T07:12:00"/>
    <d v="2026-02-01T08:07:00"/>
    <d v="2026-02-01T08:19:00"/>
    <n v="7"/>
    <x v="1"/>
    <s v="الرياض"/>
    <s v="النزهة"/>
    <s v="مستودع الرياض الرئيسي"/>
    <n v="5000"/>
    <x v="0"/>
    <x v="0"/>
    <x v="0"/>
    <x v="0"/>
    <x v="2"/>
    <x v="14"/>
  </r>
  <r>
    <s v="ORD-2026-100852"/>
    <s v="CUS67337"/>
    <d v="2026-01-16T00:00:00"/>
    <s v="D028"/>
    <n v="31"/>
    <n v="7"/>
    <s v="شاحنة متوسطة"/>
    <s v="18:00-20:00"/>
    <d v="2026-01-16T07:10:00"/>
    <d v="2026-01-16T07:29:00"/>
    <d v="2026-01-16T08:04:00"/>
    <d v="2026-01-16T08:13:00"/>
    <d v="2026-01-16T08:36:00"/>
    <d v="2026-01-16T09:05:00"/>
    <n v="3"/>
    <x v="2"/>
    <s v="الدمام"/>
    <s v="الشاطئ"/>
    <s v="مستودع الدمام"/>
    <n v="3000"/>
    <x v="0"/>
    <x v="0"/>
    <x v="0"/>
    <x v="0"/>
    <x v="2"/>
    <x v="11"/>
  </r>
  <r>
    <s v="ORD-2026-100853"/>
    <s v="CUS79414"/>
    <d v="2026-01-07T00:00:00"/>
    <s v="D009"/>
    <n v="34"/>
    <n v="5.3"/>
    <s v="شاحنة صغيرة"/>
    <s v="18:00-20:00"/>
    <d v="2026-01-07T07:57:00"/>
    <d v="2026-01-07T08:18:00"/>
    <d v="2026-01-07T09:05:00"/>
    <d v="2026-01-07T09:16:00"/>
    <d v="2026-01-07T09:52:00"/>
    <d v="2026-01-07T10:04:00"/>
    <n v="3"/>
    <x v="5"/>
    <s v="الرياض"/>
    <s v="السليمانية"/>
    <s v="مستودع الرياض الرئيسي"/>
    <n v="5000"/>
    <x v="0"/>
    <x v="0"/>
    <x v="0"/>
    <x v="0"/>
    <x v="2"/>
    <x v="3"/>
  </r>
  <r>
    <s v="ORD-2026-100854"/>
    <s v="CUS82318"/>
    <d v="2026-01-09T00:00:00"/>
    <s v="D019"/>
    <n v="24"/>
    <n v="9.1999999999999993"/>
    <s v="فان"/>
    <s v="10:00-12:00"/>
    <d v="2026-01-09T08:56:00"/>
    <d v="2026-01-09T09:09:00"/>
    <d v="2026-01-09T10:20:00"/>
    <d v="2026-01-09T10:37:00"/>
    <d v="2026-01-09T11:04:00"/>
    <d v="2026-01-09T11:19:00"/>
    <n v="4"/>
    <x v="3"/>
    <s v="مكة المكرمة"/>
    <s v="الزاهر"/>
    <s v="مستودع مكة المكرمة"/>
    <n v="2500"/>
    <x v="0"/>
    <x v="0"/>
    <x v="0"/>
    <x v="0"/>
    <x v="2"/>
    <x v="2"/>
  </r>
  <r>
    <s v="ORD-2026-100855"/>
    <s v="CUS97614"/>
    <d v="2026-03-07T00:00:00"/>
    <s v="D021"/>
    <n v="22"/>
    <n v="9.8000000000000007"/>
    <s v="شاحنة متوسطة"/>
    <s v="12:00-14:00"/>
    <d v="2026-03-07T08:56:00"/>
    <d v="2026-03-07T09:04:00"/>
    <d v="2026-03-07T09:48:00"/>
    <d v="2026-03-07T10:02:00"/>
    <d v="2026-03-07T10:59:00"/>
    <d v="2026-03-07T11:29:00"/>
    <n v="1"/>
    <x v="6"/>
    <s v="جدة"/>
    <s v="الحمراء"/>
    <s v="مستودع جدة الرئيسي"/>
    <n v="4000"/>
    <x v="0"/>
    <x v="0"/>
    <x v="0"/>
    <x v="0"/>
    <x v="0"/>
    <x v="3"/>
  </r>
  <r>
    <s v="ORD-2026-100856"/>
    <s v="CUS42921"/>
    <d v="2026-03-13T00:00:00"/>
    <s v="D028"/>
    <n v="36"/>
    <n v="11.8"/>
    <s v="شاحنة صغيرة"/>
    <s v="10:00-12:00"/>
    <d v="2026-03-13T06:05:00"/>
    <d v="2026-03-13T06:20:00"/>
    <d v="2026-03-13T07:40:00"/>
    <d v="2026-03-13T07:58:00"/>
    <d v="2026-03-13T08:44:00"/>
    <d v="2026-03-13T09:10:00"/>
    <n v="1"/>
    <x v="1"/>
    <s v="المدينة المنورة"/>
    <s v="قباء"/>
    <s v="مستودع المدينة المنورة"/>
    <n v="2000"/>
    <x v="0"/>
    <x v="0"/>
    <x v="0"/>
    <x v="0"/>
    <x v="0"/>
    <x v="12"/>
  </r>
  <r>
    <s v="ORD-2026-100857"/>
    <s v="CUS53703"/>
    <d v="2026-03-31T00:00:00"/>
    <s v="D026"/>
    <n v="17"/>
    <n v="9"/>
    <s v="شاحنة متوسطة"/>
    <s v="16:00-18:00"/>
    <d v="2026-03-31T08:24:00"/>
    <d v="2026-03-31T08:40:00"/>
    <d v="2026-03-31T09:02:00"/>
    <d v="2026-03-31T09:19:00"/>
    <d v="2026-03-31T09:59:00"/>
    <d v="2026-03-31T10:43:00"/>
    <n v="2"/>
    <x v="1"/>
    <s v="الدمام"/>
    <s v="المزروعية"/>
    <s v="مستودع الدمام"/>
    <n v="3000"/>
    <x v="0"/>
    <x v="1"/>
    <x v="2"/>
    <x v="4"/>
    <x v="0"/>
    <x v="9"/>
  </r>
  <r>
    <s v="ORD-2026-100858"/>
    <s v="CUS67839"/>
    <d v="2026-03-05T00:00:00"/>
    <s v="D008"/>
    <n v="6"/>
    <n v="9.5"/>
    <s v="شاحنة صغيرة"/>
    <s v="16:00-18:00"/>
    <d v="2026-03-05T09:49:00"/>
    <d v="2026-03-05T09:58:00"/>
    <d v="2026-03-05T10:37:00"/>
    <d v="2026-03-05T10:55:00"/>
    <d v="2026-03-05T11:07:00"/>
    <d v="2026-03-05T11:25:00"/>
    <n v="4"/>
    <x v="1"/>
    <s v="مكة المكرمة"/>
    <s v="المسفلة"/>
    <s v="مستودع مكة المكرمة"/>
    <n v="2500"/>
    <x v="1"/>
    <x v="0"/>
    <x v="0"/>
    <x v="0"/>
    <x v="0"/>
    <x v="9"/>
  </r>
  <r>
    <s v="ORD-2026-100859"/>
    <s v="CUS88423"/>
    <d v="2026-01-18T00:00:00"/>
    <s v="D008"/>
    <n v="28"/>
    <n v="4.8"/>
    <s v="سيارة سيدان"/>
    <s v="08:00-10:00"/>
    <d v="2026-01-18T09:55:00"/>
    <d v="2026-01-18T10:18:00"/>
    <d v="2026-01-18T11:20:00"/>
    <d v="2026-01-18T11:28:00"/>
    <d v="2026-01-18T11:55:00"/>
    <d v="2026-01-18T12:37:00"/>
    <n v="4"/>
    <x v="1"/>
    <s v="جدة"/>
    <s v="الزهراء"/>
    <s v="مستودع جدة الرئيسي"/>
    <n v="4000"/>
    <x v="0"/>
    <x v="1"/>
    <x v="0"/>
    <x v="3"/>
    <x v="0"/>
    <x v="3"/>
  </r>
  <r>
    <s v="ORD-2026-100860"/>
    <s v="CUS56779"/>
    <d v="2026-03-10T00:00:00"/>
    <s v="D024"/>
    <n v="35"/>
    <n v="9.5"/>
    <s v="شاحنة متوسطة"/>
    <s v="10:00-12:00"/>
    <d v="2026-03-10T08:48:00"/>
    <d v="2026-03-10T09:17:00"/>
    <d v="2026-03-10T09:27:00"/>
    <d v="2026-03-10T09:47:00"/>
    <d v="2026-03-10T10:10:00"/>
    <d v="2026-03-10T10:41:00"/>
    <n v="3"/>
    <x v="0"/>
    <s v="جدة"/>
    <s v="الحمراء"/>
    <s v="مستودع جدة الرئيسي"/>
    <n v="4000"/>
    <x v="0"/>
    <x v="1"/>
    <x v="2"/>
    <x v="3"/>
    <x v="2"/>
    <x v="6"/>
  </r>
  <r>
    <s v="ORD-2026-100861"/>
    <s v="CUS18031"/>
    <d v="2026-02-27T00:00:00"/>
    <s v="D018"/>
    <n v="11"/>
    <n v="11.8"/>
    <s v="شاحنة متوسطة"/>
    <s v="08:00-10:00"/>
    <d v="2026-02-27T08:50:00"/>
    <d v="2026-02-27T09:03:00"/>
    <d v="2026-02-27T09:37:00"/>
    <d v="2026-02-27T09:47:00"/>
    <d v="2026-02-27T10:07:00"/>
    <d v="2026-02-27T10:26:00"/>
    <n v="6"/>
    <x v="3"/>
    <s v="جدة"/>
    <s v="الحمراء"/>
    <s v="مستودع جدة الرئيسي"/>
    <n v="4000"/>
    <x v="0"/>
    <x v="0"/>
    <x v="0"/>
    <x v="0"/>
    <x v="3"/>
    <x v="4"/>
  </r>
  <r>
    <s v="ORD-2026-100862"/>
    <s v="CUS32950"/>
    <d v="2026-03-26T00:00:00"/>
    <s v="D015"/>
    <n v="13"/>
    <n v="4.3"/>
    <s v="دراجة نارية"/>
    <s v="12:00-14:00"/>
    <d v="2026-03-26T08:40:00"/>
    <d v="2026-03-26T09:09:00"/>
    <d v="2026-03-26T09:57:00"/>
    <d v="2026-03-26T10:15:00"/>
    <d v="2026-03-26T10:34:00"/>
    <d v="2026-03-26T10:43:00"/>
    <n v="7"/>
    <x v="1"/>
    <s v="جدة"/>
    <s v="النزهة"/>
    <s v="مستودع جدة الرئيسي"/>
    <n v="4000"/>
    <x v="0"/>
    <x v="0"/>
    <x v="0"/>
    <x v="0"/>
    <x v="2"/>
    <x v="9"/>
  </r>
  <r>
    <s v="ORD-2026-100863"/>
    <s v="CUS79841"/>
    <d v="2026-03-29T00:00:00"/>
    <s v="D027"/>
    <n v="10"/>
    <n v="10.1"/>
    <s v="دراجة نارية"/>
    <s v="08:00-10:00"/>
    <d v="2026-03-29T06:39:00"/>
    <d v="2026-03-29T06:57:00"/>
    <d v="2026-03-29T07:20:00"/>
    <d v="2026-03-29T07:38:00"/>
    <d v="2026-03-29T08:02:00"/>
    <d v="2026-03-29T08:17:00"/>
    <n v="3"/>
    <x v="1"/>
    <s v="مكة المكرمة"/>
    <s v="العزيزية"/>
    <s v="مستودع مكة المكرمة"/>
    <n v="2500"/>
    <x v="0"/>
    <x v="1"/>
    <x v="2"/>
    <x v="4"/>
    <x v="3"/>
    <x v="13"/>
  </r>
  <r>
    <s v="ORD-2026-100864"/>
    <s v="CUS86205"/>
    <d v="2026-03-26T00:00:00"/>
    <s v="D019"/>
    <n v="32"/>
    <n v="5.4"/>
    <s v="فان"/>
    <s v="12:00-14:00"/>
    <d v="2026-03-26T07:20:00"/>
    <d v="2026-03-26T07:33:00"/>
    <d v="2026-03-26T09:00:00"/>
    <d v="2026-03-26T09:11:00"/>
    <d v="2026-03-26T10:07:00"/>
    <d v="2026-03-26T10:13:00"/>
    <n v="2"/>
    <x v="1"/>
    <s v="جدة"/>
    <s v="الشاطئ"/>
    <s v="مستودع جدة الرئيسي"/>
    <n v="4000"/>
    <x v="0"/>
    <x v="0"/>
    <x v="0"/>
    <x v="0"/>
    <x v="0"/>
    <x v="1"/>
  </r>
  <r>
    <s v="ORD-2026-100865"/>
    <s v="CUS26571"/>
    <d v="2026-01-15T00:00:00"/>
    <s v="D026"/>
    <n v="19"/>
    <n v="9.9"/>
    <s v="شاحنة متوسطة"/>
    <s v="20:00-22:00"/>
    <d v="2026-01-15T06:28:00"/>
    <d v="2026-01-15T06:50:00"/>
    <d v="2026-01-15T08:01:00"/>
    <d v="2026-01-15T08:18:00"/>
    <d v="2026-01-15T09:09:00"/>
    <d v="2026-01-15T09:51:00"/>
    <n v="6"/>
    <x v="1"/>
    <s v="جدة"/>
    <s v="الحمراء"/>
    <s v="مستودع جدة الرئيسي"/>
    <n v="4000"/>
    <x v="0"/>
    <x v="0"/>
    <x v="0"/>
    <x v="0"/>
    <x v="2"/>
    <x v="2"/>
  </r>
  <r>
    <s v="ORD-2026-100866"/>
    <s v="CUS38902"/>
    <d v="2026-01-31T00:00:00"/>
    <s v="D030"/>
    <n v="20"/>
    <n v="8.3000000000000007"/>
    <s v="شاحنة صغيرة"/>
    <s v="12:00-14:00"/>
    <d v="2026-01-31T08:14:00"/>
    <d v="2026-01-31T08:36:00"/>
    <d v="2026-01-31T08:57:00"/>
    <d v="2026-01-31T09:10:00"/>
    <d v="2026-01-31T09:36:00"/>
    <d v="2026-01-31T10:02:00"/>
    <n v="5"/>
    <x v="3"/>
    <s v="الرياض"/>
    <s v="النزهة"/>
    <s v="مستودع الرياض الرئيسي"/>
    <n v="5000"/>
    <x v="0"/>
    <x v="0"/>
    <x v="0"/>
    <x v="0"/>
    <x v="0"/>
    <x v="14"/>
  </r>
  <r>
    <s v="ORD-2026-100867"/>
    <s v="CUS13172"/>
    <d v="2026-03-31T00:00:00"/>
    <s v="D021"/>
    <n v="33"/>
    <n v="4.5999999999999996"/>
    <s v="شاحنة متوسطة"/>
    <s v="08:00-10:00"/>
    <d v="2026-03-31T09:08:00"/>
    <d v="2026-03-31T09:37:00"/>
    <d v="2026-03-31T10:28:00"/>
    <d v="2026-03-31T10:47:00"/>
    <d v="2026-03-31T11:07:00"/>
    <d v="2026-03-31T11:29:00"/>
    <n v="7"/>
    <x v="1"/>
    <s v="الرياض"/>
    <s v="الملقا"/>
    <s v="مستودع الرياض الرئيسي"/>
    <n v="5000"/>
    <x v="0"/>
    <x v="0"/>
    <x v="0"/>
    <x v="0"/>
    <x v="4"/>
    <x v="10"/>
  </r>
  <r>
    <s v="ORD-2026-100868"/>
    <s v="CUS98103"/>
    <d v="2026-01-04T00:00:00"/>
    <s v="D003"/>
    <n v="10"/>
    <n v="4.7"/>
    <s v="دراجة نارية"/>
    <s v="14:00-16:00"/>
    <d v="2026-01-04T09:26:00"/>
    <d v="2026-01-04T09:34:00"/>
    <d v="2026-01-04T10:40:00"/>
    <d v="2026-01-04T10:56:00"/>
    <d v="2026-01-04T11:09:00"/>
    <d v="2026-01-04T11:54:00"/>
    <n v="6"/>
    <x v="1"/>
    <s v="الدمام"/>
    <s v="الفيصلية"/>
    <s v="مستودع الدمام"/>
    <n v="3000"/>
    <x v="0"/>
    <x v="0"/>
    <x v="0"/>
    <x v="0"/>
    <x v="2"/>
    <x v="12"/>
  </r>
  <r>
    <s v="ORD-2026-100869"/>
    <s v="CUS91481"/>
    <d v="2026-01-15T00:00:00"/>
    <s v="D026"/>
    <n v="23"/>
    <n v="6.1"/>
    <s v="شاحنة صغيرة"/>
    <s v="16:00-18:00"/>
    <d v="2026-01-15T09:28:00"/>
    <d v="2026-01-15T09:37:00"/>
    <d v="2026-01-15T11:03:00"/>
    <d v="2026-01-15T11:23:00"/>
    <d v="2026-01-15T11:51:00"/>
    <d v="2026-01-15T12:27:00"/>
    <n v="5"/>
    <x v="1"/>
    <s v="المدينة المنورة"/>
    <s v="الحرة الغربية"/>
    <s v="مستودع المدينة المنورة"/>
    <n v="2000"/>
    <x v="0"/>
    <x v="0"/>
    <x v="0"/>
    <x v="0"/>
    <x v="0"/>
    <x v="9"/>
  </r>
  <r>
    <s v="ORD-2026-100870"/>
    <s v="CUS79472"/>
    <d v="2026-01-06T00:00:00"/>
    <s v="D011"/>
    <n v="7"/>
    <n v="8.1"/>
    <s v="فان"/>
    <s v="08:00-10:00"/>
    <d v="2026-01-06T06:11:00"/>
    <d v="2026-01-06T06:35:00"/>
    <d v="2026-01-06T06:51:00"/>
    <d v="2026-01-06T06:56:00"/>
    <d v="2026-01-06T07:48:00"/>
    <d v="2026-01-06T08:09:00"/>
    <n v="2"/>
    <x v="1"/>
    <s v="مكة المكرمة"/>
    <s v="أجياد"/>
    <s v="مستودع مكة المكرمة"/>
    <n v="2500"/>
    <x v="0"/>
    <x v="0"/>
    <x v="0"/>
    <x v="0"/>
    <x v="0"/>
    <x v="11"/>
  </r>
  <r>
    <s v="ORD-2026-100871"/>
    <s v="CUS15161"/>
    <d v="2026-01-20T00:00:00"/>
    <s v="D013"/>
    <n v="12"/>
    <n v="5.9"/>
    <s v="دراجة نارية"/>
    <s v="20:00-22:00"/>
    <d v="2026-01-20T07:08:00"/>
    <d v="2026-01-20T07:29:00"/>
    <d v="2026-01-20T08:08:00"/>
    <d v="2026-01-20T08:23:00"/>
    <d v="2026-01-20T08:56:00"/>
    <d v="2026-01-20T09:04:00"/>
    <n v="3"/>
    <x v="1"/>
    <s v="مكة المكرمة"/>
    <s v="المسفلة"/>
    <s v="مستودع مكة المكرمة"/>
    <n v="2500"/>
    <x v="0"/>
    <x v="0"/>
    <x v="0"/>
    <x v="0"/>
    <x v="0"/>
    <x v="9"/>
  </r>
  <r>
    <s v="ORD-2026-100872"/>
    <s v="CUS16158"/>
    <d v="2026-03-22T00:00:00"/>
    <s v="D016"/>
    <n v="18"/>
    <n v="5.9"/>
    <s v="شاحنة متوسطة"/>
    <s v="20:00-22:00"/>
    <d v="2026-03-22T08:37:00"/>
    <d v="2026-03-22T08:59:00"/>
    <d v="2026-03-22T10:07:00"/>
    <d v="2026-03-22T10:23:00"/>
    <d v="2026-03-22T11:23:00"/>
    <d v="2026-03-22T11:29:00"/>
    <n v="7"/>
    <x v="1"/>
    <s v="الرياض"/>
    <s v="السليمانية"/>
    <s v="مستودع الرياض الرئيسي"/>
    <n v="5000"/>
    <x v="0"/>
    <x v="1"/>
    <x v="1"/>
    <x v="2"/>
    <x v="1"/>
    <x v="11"/>
  </r>
  <r>
    <s v="ORD-2026-100873"/>
    <s v="CUS79248"/>
    <d v="2026-01-16T00:00:00"/>
    <s v="D028"/>
    <n v="38"/>
    <n v="5"/>
    <s v="شاحنة متوسطة"/>
    <s v="16:00-18:00"/>
    <d v="2026-01-16T09:09:00"/>
    <d v="2026-01-16T09:14:00"/>
    <d v="2026-01-16T09:57:00"/>
    <d v="2026-01-16T10:10:00"/>
    <d v="2026-01-16T11:01:00"/>
    <d v="2026-01-16T11:17:00"/>
    <n v="5"/>
    <x v="1"/>
    <s v="مكة المكرمة"/>
    <s v="الزاهر"/>
    <s v="مستودع مكة المكرمة"/>
    <n v="2500"/>
    <x v="0"/>
    <x v="1"/>
    <x v="1"/>
    <x v="4"/>
    <x v="0"/>
    <x v="2"/>
  </r>
  <r>
    <s v="ORD-2026-100874"/>
    <s v="CUS12714"/>
    <d v="2026-03-24T00:00:00"/>
    <s v="D003"/>
    <n v="20"/>
    <n v="5.2"/>
    <s v="شاحنة صغيرة"/>
    <s v="10:00-12:00"/>
    <d v="2026-03-24T08:58:00"/>
    <d v="2026-03-24T09:15:00"/>
    <d v="2026-03-24T10:44:00"/>
    <d v="2026-03-24T10:58:00"/>
    <d v="2026-03-24T11:54:00"/>
    <d v="2026-03-24T12:09:00"/>
    <n v="5"/>
    <x v="1"/>
    <s v="مكة المكرمة"/>
    <s v="الزاهر"/>
    <s v="مستودع مكة المكرمة"/>
    <n v="2500"/>
    <x v="0"/>
    <x v="0"/>
    <x v="0"/>
    <x v="0"/>
    <x v="2"/>
    <x v="14"/>
  </r>
  <r>
    <s v="ORD-2026-100875"/>
    <s v="CUS58977"/>
    <d v="2026-02-01T00:00:00"/>
    <s v="D029"/>
    <n v="28"/>
    <n v="9.8000000000000007"/>
    <s v="شاحنة متوسطة"/>
    <s v="14:00-16:00"/>
    <d v="2026-02-01T06:54:00"/>
    <d v="2026-02-01T07:02:00"/>
    <d v="2026-02-01T07:51:00"/>
    <d v="2026-02-01T08:04:00"/>
    <d v="2026-02-01T08:19:00"/>
    <d v="2026-02-01T08:53:00"/>
    <n v="7"/>
    <x v="4"/>
    <s v="مكة المكرمة"/>
    <s v="الشوقية"/>
    <s v="مستودع مكة المكرمة"/>
    <n v="2500"/>
    <x v="0"/>
    <x v="1"/>
    <x v="3"/>
    <x v="2"/>
    <x v="2"/>
    <x v="3"/>
  </r>
  <r>
    <s v="ORD-2026-100876"/>
    <s v="CUS85459"/>
    <d v="2026-02-07T00:00:00"/>
    <s v="D028"/>
    <n v="30"/>
    <n v="10.3"/>
    <s v="سيارة سيدان"/>
    <s v="12:00-14:00"/>
    <d v="2026-02-07T08:19:00"/>
    <d v="2026-02-07T08:45:00"/>
    <d v="2026-02-07T09:18:00"/>
    <d v="2026-02-07T09:32:00"/>
    <d v="2026-02-07T09:54:00"/>
    <d v="2026-02-07T10:00:00"/>
    <n v="6"/>
    <x v="4"/>
    <s v="الرياض"/>
    <s v="الملقا"/>
    <s v="مستودع الرياض الرئيسي"/>
    <n v="5000"/>
    <x v="0"/>
    <x v="0"/>
    <x v="0"/>
    <x v="0"/>
    <x v="0"/>
    <x v="9"/>
  </r>
  <r>
    <s v="ORD-2026-100877"/>
    <s v="CUS93765"/>
    <d v="2026-03-09T00:00:00"/>
    <s v="D017"/>
    <n v="11"/>
    <n v="6.9"/>
    <s v="شاحنة متوسطة"/>
    <s v="18:00-20:00"/>
    <d v="2026-03-09T08:08:00"/>
    <d v="2026-03-09T08:29:00"/>
    <d v="2026-03-09T09:01:00"/>
    <d v="2026-03-09T09:14:00"/>
    <d v="2026-03-09T09:45:00"/>
    <d v="2026-03-09T09:58:00"/>
    <n v="4"/>
    <x v="1"/>
    <s v="الرياض"/>
    <s v="حطين"/>
    <s v="مستودع الرياض الرئيسي"/>
    <n v="5000"/>
    <x v="0"/>
    <x v="0"/>
    <x v="0"/>
    <x v="0"/>
    <x v="2"/>
    <x v="11"/>
  </r>
  <r>
    <s v="ORD-2026-100878"/>
    <s v="CUS88624"/>
    <d v="2026-01-08T00:00:00"/>
    <s v="D028"/>
    <n v="18"/>
    <n v="11.3"/>
    <s v="دراجة نارية"/>
    <s v="20:00-22:00"/>
    <d v="2026-01-08T09:30:00"/>
    <d v="2026-01-08T09:46:00"/>
    <d v="2026-01-08T10:20:00"/>
    <d v="2026-01-08T10:33:00"/>
    <d v="2026-01-08T11:20:00"/>
    <d v="2026-01-08T11:45:00"/>
    <n v="6"/>
    <x v="2"/>
    <s v="الدمام"/>
    <s v="الفيصلية"/>
    <s v="مستودع الدمام"/>
    <n v="3000"/>
    <x v="0"/>
    <x v="0"/>
    <x v="0"/>
    <x v="0"/>
    <x v="1"/>
    <x v="8"/>
  </r>
  <r>
    <s v="ORD-2026-100879"/>
    <s v="CUS14555"/>
    <d v="2026-02-28T00:00:00"/>
    <s v="D017"/>
    <n v="39"/>
    <n v="4.4000000000000004"/>
    <s v="دراجة نارية"/>
    <s v="10:00-12:00"/>
    <d v="2026-02-28T08:31:00"/>
    <d v="2026-02-28T08:38:00"/>
    <d v="2026-02-28T10:08:00"/>
    <d v="2026-02-28T10:19:00"/>
    <d v="2026-02-28T11:00:00"/>
    <d v="2026-02-28T11:18:00"/>
    <n v="2"/>
    <x v="1"/>
    <s v="مكة المكرمة"/>
    <s v="العزيزية"/>
    <s v="مستودع مكة المكرمة"/>
    <n v="2500"/>
    <x v="0"/>
    <x v="0"/>
    <x v="0"/>
    <x v="0"/>
    <x v="0"/>
    <x v="1"/>
  </r>
  <r>
    <s v="ORD-2026-100880"/>
    <s v="CUS64397"/>
    <d v="2026-01-10T00:00:00"/>
    <s v="D003"/>
    <n v="25"/>
    <n v="11.9"/>
    <s v="شاحنة صغيرة"/>
    <s v="14:00-16:00"/>
    <d v="2026-01-10T08:08:00"/>
    <d v="2026-01-10T08:26:00"/>
    <d v="2026-01-10T09:46:00"/>
    <d v="2026-01-10T09:51:00"/>
    <d v="2026-01-10T10:01:00"/>
    <d v="2026-01-10T10:17:00"/>
    <n v="2"/>
    <x v="1"/>
    <s v="المدينة المنورة"/>
    <s v="العنابس"/>
    <s v="مستودع المدينة المنورة"/>
    <n v="2000"/>
    <x v="1"/>
    <x v="0"/>
    <x v="0"/>
    <x v="0"/>
    <x v="1"/>
    <x v="3"/>
  </r>
  <r>
    <s v="ORD-2026-100881"/>
    <s v="CUS91403"/>
    <d v="2026-01-15T00:00:00"/>
    <s v="D018"/>
    <n v="38"/>
    <n v="11.4"/>
    <s v="دراجة نارية"/>
    <s v="18:00-20:00"/>
    <d v="2026-01-15T07:36:00"/>
    <d v="2026-01-15T07:51:00"/>
    <d v="2026-01-15T09:01:00"/>
    <d v="2026-01-15T09:21:00"/>
    <d v="2026-01-15T09:47:00"/>
    <d v="2026-01-15T10:10:00"/>
    <n v="7"/>
    <x v="1"/>
    <s v="جدة"/>
    <s v="الأندلس"/>
    <s v="مستودع جدة الرئيسي"/>
    <n v="4000"/>
    <x v="0"/>
    <x v="0"/>
    <x v="0"/>
    <x v="0"/>
    <x v="2"/>
    <x v="7"/>
  </r>
  <r>
    <s v="ORD-2026-100882"/>
    <s v="CUS72566"/>
    <d v="2026-03-29T00:00:00"/>
    <s v="D007"/>
    <n v="27"/>
    <n v="5.0999999999999996"/>
    <s v="شاحنة صغيرة"/>
    <s v="08:00-10:00"/>
    <d v="2026-03-29T07:19:00"/>
    <d v="2026-03-29T07:43:00"/>
    <d v="2026-03-29T08:02:00"/>
    <d v="2026-03-29T08:10:00"/>
    <d v="2026-03-29T08:53:00"/>
    <d v="2026-03-29T09:38:00"/>
    <n v="7"/>
    <x v="1"/>
    <s v="مكة المكرمة"/>
    <s v="الزاهر"/>
    <s v="مستودع مكة المكرمة"/>
    <n v="2500"/>
    <x v="0"/>
    <x v="0"/>
    <x v="0"/>
    <x v="0"/>
    <x v="3"/>
    <x v="9"/>
  </r>
  <r>
    <s v="ORD-2026-100883"/>
    <s v="CUS48528"/>
    <d v="2026-02-13T00:00:00"/>
    <s v="D027"/>
    <n v="31"/>
    <n v="5.6"/>
    <s v="دراجة نارية"/>
    <s v="10:00-12:00"/>
    <d v="2026-02-13T08:35:00"/>
    <d v="2026-02-13T08:59:00"/>
    <d v="2026-02-13T10:13:00"/>
    <d v="2026-02-13T10:22:00"/>
    <d v="2026-02-13T10:36:00"/>
    <d v="2026-02-13T10:56:00"/>
    <n v="4"/>
    <x v="5"/>
    <s v="الرياض"/>
    <s v="الملقا"/>
    <s v="مستودع الرياض الرئيسي"/>
    <n v="5000"/>
    <x v="0"/>
    <x v="0"/>
    <x v="0"/>
    <x v="0"/>
    <x v="0"/>
    <x v="0"/>
  </r>
  <r>
    <s v="ORD-2026-100884"/>
    <s v="CUS26880"/>
    <d v="2026-01-17T00:00:00"/>
    <s v="D017"/>
    <n v="7"/>
    <n v="10.6"/>
    <s v="شاحنة صغيرة"/>
    <s v="20:00-22:00"/>
    <d v="2026-01-17T09:22:00"/>
    <d v="2026-01-17T09:37:00"/>
    <d v="2026-01-17T10:17:00"/>
    <d v="2026-01-17T10:37:00"/>
    <d v="2026-01-17T11:12:00"/>
    <d v="2026-01-17T11:44:00"/>
    <n v="4"/>
    <x v="1"/>
    <s v="المدينة المنورة"/>
    <s v="العنابس"/>
    <s v="مستودع المدينة المنورة"/>
    <n v="2000"/>
    <x v="0"/>
    <x v="0"/>
    <x v="0"/>
    <x v="0"/>
    <x v="1"/>
    <x v="0"/>
  </r>
  <r>
    <s v="ORD-2026-100885"/>
    <s v="CUS51992"/>
    <d v="2026-02-24T00:00:00"/>
    <s v="D025"/>
    <n v="17"/>
    <n v="11"/>
    <s v="شاحنة صغيرة"/>
    <s v="16:00-18:00"/>
    <d v="2026-02-24T09:46:00"/>
    <d v="2026-02-24T09:57:00"/>
    <d v="2026-02-24T10:53:00"/>
    <d v="2026-02-24T11:10:00"/>
    <d v="2026-02-24T11:45:00"/>
    <d v="2026-02-24T12:28:00"/>
    <n v="1"/>
    <x v="1"/>
    <s v="الرياض"/>
    <s v="العليا"/>
    <s v="مستودع الرياض الرئيسي"/>
    <n v="5000"/>
    <x v="0"/>
    <x v="0"/>
    <x v="0"/>
    <x v="0"/>
    <x v="0"/>
    <x v="8"/>
  </r>
  <r>
    <s v="ORD-2026-100886"/>
    <s v="CUS28690"/>
    <d v="2026-01-28T00:00:00"/>
    <s v="D004"/>
    <n v="18"/>
    <n v="6"/>
    <s v="سيارة سيدان"/>
    <s v="12:00-14:00"/>
    <d v="2026-01-28T06:13:00"/>
    <d v="2026-01-28T06:31:00"/>
    <d v="2026-01-28T07:46:00"/>
    <d v="2026-01-28T07:56:00"/>
    <d v="2026-01-28T08:33:00"/>
    <d v="2026-01-28T09:14:00"/>
    <n v="1"/>
    <x v="1"/>
    <s v="جدة"/>
    <s v="الأندلس"/>
    <s v="مستودع جدة الرئيسي"/>
    <n v="4000"/>
    <x v="0"/>
    <x v="0"/>
    <x v="0"/>
    <x v="0"/>
    <x v="2"/>
    <x v="5"/>
  </r>
  <r>
    <s v="ORD-2026-100887"/>
    <s v="CUS82127"/>
    <d v="2026-03-21T00:00:00"/>
    <s v="D007"/>
    <n v="23"/>
    <n v="10"/>
    <s v="شاحنة صغيرة"/>
    <s v="08:00-10:00"/>
    <d v="2026-03-21T07:01:00"/>
    <d v="2026-03-21T07:15:00"/>
    <d v="2026-03-21T08:35:00"/>
    <d v="2026-03-21T08:40:00"/>
    <d v="2026-03-21T09:40:00"/>
    <d v="2026-03-21T10:18:00"/>
    <n v="4"/>
    <x v="1"/>
    <s v="المدينة المنورة"/>
    <s v="الحرة الغربية"/>
    <s v="مستودع المدينة المنورة"/>
    <n v="2000"/>
    <x v="0"/>
    <x v="0"/>
    <x v="0"/>
    <x v="0"/>
    <x v="0"/>
    <x v="5"/>
  </r>
  <r>
    <s v="ORD-2026-100888"/>
    <s v="CUS47925"/>
    <d v="2026-03-09T00:00:00"/>
    <s v="D005"/>
    <n v="18"/>
    <n v="5.9"/>
    <s v="سيارة سيدان"/>
    <s v="16:00-18:00"/>
    <d v="2026-03-09T09:05:00"/>
    <d v="2026-03-09T09:13:00"/>
    <d v="2026-03-09T09:29:00"/>
    <d v="2026-03-09T09:37:00"/>
    <d v="2026-03-09T10:29:00"/>
    <d v="2026-03-09T10:57:00"/>
    <n v="4"/>
    <x v="1"/>
    <s v="مكة المكرمة"/>
    <s v="العزيزية"/>
    <s v="مستودع مكة المكرمة"/>
    <n v="2500"/>
    <x v="0"/>
    <x v="1"/>
    <x v="2"/>
    <x v="6"/>
    <x v="2"/>
    <x v="8"/>
  </r>
  <r>
    <s v="ORD-2026-100889"/>
    <s v="CUS89254"/>
    <d v="2026-02-06T00:00:00"/>
    <s v="D019"/>
    <n v="33"/>
    <n v="11.9"/>
    <s v="شاحنة متوسطة"/>
    <s v="20:00-22:00"/>
    <d v="2026-02-06T06:42:00"/>
    <d v="2026-02-06T06:59:00"/>
    <d v="2026-02-06T08:25:00"/>
    <d v="2026-02-06T08:43:00"/>
    <d v="2026-02-06T09:42:00"/>
    <d v="2026-02-06T10:26:00"/>
    <n v="5"/>
    <x v="1"/>
    <s v="جدة"/>
    <s v="الحمراء"/>
    <s v="مستودع جدة الرئيسي"/>
    <n v="4000"/>
    <x v="0"/>
    <x v="0"/>
    <x v="0"/>
    <x v="0"/>
    <x v="0"/>
    <x v="10"/>
  </r>
  <r>
    <s v="ORD-2026-100890"/>
    <s v="CUS34242"/>
    <d v="2026-03-18T00:00:00"/>
    <s v="D024"/>
    <n v="38"/>
    <n v="6.4"/>
    <s v="شاحنة متوسطة"/>
    <s v="20:00-22:00"/>
    <d v="2026-03-18T07:33:00"/>
    <d v="2026-03-18T07:56:00"/>
    <d v="2026-03-18T08:55:00"/>
    <d v="2026-03-18T09:07:00"/>
    <d v="2026-03-18T09:26:00"/>
    <d v="2026-03-18T09:52:00"/>
    <n v="5"/>
    <x v="6"/>
    <s v="مكة المكرمة"/>
    <s v="العزيزية"/>
    <s v="مستودع مكة المكرمة"/>
    <n v="2500"/>
    <x v="0"/>
    <x v="1"/>
    <x v="1"/>
    <x v="2"/>
    <x v="0"/>
    <x v="8"/>
  </r>
  <r>
    <s v="ORD-2026-100891"/>
    <s v="CUS38299"/>
    <d v="2026-01-29T00:00:00"/>
    <s v="D010"/>
    <n v="32"/>
    <n v="7.2"/>
    <s v="شاحنة متوسطة"/>
    <s v="08:00-10:00"/>
    <d v="2026-01-29T07:44:00"/>
    <d v="2026-01-29T08:08:00"/>
    <d v="2026-01-29T08:20:00"/>
    <d v="2026-01-29T08:40:00"/>
    <d v="2026-01-29T08:59:00"/>
    <d v="2026-01-29T09:29:00"/>
    <n v="6"/>
    <x v="4"/>
    <s v="جدة"/>
    <s v="الأندلس"/>
    <s v="مستودع جدة الرئيسي"/>
    <n v="4000"/>
    <x v="1"/>
    <x v="0"/>
    <x v="0"/>
    <x v="0"/>
    <x v="2"/>
    <x v="0"/>
  </r>
  <r>
    <s v="ORD-2026-100892"/>
    <s v="CUS84221"/>
    <d v="2026-02-09T00:00:00"/>
    <s v="D018"/>
    <n v="19"/>
    <n v="6.6"/>
    <s v="شاحنة متوسطة"/>
    <s v="12:00-14:00"/>
    <d v="2026-02-09T08:46:00"/>
    <d v="2026-02-09T08:58:00"/>
    <d v="2026-02-09T10:14:00"/>
    <d v="2026-02-09T10:23:00"/>
    <d v="2026-02-09T11:15:00"/>
    <d v="2026-02-09T11:55:00"/>
    <n v="7"/>
    <x v="5"/>
    <s v="جدة"/>
    <s v="النزهة"/>
    <s v="مستودع جدة الرئيسي"/>
    <n v="4000"/>
    <x v="0"/>
    <x v="1"/>
    <x v="3"/>
    <x v="1"/>
    <x v="1"/>
    <x v="14"/>
  </r>
  <r>
    <s v="ORD-2026-100893"/>
    <s v="CUS38394"/>
    <d v="2026-03-20T00:00:00"/>
    <s v="D014"/>
    <n v="40"/>
    <n v="10.4"/>
    <s v="دراجة نارية"/>
    <s v="14:00-16:00"/>
    <d v="2026-03-20T08:31:00"/>
    <d v="2026-03-20T09:00:00"/>
    <d v="2026-03-20T09:55:00"/>
    <d v="2026-03-20T10:04:00"/>
    <d v="2026-03-20T10:41:00"/>
    <d v="2026-03-20T11:03:00"/>
    <n v="1"/>
    <x v="1"/>
    <s v="الدمام"/>
    <s v="العزيزية"/>
    <s v="مستودع الدمام"/>
    <n v="3000"/>
    <x v="0"/>
    <x v="0"/>
    <x v="0"/>
    <x v="0"/>
    <x v="2"/>
    <x v="8"/>
  </r>
  <r>
    <s v="ORD-2026-100894"/>
    <s v="CUS50729"/>
    <d v="2026-01-02T00:00:00"/>
    <s v="D018"/>
    <n v="11"/>
    <n v="9.4"/>
    <s v="دراجة نارية"/>
    <s v="20:00-22:00"/>
    <d v="2026-01-02T06:48:00"/>
    <d v="2026-01-02T07:18:00"/>
    <d v="2026-01-02T08:35:00"/>
    <d v="2026-01-02T08:50:00"/>
    <d v="2026-01-02T09:36:00"/>
    <d v="2026-01-02T10:02:00"/>
    <n v="7"/>
    <x v="3"/>
    <s v="مكة المكرمة"/>
    <s v="أجياد"/>
    <s v="مستودع مكة المكرمة"/>
    <n v="2500"/>
    <x v="0"/>
    <x v="0"/>
    <x v="0"/>
    <x v="0"/>
    <x v="3"/>
    <x v="13"/>
  </r>
  <r>
    <s v="ORD-2026-100895"/>
    <s v="CUS97597"/>
    <d v="2026-03-07T00:00:00"/>
    <s v="D009"/>
    <n v="15"/>
    <n v="7.8"/>
    <s v="دراجة نارية"/>
    <s v="08:00-10:00"/>
    <d v="2026-03-07T06:01:00"/>
    <d v="2026-03-07T06:27:00"/>
    <d v="2026-03-07T07:42:00"/>
    <d v="2026-03-07T08:00:00"/>
    <d v="2026-03-07T08:48:00"/>
    <d v="2026-03-07T09:18:00"/>
    <n v="4"/>
    <x v="6"/>
    <s v="الرياض"/>
    <s v="العليا"/>
    <s v="مستودع الرياض الرئيسي"/>
    <n v="5000"/>
    <x v="0"/>
    <x v="1"/>
    <x v="3"/>
    <x v="6"/>
    <x v="3"/>
    <x v="8"/>
  </r>
  <r>
    <s v="ORD-2026-100896"/>
    <s v="CUS33224"/>
    <d v="2026-01-25T00:00:00"/>
    <s v="D027"/>
    <n v="6"/>
    <n v="4.4000000000000004"/>
    <s v="شاحنة صغيرة"/>
    <s v="14:00-16:00"/>
    <d v="2026-01-25T08:15:00"/>
    <d v="2026-01-25T08:21:00"/>
    <d v="2026-01-25T09:49:00"/>
    <d v="2026-01-25T10:02:00"/>
    <d v="2026-01-25T10:17:00"/>
    <d v="2026-01-25T10:40:00"/>
    <n v="6"/>
    <x v="1"/>
    <s v="المدينة المنورة"/>
    <s v="الحرة الغربية"/>
    <s v="مستودع المدينة المنورة"/>
    <n v="2000"/>
    <x v="0"/>
    <x v="0"/>
    <x v="0"/>
    <x v="0"/>
    <x v="2"/>
    <x v="3"/>
  </r>
  <r>
    <s v="ORD-2026-100897"/>
    <s v="CUS28314"/>
    <d v="2026-03-22T00:00:00"/>
    <s v="D017"/>
    <n v="33"/>
    <n v="9.1"/>
    <s v="دراجة نارية"/>
    <s v="08:00-10:00"/>
    <d v="2026-03-22T09:06:00"/>
    <d v="2026-03-22T09:22:00"/>
    <d v="2026-03-22T10:00:00"/>
    <d v="2026-03-22T10:13:00"/>
    <d v="2026-03-22T10:40:00"/>
    <d v="2026-03-22T10:46:00"/>
    <n v="4"/>
    <x v="1"/>
    <s v="جدة"/>
    <s v="الأندلس"/>
    <s v="مستودع جدة الرئيسي"/>
    <n v="4000"/>
    <x v="0"/>
    <x v="0"/>
    <x v="0"/>
    <x v="0"/>
    <x v="1"/>
    <x v="4"/>
  </r>
  <r>
    <s v="ORD-2026-100898"/>
    <s v="CUS62072"/>
    <d v="2026-02-21T00:00:00"/>
    <s v="D025"/>
    <n v="13"/>
    <n v="6.8"/>
    <s v="شاحنة متوسطة"/>
    <s v="20:00-22:00"/>
    <d v="2026-02-21T06:23:00"/>
    <d v="2026-02-21T06:51:00"/>
    <d v="2026-02-21T08:03:00"/>
    <d v="2026-02-21T08:23:00"/>
    <d v="2026-02-21T08:57:00"/>
    <d v="2026-02-21T09:05:00"/>
    <n v="2"/>
    <x v="1"/>
    <s v="مكة المكرمة"/>
    <s v="الشوقية"/>
    <s v="مستودع مكة المكرمة"/>
    <n v="2500"/>
    <x v="1"/>
    <x v="0"/>
    <x v="0"/>
    <x v="0"/>
    <x v="0"/>
    <x v="7"/>
  </r>
  <r>
    <s v="ORD-2026-100899"/>
    <s v="CUS20374"/>
    <d v="2026-03-09T00:00:00"/>
    <s v="D022"/>
    <n v="9"/>
    <n v="11.8"/>
    <s v="دراجة نارية"/>
    <s v="10:00-12:00"/>
    <d v="2026-03-09T07:56:00"/>
    <d v="2026-03-09T08:08:00"/>
    <d v="2026-03-09T08:29:00"/>
    <d v="2026-03-09T08:38:00"/>
    <d v="2026-03-09T09:08:00"/>
    <d v="2026-03-09T09:35:00"/>
    <n v="6"/>
    <x v="1"/>
    <s v="المدينة المنورة"/>
    <s v="الحرة الغربية"/>
    <s v="مستودع المدينة المنورة"/>
    <n v="2000"/>
    <x v="0"/>
    <x v="1"/>
    <x v="3"/>
    <x v="3"/>
    <x v="2"/>
    <x v="5"/>
  </r>
  <r>
    <s v="ORD-2026-100900"/>
    <s v="CUS85161"/>
    <d v="2026-03-01T00:00:00"/>
    <s v="D001"/>
    <n v="15"/>
    <n v="9.4"/>
    <s v="شاحنة صغيرة"/>
    <s v="16:00-18:00"/>
    <d v="2026-03-01T06:41:00"/>
    <d v="2026-03-01T06:46:00"/>
    <d v="2026-03-01T07:44:00"/>
    <d v="2026-03-01T07:52:00"/>
    <d v="2026-03-01T08:16:00"/>
    <d v="2026-03-01T08:48:00"/>
    <n v="2"/>
    <x v="1"/>
    <s v="جدة"/>
    <s v="الأندلس"/>
    <s v="مستودع جدة الرئيسي"/>
    <n v="4000"/>
    <x v="1"/>
    <x v="0"/>
    <x v="0"/>
    <x v="0"/>
    <x v="2"/>
    <x v="9"/>
  </r>
  <r>
    <s v="ORD-2026-100901"/>
    <s v="CUS22388"/>
    <d v="2026-02-14T00:00:00"/>
    <s v="D013"/>
    <n v="18"/>
    <n v="7.6"/>
    <s v="شاحنة متوسطة"/>
    <s v="12:00-14:00"/>
    <d v="2026-02-14T07:18:00"/>
    <d v="2026-02-14T07:31:00"/>
    <d v="2026-02-14T08:56:00"/>
    <d v="2026-02-14T09:02:00"/>
    <d v="2026-02-14T09:58:00"/>
    <d v="2026-02-14T10:13:00"/>
    <n v="7"/>
    <x v="1"/>
    <s v="الرياض"/>
    <s v="حطين"/>
    <s v="مستودع الرياض الرئيسي"/>
    <n v="5000"/>
    <x v="0"/>
    <x v="1"/>
    <x v="2"/>
    <x v="6"/>
    <x v="4"/>
    <x v="1"/>
  </r>
  <r>
    <s v="ORD-2026-100902"/>
    <s v="CUS31165"/>
    <d v="2026-02-25T00:00:00"/>
    <s v="D009"/>
    <n v="20"/>
    <n v="7.6"/>
    <s v="سيارة سيدان"/>
    <s v="20:00-22:00"/>
    <d v="2026-02-25T06:26:00"/>
    <d v="2026-02-25T06:43:00"/>
    <d v="2026-02-25T07:53:00"/>
    <d v="2026-02-25T08:01:00"/>
    <d v="2026-02-25T08:20:00"/>
    <d v="2026-02-25T08:54:00"/>
    <n v="6"/>
    <x v="1"/>
    <s v="الدمام"/>
    <s v="العزيزية"/>
    <s v="مستودع الدمام"/>
    <n v="3000"/>
    <x v="0"/>
    <x v="0"/>
    <x v="0"/>
    <x v="0"/>
    <x v="3"/>
    <x v="7"/>
  </r>
  <r>
    <s v="ORD-2026-100903"/>
    <s v="CUS40653"/>
    <d v="2026-03-23T00:00:00"/>
    <s v="D003"/>
    <n v="39"/>
    <n v="10.6"/>
    <s v="شاحنة صغيرة"/>
    <s v="18:00-20:00"/>
    <d v="2026-03-23T06:49:00"/>
    <d v="2026-03-23T07:02:00"/>
    <d v="2026-03-23T08:18:00"/>
    <d v="2026-03-23T08:36:00"/>
    <d v="2026-03-23T08:56:00"/>
    <d v="2026-03-23T09:37:00"/>
    <n v="5"/>
    <x v="1"/>
    <s v="مكة المكرمة"/>
    <s v="المسفلة"/>
    <s v="مستودع مكة المكرمة"/>
    <n v="2500"/>
    <x v="0"/>
    <x v="0"/>
    <x v="0"/>
    <x v="0"/>
    <x v="0"/>
    <x v="4"/>
  </r>
  <r>
    <s v="ORD-2026-100904"/>
    <s v="CUS81381"/>
    <d v="2026-02-24T00:00:00"/>
    <s v="D028"/>
    <n v="39"/>
    <n v="5.9"/>
    <s v="شاحنة صغيرة"/>
    <s v="20:00-22:00"/>
    <d v="2026-02-24T08:11:00"/>
    <d v="2026-02-24T08:21:00"/>
    <d v="2026-02-24T09:40:00"/>
    <d v="2026-02-24T09:55:00"/>
    <d v="2026-02-24T10:31:00"/>
    <d v="2026-02-24T10:37:00"/>
    <n v="3"/>
    <x v="4"/>
    <s v="جدة"/>
    <s v="الأندلس"/>
    <s v="مستودع جدة الرئيسي"/>
    <n v="4000"/>
    <x v="1"/>
    <x v="0"/>
    <x v="0"/>
    <x v="0"/>
    <x v="0"/>
    <x v="13"/>
  </r>
  <r>
    <s v="ORD-2026-100905"/>
    <s v="CUS96364"/>
    <d v="2026-03-23T00:00:00"/>
    <s v="D014"/>
    <n v="34"/>
    <n v="7.8"/>
    <s v="شاحنة صغيرة"/>
    <s v="14:00-16:00"/>
    <d v="2026-03-23T09:40:00"/>
    <d v="2026-03-23T10:00:00"/>
    <d v="2026-03-23T10:40:00"/>
    <d v="2026-03-23T10:57:00"/>
    <d v="2026-03-23T11:40:00"/>
    <d v="2026-03-23T11:54:00"/>
    <n v="7"/>
    <x v="1"/>
    <s v="مكة المكرمة"/>
    <s v="العزيزية"/>
    <s v="مستودع مكة المكرمة"/>
    <n v="2500"/>
    <x v="0"/>
    <x v="0"/>
    <x v="0"/>
    <x v="0"/>
    <x v="2"/>
    <x v="8"/>
  </r>
  <r>
    <s v="ORD-2026-100906"/>
    <s v="CUS19550"/>
    <d v="2026-01-22T00:00:00"/>
    <s v="D006"/>
    <n v="27"/>
    <n v="6.6"/>
    <s v="دراجة نارية"/>
    <s v="08:00-10:00"/>
    <d v="2026-01-22T07:40:00"/>
    <d v="2026-01-22T08:06:00"/>
    <d v="2026-01-22T09:02:00"/>
    <d v="2026-01-22T09:07:00"/>
    <d v="2026-01-22T10:06:00"/>
    <d v="2026-01-22T10:32:00"/>
    <n v="5"/>
    <x v="1"/>
    <s v="جدة"/>
    <s v="الصفا"/>
    <s v="مستودع جدة الرئيسي"/>
    <n v="4000"/>
    <x v="1"/>
    <x v="0"/>
    <x v="0"/>
    <x v="0"/>
    <x v="2"/>
    <x v="14"/>
  </r>
  <r>
    <s v="ORD-2026-100907"/>
    <s v="CUS26629"/>
    <d v="2026-03-08T00:00:00"/>
    <s v="D021"/>
    <n v="13"/>
    <n v="6.6"/>
    <s v="فان"/>
    <s v="14:00-16:00"/>
    <d v="2026-03-08T09:13:00"/>
    <d v="2026-03-08T09:37:00"/>
    <d v="2026-03-08T09:52:00"/>
    <d v="2026-03-08T10:05:00"/>
    <d v="2026-03-08T10:30:00"/>
    <d v="2026-03-08T11:02:00"/>
    <n v="5"/>
    <x v="1"/>
    <s v="جدة"/>
    <s v="الحمراء"/>
    <s v="مستودع جدة الرئيسي"/>
    <n v="4000"/>
    <x v="0"/>
    <x v="0"/>
    <x v="0"/>
    <x v="0"/>
    <x v="4"/>
    <x v="14"/>
  </r>
  <r>
    <s v="ORD-2026-100908"/>
    <s v="CUS18653"/>
    <d v="2026-01-05T00:00:00"/>
    <s v="D028"/>
    <n v="19"/>
    <n v="9.3000000000000007"/>
    <s v="شاحنة متوسطة"/>
    <s v="14:00-16:00"/>
    <d v="2026-01-05T09:04:00"/>
    <d v="2026-01-05T09:28:00"/>
    <d v="2026-01-05T10:10:00"/>
    <d v="2026-01-05T10:24:00"/>
    <d v="2026-01-05T11:15:00"/>
    <d v="2026-01-05T11:28:00"/>
    <n v="3"/>
    <x v="1"/>
    <s v="الدمام"/>
    <s v="العزيزية"/>
    <s v="مستودع الدمام"/>
    <n v="3000"/>
    <x v="0"/>
    <x v="0"/>
    <x v="0"/>
    <x v="0"/>
    <x v="2"/>
    <x v="10"/>
  </r>
  <r>
    <s v="ORD-2026-100909"/>
    <s v="CUS96078"/>
    <d v="2026-03-24T00:00:00"/>
    <s v="D003"/>
    <n v="33"/>
    <n v="9"/>
    <s v="شاحنة متوسطة"/>
    <s v="14:00-16:00"/>
    <d v="2026-03-24T09:27:00"/>
    <d v="2026-03-24T09:56:00"/>
    <d v="2026-03-24T10:10:00"/>
    <d v="2026-03-24T10:29:00"/>
    <d v="2026-03-24T10:44:00"/>
    <d v="2026-03-24T11:11:00"/>
    <n v="2"/>
    <x v="0"/>
    <s v="الدمام"/>
    <s v="الشاطئ"/>
    <s v="مستودع الدمام"/>
    <n v="3000"/>
    <x v="0"/>
    <x v="0"/>
    <x v="0"/>
    <x v="0"/>
    <x v="3"/>
    <x v="3"/>
  </r>
  <r>
    <s v="ORD-2026-100910"/>
    <s v="CUS30173"/>
    <d v="2026-01-24T00:00:00"/>
    <s v="D001"/>
    <n v="22"/>
    <n v="7"/>
    <s v="شاحنة صغيرة"/>
    <s v="16:00-18:00"/>
    <d v="2026-01-24T06:16:00"/>
    <d v="2026-01-24T06:44:00"/>
    <d v="2026-01-24T08:14:00"/>
    <d v="2026-01-24T08:33:00"/>
    <d v="2026-01-24T09:14:00"/>
    <d v="2026-01-24T09:58:00"/>
    <n v="5"/>
    <x v="1"/>
    <s v="المدينة المنورة"/>
    <s v="العنابس"/>
    <s v="مستودع المدينة المنورة"/>
    <n v="2000"/>
    <x v="0"/>
    <x v="1"/>
    <x v="3"/>
    <x v="6"/>
    <x v="2"/>
    <x v="1"/>
  </r>
  <r>
    <s v="ORD-2026-100911"/>
    <s v="CUS96975"/>
    <d v="2026-01-17T00:00:00"/>
    <s v="D011"/>
    <n v="36"/>
    <n v="12"/>
    <s v="شاحنة صغيرة"/>
    <s v="20:00-22:00"/>
    <d v="2026-01-17T08:44:00"/>
    <d v="2026-01-17T09:06:00"/>
    <d v="2026-01-17T09:56:00"/>
    <d v="2026-01-17T10:01:00"/>
    <d v="2026-01-17T10:36:00"/>
    <d v="2026-01-17T10:52:00"/>
    <n v="6"/>
    <x v="1"/>
    <s v="المدينة المنورة"/>
    <s v="قباء"/>
    <s v="مستودع المدينة المنورة"/>
    <n v="2000"/>
    <x v="0"/>
    <x v="0"/>
    <x v="0"/>
    <x v="0"/>
    <x v="3"/>
    <x v="7"/>
  </r>
  <r>
    <s v="ORD-2026-100912"/>
    <s v="CUS78627"/>
    <d v="2026-02-16T00:00:00"/>
    <s v="D025"/>
    <n v="26"/>
    <n v="9.5"/>
    <s v="شاحنة متوسطة"/>
    <s v="08:00-10:00"/>
    <d v="2026-02-16T06:07:00"/>
    <d v="2026-02-16T06:33:00"/>
    <d v="2026-02-16T06:58:00"/>
    <d v="2026-02-16T07:08:00"/>
    <d v="2026-02-16T07:35:00"/>
    <d v="2026-02-16T08:14:00"/>
    <n v="2"/>
    <x v="1"/>
    <s v="مكة المكرمة"/>
    <s v="أجياد"/>
    <s v="مستودع مكة المكرمة"/>
    <n v="2500"/>
    <x v="0"/>
    <x v="0"/>
    <x v="0"/>
    <x v="0"/>
    <x v="3"/>
    <x v="5"/>
  </r>
  <r>
    <s v="ORD-2026-100913"/>
    <s v="CUS35502"/>
    <d v="2026-02-20T00:00:00"/>
    <s v="D015"/>
    <n v="17"/>
    <n v="5.0999999999999996"/>
    <s v="شاحنة متوسطة"/>
    <s v="12:00-14:00"/>
    <d v="2026-02-20T06:47:00"/>
    <d v="2026-02-20T07:12:00"/>
    <d v="2026-02-20T07:53:00"/>
    <d v="2026-02-20T08:02:00"/>
    <d v="2026-02-20T08:55:00"/>
    <d v="2026-02-20T09:34:00"/>
    <n v="6"/>
    <x v="1"/>
    <s v="المدينة المنورة"/>
    <s v="العنابس"/>
    <s v="مستودع المدينة المنورة"/>
    <n v="2000"/>
    <x v="0"/>
    <x v="0"/>
    <x v="0"/>
    <x v="0"/>
    <x v="0"/>
    <x v="1"/>
  </r>
  <r>
    <s v="ORD-2026-100914"/>
    <s v="CUS32525"/>
    <d v="2026-03-11T00:00:00"/>
    <s v="D029"/>
    <n v="26"/>
    <n v="7.2"/>
    <s v="سيارة سيدان"/>
    <s v="08:00-10:00"/>
    <d v="2026-03-11T08:55:00"/>
    <d v="2026-03-11T09:21:00"/>
    <d v="2026-03-11T10:12:00"/>
    <d v="2026-03-11T10:22:00"/>
    <d v="2026-03-11T11:06:00"/>
    <d v="2026-03-11T11:32:00"/>
    <n v="6"/>
    <x v="1"/>
    <s v="المدينة المنورة"/>
    <s v="العوالي"/>
    <s v="مستودع المدينة المنورة"/>
    <n v="2000"/>
    <x v="0"/>
    <x v="1"/>
    <x v="2"/>
    <x v="4"/>
    <x v="3"/>
    <x v="13"/>
  </r>
  <r>
    <s v="ORD-2026-100915"/>
    <s v="CUS44452"/>
    <d v="2026-02-21T00:00:00"/>
    <s v="D019"/>
    <n v="19"/>
    <n v="6.7"/>
    <s v="شاحنة متوسطة"/>
    <s v="20:00-22:00"/>
    <d v="2026-02-21T08:55:00"/>
    <d v="2026-02-21T09:11:00"/>
    <d v="2026-02-21T09:34:00"/>
    <d v="2026-02-21T09:46:00"/>
    <d v="2026-02-21T10:28:00"/>
    <d v="2026-02-21T10:39:00"/>
    <n v="5"/>
    <x v="1"/>
    <s v="جدة"/>
    <s v="الأندلس"/>
    <s v="مستودع جدة الرئيسي"/>
    <n v="4000"/>
    <x v="0"/>
    <x v="0"/>
    <x v="0"/>
    <x v="0"/>
    <x v="0"/>
    <x v="9"/>
  </r>
  <r>
    <s v="ORD-2026-100916"/>
    <s v="CUS19766"/>
    <d v="2026-02-19T00:00:00"/>
    <s v="D028"/>
    <n v="6"/>
    <n v="8.9"/>
    <s v="فان"/>
    <s v="20:00-22:00"/>
    <d v="2026-02-19T08:54:00"/>
    <d v="2026-02-19T09:08:00"/>
    <d v="2026-02-19T09:51:00"/>
    <d v="2026-02-19T10:03:00"/>
    <d v="2026-02-19T10:13:00"/>
    <d v="2026-02-19T10:30:00"/>
    <n v="3"/>
    <x v="1"/>
    <s v="المدينة المنورة"/>
    <s v="الحرة الغربية"/>
    <s v="مستودع المدينة المنورة"/>
    <n v="2000"/>
    <x v="0"/>
    <x v="0"/>
    <x v="0"/>
    <x v="0"/>
    <x v="2"/>
    <x v="13"/>
  </r>
  <r>
    <s v="ORD-2026-100917"/>
    <s v="CUS24093"/>
    <d v="2026-01-15T00:00:00"/>
    <s v="D030"/>
    <n v="35"/>
    <n v="5.3"/>
    <s v="دراجة نارية"/>
    <s v="16:00-18:00"/>
    <d v="2026-01-15T09:33:00"/>
    <d v="2026-01-15T10:00:00"/>
    <d v="2026-01-15T10:52:00"/>
    <d v="2026-01-15T11:04:00"/>
    <d v="2026-01-15T11:31:00"/>
    <d v="2026-01-15T11:38:00"/>
    <n v="1"/>
    <x v="1"/>
    <s v="مكة المكرمة"/>
    <s v="المسفلة"/>
    <s v="مستودع مكة المكرمة"/>
    <n v="2500"/>
    <x v="0"/>
    <x v="0"/>
    <x v="0"/>
    <x v="0"/>
    <x v="2"/>
    <x v="4"/>
  </r>
  <r>
    <s v="ORD-2026-100918"/>
    <s v="CUS44832"/>
    <d v="2026-02-11T00:00:00"/>
    <s v="D027"/>
    <n v="11"/>
    <n v="5.7"/>
    <s v="دراجة نارية"/>
    <s v="12:00-14:00"/>
    <d v="2026-02-11T08:38:00"/>
    <d v="2026-02-11T08:49:00"/>
    <d v="2026-02-11T09:52:00"/>
    <d v="2026-02-11T10:12:00"/>
    <d v="2026-02-11T11:08:00"/>
    <d v="2026-02-11T11:46:00"/>
    <n v="1"/>
    <x v="4"/>
    <s v="الدمام"/>
    <s v="الفيصلية"/>
    <s v="مستودع الدمام"/>
    <n v="3000"/>
    <x v="0"/>
    <x v="0"/>
    <x v="0"/>
    <x v="0"/>
    <x v="4"/>
    <x v="13"/>
  </r>
  <r>
    <s v="ORD-2026-100919"/>
    <s v="CUS10881"/>
    <d v="2026-01-20T00:00:00"/>
    <s v="D023"/>
    <n v="10"/>
    <n v="4.3"/>
    <s v="سيارة سيدان"/>
    <s v="10:00-12:00"/>
    <d v="2026-01-20T07:56:00"/>
    <d v="2026-01-20T08:13:00"/>
    <d v="2026-01-20T09:41:00"/>
    <d v="2026-01-20T09:49:00"/>
    <d v="2026-01-20T10:43:00"/>
    <d v="2026-01-20T11:25:00"/>
    <n v="5"/>
    <x v="1"/>
    <s v="الرياض"/>
    <s v="الروضة"/>
    <s v="مستودع الرياض الرئيسي"/>
    <n v="5000"/>
    <x v="0"/>
    <x v="0"/>
    <x v="0"/>
    <x v="0"/>
    <x v="3"/>
    <x v="4"/>
  </r>
  <r>
    <s v="ORD-2026-100920"/>
    <s v="CUS67960"/>
    <d v="2026-02-04T00:00:00"/>
    <s v="D012"/>
    <n v="37"/>
    <n v="8.1999999999999993"/>
    <s v="سيارة سيدان"/>
    <s v="14:00-16:00"/>
    <d v="2026-02-04T06:41:00"/>
    <d v="2026-02-04T06:50:00"/>
    <d v="2026-02-04T07:42:00"/>
    <d v="2026-02-04T08:00:00"/>
    <d v="2026-02-04T08:36:00"/>
    <d v="2026-02-04T08:44:00"/>
    <n v="3"/>
    <x v="1"/>
    <s v="جدة"/>
    <s v="الزهراء"/>
    <s v="مستودع جدة الرئيسي"/>
    <n v="4000"/>
    <x v="0"/>
    <x v="0"/>
    <x v="0"/>
    <x v="0"/>
    <x v="0"/>
    <x v="9"/>
  </r>
  <r>
    <s v="ORD-2026-100921"/>
    <s v="CUS47753"/>
    <d v="2026-02-05T00:00:00"/>
    <s v="D010"/>
    <n v="36"/>
    <n v="9.6"/>
    <s v="شاحنة متوسطة"/>
    <s v="12:00-14:00"/>
    <d v="2026-02-05T09:09:00"/>
    <d v="2026-02-05T09:35:00"/>
    <d v="2026-02-05T10:20:00"/>
    <d v="2026-02-05T10:35:00"/>
    <d v="2026-02-05T11:31:00"/>
    <d v="2026-02-05T12:13:00"/>
    <n v="4"/>
    <x v="1"/>
    <s v="جدة"/>
    <s v="الزهراء"/>
    <s v="مستودع جدة الرئيسي"/>
    <n v="4000"/>
    <x v="0"/>
    <x v="0"/>
    <x v="0"/>
    <x v="0"/>
    <x v="0"/>
    <x v="13"/>
  </r>
  <r>
    <s v="ORD-2026-100922"/>
    <s v="CUS40988"/>
    <d v="2026-01-23T00:00:00"/>
    <s v="D017"/>
    <n v="12"/>
    <n v="11.7"/>
    <s v="فان"/>
    <s v="12:00-14:00"/>
    <d v="2026-01-23T06:06:00"/>
    <d v="2026-01-23T06:15:00"/>
    <d v="2026-01-23T06:25:00"/>
    <d v="2026-01-23T06:31:00"/>
    <d v="2026-01-23T06:43:00"/>
    <d v="2026-01-23T06:57:00"/>
    <n v="7"/>
    <x v="1"/>
    <s v="جدة"/>
    <s v="الروضة"/>
    <s v="مستودع جدة الرئيسي"/>
    <n v="4000"/>
    <x v="0"/>
    <x v="0"/>
    <x v="0"/>
    <x v="0"/>
    <x v="0"/>
    <x v="8"/>
  </r>
  <r>
    <s v="ORD-2026-100923"/>
    <s v="CUS78132"/>
    <d v="2026-01-17T00:00:00"/>
    <s v="D021"/>
    <n v="25"/>
    <n v="4.5999999999999996"/>
    <s v="شاحنة صغيرة"/>
    <s v="12:00-14:00"/>
    <d v="2026-01-17T07:27:00"/>
    <d v="2026-01-17T07:47:00"/>
    <d v="2026-01-17T08:01:00"/>
    <d v="2026-01-17T08:12:00"/>
    <d v="2026-01-17T09:02:00"/>
    <d v="2026-01-17T09:47:00"/>
    <n v="4"/>
    <x v="1"/>
    <s v="الرياض"/>
    <s v="الورود"/>
    <s v="مستودع الرياض الرئيسي"/>
    <n v="5000"/>
    <x v="0"/>
    <x v="0"/>
    <x v="0"/>
    <x v="0"/>
    <x v="2"/>
    <x v="1"/>
  </r>
  <r>
    <s v="ORD-2026-100924"/>
    <s v="CUS78921"/>
    <d v="2026-03-09T00:00:00"/>
    <s v="D020"/>
    <n v="36"/>
    <n v="5.2"/>
    <s v="دراجة نارية"/>
    <s v="14:00-16:00"/>
    <d v="2026-03-09T07:54:00"/>
    <d v="2026-03-09T08:19:00"/>
    <d v="2026-03-09T09:25:00"/>
    <d v="2026-03-09T09:39:00"/>
    <d v="2026-03-09T10:30:00"/>
    <d v="2026-03-09T11:01:00"/>
    <n v="2"/>
    <x v="1"/>
    <s v="مكة المكرمة"/>
    <s v="أجياد"/>
    <s v="مستودع مكة المكرمة"/>
    <n v="2500"/>
    <x v="0"/>
    <x v="1"/>
    <x v="1"/>
    <x v="5"/>
    <x v="2"/>
    <x v="8"/>
  </r>
  <r>
    <s v="ORD-2026-100925"/>
    <s v="CUS59434"/>
    <d v="2026-01-28T00:00:00"/>
    <s v="D026"/>
    <n v="39"/>
    <n v="10.5"/>
    <s v="شاحنة صغيرة"/>
    <s v="18:00-20:00"/>
    <d v="2026-01-28T06:34:00"/>
    <d v="2026-01-28T06:45:00"/>
    <d v="2026-01-28T07:03:00"/>
    <d v="2026-01-28T07:12:00"/>
    <d v="2026-01-28T07:34:00"/>
    <d v="2026-01-28T08:17:00"/>
    <n v="2"/>
    <x v="1"/>
    <s v="جدة"/>
    <s v="الصفا"/>
    <s v="مستودع جدة الرئيسي"/>
    <n v="4000"/>
    <x v="0"/>
    <x v="0"/>
    <x v="0"/>
    <x v="0"/>
    <x v="2"/>
    <x v="7"/>
  </r>
  <r>
    <s v="ORD-2026-100926"/>
    <s v="CUS33680"/>
    <d v="2026-01-02T00:00:00"/>
    <s v="D029"/>
    <n v="31"/>
    <n v="6.1"/>
    <s v="دراجة نارية"/>
    <s v="10:00-12:00"/>
    <d v="2026-01-02T09:03:00"/>
    <d v="2026-01-02T09:25:00"/>
    <d v="2026-01-02T10:34:00"/>
    <d v="2026-01-02T10:50:00"/>
    <d v="2026-01-02T11:01:00"/>
    <d v="2026-01-02T11:40:00"/>
    <n v="2"/>
    <x v="1"/>
    <s v="الرياض"/>
    <s v="حطين"/>
    <s v="مستودع الرياض الرئيسي"/>
    <n v="5000"/>
    <x v="0"/>
    <x v="0"/>
    <x v="0"/>
    <x v="0"/>
    <x v="0"/>
    <x v="14"/>
  </r>
  <r>
    <s v="ORD-2026-100927"/>
    <s v="CUS97789"/>
    <d v="2026-02-14T00:00:00"/>
    <s v="D016"/>
    <n v="21"/>
    <n v="10"/>
    <s v="سيارة سيدان"/>
    <s v="16:00-18:00"/>
    <d v="2026-02-14T08:40:00"/>
    <d v="2026-02-14T08:53:00"/>
    <d v="2026-02-14T10:04:00"/>
    <d v="2026-02-14T10:13:00"/>
    <d v="2026-02-14T10:47:00"/>
    <d v="2026-02-14T11:01:00"/>
    <n v="7"/>
    <x v="1"/>
    <s v="مكة المكرمة"/>
    <s v="الزاهر"/>
    <s v="مستودع مكة المكرمة"/>
    <n v="2500"/>
    <x v="0"/>
    <x v="0"/>
    <x v="0"/>
    <x v="0"/>
    <x v="1"/>
    <x v="1"/>
  </r>
  <r>
    <s v="ORD-2026-100928"/>
    <s v="CUS83988"/>
    <d v="2026-02-28T00:00:00"/>
    <s v="D013"/>
    <n v="11"/>
    <n v="7.1"/>
    <s v="شاحنة متوسطة"/>
    <s v="20:00-22:00"/>
    <d v="2026-02-28T06:46:00"/>
    <d v="2026-02-28T07:13:00"/>
    <d v="2026-02-28T08:19:00"/>
    <d v="2026-02-28T08:27:00"/>
    <d v="2026-02-28T09:18:00"/>
    <d v="2026-02-28T09:53:00"/>
    <n v="2"/>
    <x v="2"/>
    <s v="المدينة المنورة"/>
    <s v="قباء"/>
    <s v="مستودع المدينة المنورة"/>
    <n v="2000"/>
    <x v="0"/>
    <x v="0"/>
    <x v="0"/>
    <x v="0"/>
    <x v="0"/>
    <x v="2"/>
  </r>
  <r>
    <s v="ORD-2026-100929"/>
    <s v="CUS19877"/>
    <d v="2026-03-25T00:00:00"/>
    <s v="D019"/>
    <n v="6"/>
    <n v="6.6"/>
    <s v="دراجة نارية"/>
    <s v="10:00-12:00"/>
    <d v="2026-03-25T08:27:00"/>
    <d v="2026-03-25T08:50:00"/>
    <d v="2026-03-25T10:18:00"/>
    <d v="2026-03-25T10:29:00"/>
    <d v="2026-03-25T11:26:00"/>
    <d v="2026-03-25T11:57:00"/>
    <n v="2"/>
    <x v="1"/>
    <s v="جدة"/>
    <s v="الأندلس"/>
    <s v="مستودع جدة الرئيسي"/>
    <n v="4000"/>
    <x v="0"/>
    <x v="0"/>
    <x v="0"/>
    <x v="0"/>
    <x v="0"/>
    <x v="13"/>
  </r>
  <r>
    <s v="ORD-2026-100930"/>
    <s v="CUS74631"/>
    <d v="2026-03-23T00:00:00"/>
    <s v="D010"/>
    <n v="40"/>
    <n v="5.2"/>
    <s v="دراجة نارية"/>
    <s v="12:00-14:00"/>
    <d v="2026-03-23T08:47:00"/>
    <d v="2026-03-23T09:03:00"/>
    <d v="2026-03-23T09:44:00"/>
    <d v="2026-03-23T09:55:00"/>
    <d v="2026-03-23T10:25:00"/>
    <d v="2026-03-23T11:05:00"/>
    <n v="3"/>
    <x v="6"/>
    <s v="جدة"/>
    <s v="النزهة"/>
    <s v="مستودع جدة الرئيسي"/>
    <n v="4000"/>
    <x v="0"/>
    <x v="0"/>
    <x v="0"/>
    <x v="0"/>
    <x v="0"/>
    <x v="5"/>
  </r>
  <r>
    <s v="ORD-2026-100931"/>
    <s v="CUS67690"/>
    <d v="2026-01-29T00:00:00"/>
    <s v="D006"/>
    <n v="20"/>
    <n v="11.5"/>
    <s v="شاحنة متوسطة"/>
    <s v="12:00-14:00"/>
    <d v="2026-01-29T07:06:00"/>
    <d v="2026-01-29T07:19:00"/>
    <d v="2026-01-29T08:42:00"/>
    <d v="2026-01-29T09:02:00"/>
    <d v="2026-01-29T09:51:00"/>
    <d v="2026-01-29T10:03:00"/>
    <n v="2"/>
    <x v="1"/>
    <s v="مكة المكرمة"/>
    <s v="الزاهر"/>
    <s v="مستودع مكة المكرمة"/>
    <n v="2500"/>
    <x v="0"/>
    <x v="1"/>
    <x v="3"/>
    <x v="3"/>
    <x v="3"/>
    <x v="14"/>
  </r>
  <r>
    <s v="ORD-2026-100932"/>
    <s v="CUS78019"/>
    <d v="2026-01-09T00:00:00"/>
    <s v="D006"/>
    <n v="20"/>
    <n v="9.3000000000000007"/>
    <s v="شاحنة متوسطة"/>
    <s v="14:00-16:00"/>
    <d v="2026-01-09T09:14:00"/>
    <d v="2026-01-09T09:35:00"/>
    <d v="2026-01-09T10:48:00"/>
    <d v="2026-01-09T10:56:00"/>
    <d v="2026-01-09T11:19:00"/>
    <d v="2026-01-09T11:55:00"/>
    <n v="6"/>
    <x v="1"/>
    <s v="الرياض"/>
    <s v="الورود"/>
    <s v="مستودع الرياض الرئيسي"/>
    <n v="5000"/>
    <x v="0"/>
    <x v="0"/>
    <x v="0"/>
    <x v="0"/>
    <x v="2"/>
    <x v="5"/>
  </r>
  <r>
    <s v="ORD-2026-100933"/>
    <s v="CUS77977"/>
    <d v="2026-02-01T00:00:00"/>
    <s v="D005"/>
    <n v="11"/>
    <n v="5.0999999999999996"/>
    <s v="سيارة سيدان"/>
    <s v="14:00-16:00"/>
    <d v="2026-02-01T09:06:00"/>
    <d v="2026-02-01T09:36:00"/>
    <d v="2026-02-01T09:52:00"/>
    <d v="2026-02-01T10:03:00"/>
    <d v="2026-02-01T10:24:00"/>
    <d v="2026-02-01T10:31:00"/>
    <n v="1"/>
    <x v="0"/>
    <s v="جدة"/>
    <s v="الحمراء"/>
    <s v="مستودع جدة الرئيسي"/>
    <n v="4000"/>
    <x v="0"/>
    <x v="0"/>
    <x v="0"/>
    <x v="0"/>
    <x v="0"/>
    <x v="4"/>
  </r>
  <r>
    <s v="ORD-2026-100934"/>
    <s v="CUS40970"/>
    <d v="2026-03-06T00:00:00"/>
    <s v="D017"/>
    <n v="27"/>
    <n v="9.5"/>
    <s v="سيارة سيدان"/>
    <s v="18:00-20:00"/>
    <d v="2026-03-06T08:11:00"/>
    <d v="2026-03-06T08:27:00"/>
    <d v="2026-03-06T09:00:00"/>
    <d v="2026-03-06T09:12:00"/>
    <d v="2026-03-06T10:02:00"/>
    <d v="2026-03-06T10:41:00"/>
    <n v="4"/>
    <x v="1"/>
    <s v="المدينة المنورة"/>
    <s v="العنابس"/>
    <s v="مستودع المدينة المنورة"/>
    <n v="2000"/>
    <x v="0"/>
    <x v="1"/>
    <x v="0"/>
    <x v="2"/>
    <x v="4"/>
    <x v="11"/>
  </r>
  <r>
    <s v="ORD-2026-100935"/>
    <s v="CUS97032"/>
    <d v="2026-02-19T00:00:00"/>
    <s v="D021"/>
    <n v="12"/>
    <n v="7.7"/>
    <s v="سيارة سيدان"/>
    <s v="20:00-22:00"/>
    <d v="2026-02-19T09:43:00"/>
    <d v="2026-02-19T09:53:00"/>
    <d v="2026-02-19T10:29:00"/>
    <d v="2026-02-19T10:36:00"/>
    <d v="2026-02-19T10:47:00"/>
    <d v="2026-02-19T11:01:00"/>
    <n v="6"/>
    <x v="1"/>
    <s v="الرياض"/>
    <s v="الورود"/>
    <s v="مستودع الرياض الرئيسي"/>
    <n v="5000"/>
    <x v="0"/>
    <x v="0"/>
    <x v="0"/>
    <x v="0"/>
    <x v="2"/>
    <x v="6"/>
  </r>
  <r>
    <s v="ORD-2026-100936"/>
    <s v="CUS62142"/>
    <d v="2026-01-04T00:00:00"/>
    <s v="D003"/>
    <n v="35"/>
    <n v="6.2"/>
    <s v="شاحنة متوسطة"/>
    <s v="10:00-12:00"/>
    <d v="2026-01-04T06:14:00"/>
    <d v="2026-01-04T06:38:00"/>
    <d v="2026-01-04T07:13:00"/>
    <d v="2026-01-04T07:18:00"/>
    <d v="2026-01-04T08:04:00"/>
    <d v="2026-01-04T08:35:00"/>
    <n v="4"/>
    <x v="2"/>
    <s v="الدمام"/>
    <s v="الفيصلية"/>
    <s v="مستودع الدمام"/>
    <n v="3000"/>
    <x v="0"/>
    <x v="0"/>
    <x v="0"/>
    <x v="0"/>
    <x v="0"/>
    <x v="14"/>
  </r>
  <r>
    <s v="ORD-2026-100937"/>
    <s v="CUS26974"/>
    <d v="2026-01-07T00:00:00"/>
    <s v="D021"/>
    <n v="14"/>
    <n v="4.9000000000000004"/>
    <s v="دراجة نارية"/>
    <s v="08:00-10:00"/>
    <d v="2026-01-07T09:41:00"/>
    <d v="2026-01-07T10:07:00"/>
    <d v="2026-01-07T11:15:00"/>
    <d v="2026-01-07T11:33:00"/>
    <d v="2026-01-07T12:12:00"/>
    <d v="2026-01-07T12:25:00"/>
    <n v="1"/>
    <x v="2"/>
    <s v="جدة"/>
    <s v="الصفا"/>
    <s v="مستودع جدة الرئيسي"/>
    <n v="4000"/>
    <x v="0"/>
    <x v="0"/>
    <x v="0"/>
    <x v="0"/>
    <x v="2"/>
    <x v="8"/>
  </r>
  <r>
    <s v="ORD-2026-100938"/>
    <s v="CUS37315"/>
    <d v="2026-01-24T00:00:00"/>
    <s v="D002"/>
    <n v="33"/>
    <n v="5.0999999999999996"/>
    <s v="سيارة سيدان"/>
    <s v="18:00-20:00"/>
    <d v="2026-01-24T09:10:00"/>
    <d v="2026-01-24T09:31:00"/>
    <d v="2026-01-24T10:37:00"/>
    <d v="2026-01-24T10:49:00"/>
    <d v="2026-01-24T11:11:00"/>
    <d v="2026-01-24T11:55:00"/>
    <n v="6"/>
    <x v="1"/>
    <s v="الرياض"/>
    <s v="العليا"/>
    <s v="مستودع الرياض الرئيسي"/>
    <n v="5000"/>
    <x v="0"/>
    <x v="0"/>
    <x v="0"/>
    <x v="0"/>
    <x v="2"/>
    <x v="6"/>
  </r>
  <r>
    <s v="ORD-2026-100939"/>
    <s v="CUS11145"/>
    <d v="2026-03-10T00:00:00"/>
    <s v="D001"/>
    <n v="24"/>
    <n v="10.199999999999999"/>
    <s v="شاحنة صغيرة"/>
    <s v="10:00-12:00"/>
    <d v="2026-03-10T09:15:00"/>
    <d v="2026-03-10T09:45:00"/>
    <d v="2026-03-10T10:31:00"/>
    <d v="2026-03-10T10:41:00"/>
    <d v="2026-03-10T10:57:00"/>
    <d v="2026-03-10T11:07:00"/>
    <n v="3"/>
    <x v="0"/>
    <s v="جدة"/>
    <s v="الشاطئ"/>
    <s v="مستودع جدة الرئيسي"/>
    <n v="4000"/>
    <x v="0"/>
    <x v="0"/>
    <x v="0"/>
    <x v="0"/>
    <x v="3"/>
    <x v="6"/>
  </r>
  <r>
    <s v="ORD-2026-100940"/>
    <s v="CUS38130"/>
    <d v="2026-03-15T00:00:00"/>
    <s v="D022"/>
    <n v="14"/>
    <n v="8.8000000000000007"/>
    <s v="فان"/>
    <s v="10:00-12:00"/>
    <d v="2026-03-15T06:04:00"/>
    <d v="2026-03-15T06:27:00"/>
    <d v="2026-03-15T07:01:00"/>
    <d v="2026-03-15T07:17:00"/>
    <d v="2026-03-15T07:49:00"/>
    <d v="2026-03-15T08:18:00"/>
    <n v="7"/>
    <x v="1"/>
    <s v="الدمام"/>
    <s v="الفيصلية"/>
    <s v="مستودع الدمام"/>
    <n v="3000"/>
    <x v="0"/>
    <x v="0"/>
    <x v="0"/>
    <x v="0"/>
    <x v="4"/>
    <x v="5"/>
  </r>
  <r>
    <s v="ORD-2026-100941"/>
    <s v="CUS50231"/>
    <d v="2026-03-27T00:00:00"/>
    <s v="D019"/>
    <n v="13"/>
    <n v="10.199999999999999"/>
    <s v="شاحنة متوسطة"/>
    <s v="14:00-16:00"/>
    <d v="2026-03-27T09:30:00"/>
    <d v="2026-03-27T09:35:00"/>
    <d v="2026-03-27T09:57:00"/>
    <d v="2026-03-27T10:09:00"/>
    <d v="2026-03-27T10:48:00"/>
    <d v="2026-03-27T11:00:00"/>
    <n v="2"/>
    <x v="4"/>
    <s v="المدينة المنورة"/>
    <s v="الحرة الغربية"/>
    <s v="مستودع المدينة المنورة"/>
    <n v="2000"/>
    <x v="1"/>
    <x v="0"/>
    <x v="0"/>
    <x v="0"/>
    <x v="2"/>
    <x v="12"/>
  </r>
  <r>
    <s v="ORD-2026-100942"/>
    <s v="CUS18063"/>
    <d v="2026-01-17T00:00:00"/>
    <s v="D007"/>
    <n v="9"/>
    <n v="11.1"/>
    <s v="دراجة نارية"/>
    <s v="08:00-10:00"/>
    <d v="2026-01-17T06:36:00"/>
    <d v="2026-01-17T06:56:00"/>
    <d v="2026-01-17T07:12:00"/>
    <d v="2026-01-17T07:30:00"/>
    <d v="2026-01-17T07:47:00"/>
    <d v="2026-01-17T08:15:00"/>
    <n v="5"/>
    <x v="3"/>
    <s v="الرياض"/>
    <s v="الروضة"/>
    <s v="مستودع الرياض الرئيسي"/>
    <n v="5000"/>
    <x v="0"/>
    <x v="0"/>
    <x v="0"/>
    <x v="0"/>
    <x v="3"/>
    <x v="13"/>
  </r>
  <r>
    <s v="ORD-2026-100943"/>
    <s v="CUS94153"/>
    <d v="2026-02-26T00:00:00"/>
    <s v="D024"/>
    <n v="32"/>
    <n v="10.9"/>
    <s v="شاحنة صغيرة"/>
    <s v="14:00-16:00"/>
    <d v="2026-02-26T06:58:00"/>
    <d v="2026-02-26T07:07:00"/>
    <d v="2026-02-26T07:33:00"/>
    <d v="2026-02-26T07:47:00"/>
    <d v="2026-02-26T08:30:00"/>
    <d v="2026-02-26T08:41:00"/>
    <n v="3"/>
    <x v="1"/>
    <s v="الرياض"/>
    <s v="السليمانية"/>
    <s v="مستودع الرياض الرئيسي"/>
    <n v="5000"/>
    <x v="1"/>
    <x v="0"/>
    <x v="0"/>
    <x v="0"/>
    <x v="0"/>
    <x v="10"/>
  </r>
  <r>
    <s v="ORD-2026-100944"/>
    <s v="CUS58754"/>
    <d v="2026-01-01T00:00:00"/>
    <s v="D008"/>
    <n v="20"/>
    <n v="4.5"/>
    <s v="شاحنة صغيرة"/>
    <s v="16:00-18:00"/>
    <d v="2026-01-01T07:32:00"/>
    <d v="2026-01-01T07:49:00"/>
    <d v="2026-01-01T09:02:00"/>
    <d v="2026-01-01T09:21:00"/>
    <d v="2026-01-01T09:54:00"/>
    <d v="2026-01-01T10:26:00"/>
    <n v="7"/>
    <x v="1"/>
    <s v="الدمام"/>
    <s v="العزيزية"/>
    <s v="مستودع الدمام"/>
    <n v="3000"/>
    <x v="0"/>
    <x v="0"/>
    <x v="0"/>
    <x v="0"/>
    <x v="0"/>
    <x v="6"/>
  </r>
  <r>
    <s v="ORD-2026-100945"/>
    <s v="CUS37160"/>
    <d v="2026-02-06T00:00:00"/>
    <s v="D014"/>
    <n v="21"/>
    <n v="7.8"/>
    <s v="شاحنة صغيرة"/>
    <s v="10:00-12:00"/>
    <d v="2026-02-06T09:34:00"/>
    <d v="2026-02-06T10:04:00"/>
    <d v="2026-02-06T10:46:00"/>
    <d v="2026-02-06T11:05:00"/>
    <d v="2026-02-06T11:42:00"/>
    <d v="2026-02-06T11:47:00"/>
    <n v="1"/>
    <x v="6"/>
    <s v="جدة"/>
    <s v="الزهراء"/>
    <s v="مستودع جدة الرئيسي"/>
    <n v="4000"/>
    <x v="0"/>
    <x v="0"/>
    <x v="0"/>
    <x v="0"/>
    <x v="2"/>
    <x v="7"/>
  </r>
  <r>
    <s v="ORD-2026-100946"/>
    <s v="CUS24077"/>
    <d v="2026-01-04T00:00:00"/>
    <s v="D026"/>
    <n v="19"/>
    <n v="4.8"/>
    <s v="فان"/>
    <s v="12:00-14:00"/>
    <d v="2026-01-04T09:15:00"/>
    <d v="2026-01-04T09:22:00"/>
    <d v="2026-01-04T10:34:00"/>
    <d v="2026-01-04T10:44:00"/>
    <d v="2026-01-04T11:21:00"/>
    <d v="2026-01-04T11:59:00"/>
    <n v="1"/>
    <x v="1"/>
    <s v="مكة المكرمة"/>
    <s v="المسفلة"/>
    <s v="مستودع مكة المكرمة"/>
    <n v="2500"/>
    <x v="0"/>
    <x v="0"/>
    <x v="0"/>
    <x v="0"/>
    <x v="0"/>
    <x v="4"/>
  </r>
  <r>
    <s v="ORD-2026-100947"/>
    <s v="CUS47712"/>
    <d v="2026-01-19T00:00:00"/>
    <s v="D019"/>
    <n v="26"/>
    <n v="9.6"/>
    <s v="فان"/>
    <s v="08:00-10:00"/>
    <d v="2026-01-19T06:50:00"/>
    <d v="2026-01-19T07:11:00"/>
    <d v="2026-01-19T07:26:00"/>
    <d v="2026-01-19T07:44:00"/>
    <d v="2026-01-19T08:22:00"/>
    <d v="2026-01-19T08:33:00"/>
    <n v="2"/>
    <x v="2"/>
    <s v="الرياض"/>
    <s v="النزهة"/>
    <s v="مستودع الرياض الرئيسي"/>
    <n v="5000"/>
    <x v="0"/>
    <x v="0"/>
    <x v="0"/>
    <x v="0"/>
    <x v="4"/>
    <x v="1"/>
  </r>
  <r>
    <s v="ORD-2026-100948"/>
    <s v="CUS66293"/>
    <d v="2026-02-16T00:00:00"/>
    <s v="D017"/>
    <n v="24"/>
    <n v="5.6"/>
    <s v="فان"/>
    <s v="10:00-12:00"/>
    <d v="2026-02-16T06:29:00"/>
    <d v="2026-02-16T06:56:00"/>
    <d v="2026-02-16T07:31:00"/>
    <d v="2026-02-16T07:36:00"/>
    <d v="2026-02-16T07:47:00"/>
    <d v="2026-02-16T08:28:00"/>
    <n v="4"/>
    <x v="0"/>
    <s v="الدمام"/>
    <s v="الجلوية"/>
    <s v="مستودع الدمام"/>
    <n v="3000"/>
    <x v="0"/>
    <x v="0"/>
    <x v="0"/>
    <x v="0"/>
    <x v="2"/>
    <x v="0"/>
  </r>
  <r>
    <s v="ORD-2026-100949"/>
    <s v="CUS86696"/>
    <d v="2026-03-18T00:00:00"/>
    <s v="D009"/>
    <n v="18"/>
    <n v="5"/>
    <s v="شاحنة صغيرة"/>
    <s v="12:00-14:00"/>
    <d v="2026-03-18T06:50:00"/>
    <d v="2026-03-18T07:16:00"/>
    <d v="2026-03-18T07:51:00"/>
    <d v="2026-03-18T08:08:00"/>
    <d v="2026-03-18T08:28:00"/>
    <d v="2026-03-18T09:01:00"/>
    <n v="3"/>
    <x v="1"/>
    <s v="مكة المكرمة"/>
    <s v="العزيزية"/>
    <s v="مستودع مكة المكرمة"/>
    <n v="2500"/>
    <x v="0"/>
    <x v="0"/>
    <x v="0"/>
    <x v="0"/>
    <x v="3"/>
    <x v="6"/>
  </r>
  <r>
    <s v="ORD-2026-100950"/>
    <s v="CUS25267"/>
    <d v="2026-01-09T00:00:00"/>
    <s v="D017"/>
    <n v="13"/>
    <n v="9.6"/>
    <s v="فان"/>
    <s v="08:00-10:00"/>
    <d v="2026-01-09T06:08:00"/>
    <d v="2026-01-09T06:14:00"/>
    <d v="2026-01-09T06:58:00"/>
    <d v="2026-01-09T07:15:00"/>
    <d v="2026-01-09T07:51:00"/>
    <d v="2026-01-09T08:23:00"/>
    <n v="1"/>
    <x v="1"/>
    <s v="جدة"/>
    <s v="الأندلس"/>
    <s v="مستودع جدة الرئيسي"/>
    <n v="4000"/>
    <x v="0"/>
    <x v="0"/>
    <x v="0"/>
    <x v="0"/>
    <x v="0"/>
    <x v="3"/>
  </r>
  <r>
    <s v="ORD-2026-100951"/>
    <s v="CUS45331"/>
    <d v="2026-01-07T00:00:00"/>
    <s v="D015"/>
    <n v="34"/>
    <n v="5"/>
    <s v="سيارة سيدان"/>
    <s v="08:00-10:00"/>
    <d v="2026-01-07T06:05:00"/>
    <d v="2026-01-07T06:33:00"/>
    <d v="2026-01-07T07:16:00"/>
    <d v="2026-01-07T07:28:00"/>
    <d v="2026-01-07T08:12:00"/>
    <d v="2026-01-07T08:52:00"/>
    <n v="1"/>
    <x v="1"/>
    <s v="المدينة المنورة"/>
    <s v="العنابس"/>
    <s v="مستودع المدينة المنورة"/>
    <n v="2000"/>
    <x v="0"/>
    <x v="0"/>
    <x v="0"/>
    <x v="0"/>
    <x v="0"/>
    <x v="0"/>
  </r>
  <r>
    <s v="ORD-2026-100952"/>
    <s v="CUS93739"/>
    <d v="2026-03-15T00:00:00"/>
    <s v="D001"/>
    <n v="9"/>
    <n v="6.5"/>
    <s v="دراجة نارية"/>
    <s v="08:00-10:00"/>
    <d v="2026-03-15T07:05:00"/>
    <d v="2026-03-15T07:29:00"/>
    <d v="2026-03-15T08:56:00"/>
    <d v="2026-03-15T09:02:00"/>
    <d v="2026-03-15T09:49:00"/>
    <d v="2026-03-15T10:13:00"/>
    <n v="6"/>
    <x v="1"/>
    <s v="الدمام"/>
    <s v="الفيصلية"/>
    <s v="مستودع الدمام"/>
    <n v="3000"/>
    <x v="0"/>
    <x v="1"/>
    <x v="3"/>
    <x v="6"/>
    <x v="2"/>
    <x v="4"/>
  </r>
  <r>
    <s v="ORD-2026-100953"/>
    <s v="CUS72900"/>
    <d v="2026-01-29T00:00:00"/>
    <s v="D021"/>
    <n v="34"/>
    <n v="8.6999999999999993"/>
    <s v="شاحنة صغيرة"/>
    <s v="20:00-22:00"/>
    <d v="2026-01-29T07:46:00"/>
    <d v="2026-01-29T08:03:00"/>
    <d v="2026-01-29T09:30:00"/>
    <d v="2026-01-29T09:44:00"/>
    <d v="2026-01-29T10:00:00"/>
    <d v="2026-01-29T10:31:00"/>
    <n v="4"/>
    <x v="1"/>
    <s v="الرياض"/>
    <s v="حطين"/>
    <s v="مستودع الرياض الرئيسي"/>
    <n v="5000"/>
    <x v="0"/>
    <x v="0"/>
    <x v="0"/>
    <x v="0"/>
    <x v="0"/>
    <x v="4"/>
  </r>
  <r>
    <s v="ORD-2026-100954"/>
    <s v="CUS44617"/>
    <d v="2026-03-15T00:00:00"/>
    <s v="D009"/>
    <n v="16"/>
    <n v="10.1"/>
    <s v="فان"/>
    <s v="10:00-12:00"/>
    <d v="2026-03-15T06:53:00"/>
    <d v="2026-03-15T07:21:00"/>
    <d v="2026-03-15T08:36:00"/>
    <d v="2026-03-15T08:50:00"/>
    <d v="2026-03-15T09:37:00"/>
    <d v="2026-03-15T10:18:00"/>
    <n v="1"/>
    <x v="1"/>
    <s v="جدة"/>
    <s v="الزهراء"/>
    <s v="مستودع جدة الرئيسي"/>
    <n v="4000"/>
    <x v="0"/>
    <x v="0"/>
    <x v="0"/>
    <x v="0"/>
    <x v="0"/>
    <x v="5"/>
  </r>
  <r>
    <s v="ORD-2026-100955"/>
    <s v="CUS92283"/>
    <d v="2026-01-22T00:00:00"/>
    <s v="D029"/>
    <n v="6"/>
    <n v="5.7"/>
    <s v="شاحنة صغيرة"/>
    <s v="16:00-18:00"/>
    <d v="2026-01-22T07:57:00"/>
    <d v="2026-01-22T08:19:00"/>
    <d v="2026-01-22T08:50:00"/>
    <d v="2026-01-22T08:58:00"/>
    <d v="2026-01-22T09:13:00"/>
    <d v="2026-01-22T09:44:00"/>
    <n v="1"/>
    <x v="1"/>
    <s v="مكة المكرمة"/>
    <s v="الشوقية"/>
    <s v="مستودع مكة المكرمة"/>
    <n v="2500"/>
    <x v="0"/>
    <x v="0"/>
    <x v="0"/>
    <x v="0"/>
    <x v="0"/>
    <x v="10"/>
  </r>
  <r>
    <s v="ORD-2026-100956"/>
    <s v="CUS87024"/>
    <d v="2026-02-03T00:00:00"/>
    <s v="D004"/>
    <n v="20"/>
    <n v="7"/>
    <s v="شاحنة متوسطة"/>
    <s v="16:00-18:00"/>
    <d v="2026-02-03T08:11:00"/>
    <d v="2026-02-03T08:35:00"/>
    <d v="2026-02-03T09:49:00"/>
    <d v="2026-02-03T10:08:00"/>
    <d v="2026-02-03T10:27:00"/>
    <d v="2026-02-03T10:39:00"/>
    <n v="1"/>
    <x v="1"/>
    <s v="المدينة المنورة"/>
    <s v="العوالي"/>
    <s v="مستودع المدينة المنورة"/>
    <n v="2000"/>
    <x v="1"/>
    <x v="0"/>
    <x v="0"/>
    <x v="0"/>
    <x v="2"/>
    <x v="10"/>
  </r>
  <r>
    <s v="ORD-2026-100957"/>
    <s v="CUS84853"/>
    <d v="2026-02-07T00:00:00"/>
    <s v="D030"/>
    <n v="9"/>
    <n v="11.8"/>
    <s v="فان"/>
    <s v="12:00-14:00"/>
    <d v="2026-02-07T07:17:00"/>
    <d v="2026-02-07T07:39:00"/>
    <d v="2026-02-07T08:06:00"/>
    <d v="2026-02-07T08:16:00"/>
    <d v="2026-02-07T09:14:00"/>
    <d v="2026-02-07T09:26:00"/>
    <n v="4"/>
    <x v="1"/>
    <s v="المدينة المنورة"/>
    <s v="العوالي"/>
    <s v="مستودع المدينة المنورة"/>
    <n v="2000"/>
    <x v="0"/>
    <x v="0"/>
    <x v="0"/>
    <x v="0"/>
    <x v="0"/>
    <x v="2"/>
  </r>
  <r>
    <s v="ORD-2026-100958"/>
    <s v="CUS88077"/>
    <d v="2026-02-26T00:00:00"/>
    <s v="D017"/>
    <n v="5"/>
    <n v="8.3000000000000007"/>
    <s v="شاحنة صغيرة"/>
    <s v="20:00-22:00"/>
    <d v="2026-02-26T06:06:00"/>
    <d v="2026-02-26T06:19:00"/>
    <d v="2026-02-26T07:38:00"/>
    <d v="2026-02-26T07:44:00"/>
    <d v="2026-02-26T08:20:00"/>
    <d v="2026-02-26T08:55:00"/>
    <n v="3"/>
    <x v="1"/>
    <s v="الدمام"/>
    <s v="الجلوية"/>
    <s v="مستودع الدمام"/>
    <n v="3000"/>
    <x v="0"/>
    <x v="1"/>
    <x v="1"/>
    <x v="4"/>
    <x v="2"/>
    <x v="11"/>
  </r>
  <r>
    <s v="ORD-2026-100959"/>
    <s v="CUS72539"/>
    <d v="2026-02-21T00:00:00"/>
    <s v="D003"/>
    <n v="37"/>
    <n v="11.1"/>
    <s v="شاحنة متوسطة"/>
    <s v="12:00-14:00"/>
    <d v="2026-02-21T09:22:00"/>
    <d v="2026-02-21T09:32:00"/>
    <d v="2026-02-21T10:58:00"/>
    <d v="2026-02-21T11:16:00"/>
    <d v="2026-02-21T12:01:00"/>
    <d v="2026-02-21T12:38:00"/>
    <n v="2"/>
    <x v="1"/>
    <s v="الرياض"/>
    <s v="الملقا"/>
    <s v="مستودع الرياض الرئيسي"/>
    <n v="5000"/>
    <x v="0"/>
    <x v="0"/>
    <x v="0"/>
    <x v="0"/>
    <x v="0"/>
    <x v="5"/>
  </r>
  <r>
    <s v="ORD-2026-100960"/>
    <s v="CUS82510"/>
    <d v="2026-03-27T00:00:00"/>
    <s v="D021"/>
    <n v="7"/>
    <n v="8.6999999999999993"/>
    <s v="دراجة نارية"/>
    <s v="18:00-20:00"/>
    <d v="2026-03-27T06:30:00"/>
    <d v="2026-03-27T06:43:00"/>
    <d v="2026-03-27T07:04:00"/>
    <d v="2026-03-27T07:22:00"/>
    <d v="2026-03-27T07:39:00"/>
    <d v="2026-03-27T08:06:00"/>
    <n v="4"/>
    <x v="0"/>
    <s v="الرياض"/>
    <s v="الروضة"/>
    <s v="مستودع الرياض الرئيسي"/>
    <n v="5000"/>
    <x v="0"/>
    <x v="0"/>
    <x v="0"/>
    <x v="0"/>
    <x v="2"/>
    <x v="5"/>
  </r>
  <r>
    <s v="ORD-2026-100961"/>
    <s v="CUS59324"/>
    <d v="2026-03-13T00:00:00"/>
    <s v="D008"/>
    <n v="27"/>
    <n v="4.9000000000000004"/>
    <s v="فان"/>
    <s v="16:00-18:00"/>
    <d v="2026-03-13T09:24:00"/>
    <d v="2026-03-13T09:54:00"/>
    <d v="2026-03-13T10:54:00"/>
    <d v="2026-03-13T11:04:00"/>
    <d v="2026-03-13T11:32:00"/>
    <d v="2026-03-13T12:17:00"/>
    <n v="1"/>
    <x v="1"/>
    <s v="الدمام"/>
    <s v="الجلوية"/>
    <s v="مستودع الدمام"/>
    <n v="3000"/>
    <x v="1"/>
    <x v="0"/>
    <x v="0"/>
    <x v="0"/>
    <x v="2"/>
    <x v="13"/>
  </r>
  <r>
    <s v="ORD-2026-100962"/>
    <s v="CUS56605"/>
    <d v="2026-02-19T00:00:00"/>
    <s v="D018"/>
    <n v="21"/>
    <n v="11.5"/>
    <s v="فان"/>
    <s v="08:00-10:00"/>
    <d v="2026-02-19T07:08:00"/>
    <d v="2026-02-19T07:27:00"/>
    <d v="2026-02-19T08:42:00"/>
    <d v="2026-02-19T08:56:00"/>
    <d v="2026-02-19T09:15:00"/>
    <d v="2026-02-19T09:24:00"/>
    <n v="4"/>
    <x v="0"/>
    <s v="جدة"/>
    <s v="الصفا"/>
    <s v="مستودع جدة الرئيسي"/>
    <n v="4000"/>
    <x v="0"/>
    <x v="0"/>
    <x v="0"/>
    <x v="0"/>
    <x v="3"/>
    <x v="5"/>
  </r>
  <r>
    <s v="ORD-2026-100963"/>
    <s v="CUS43886"/>
    <d v="2026-03-16T00:00:00"/>
    <s v="D025"/>
    <n v="31"/>
    <n v="6.2"/>
    <s v="شاحنة متوسطة"/>
    <s v="10:00-12:00"/>
    <d v="2026-03-16T06:00:00"/>
    <d v="2026-03-16T06:21:00"/>
    <d v="2026-03-16T07:44:00"/>
    <d v="2026-03-16T07:56:00"/>
    <d v="2026-03-16T08:23:00"/>
    <d v="2026-03-16T09:02:00"/>
    <n v="4"/>
    <x v="1"/>
    <s v="جدة"/>
    <s v="الأندلس"/>
    <s v="مستودع جدة الرئيسي"/>
    <n v="4000"/>
    <x v="0"/>
    <x v="0"/>
    <x v="0"/>
    <x v="0"/>
    <x v="0"/>
    <x v="14"/>
  </r>
  <r>
    <s v="ORD-2026-100964"/>
    <s v="CUS96662"/>
    <d v="2026-02-20T00:00:00"/>
    <s v="D016"/>
    <n v="38"/>
    <n v="7.6"/>
    <s v="شاحنة متوسطة"/>
    <s v="08:00-10:00"/>
    <d v="2026-02-20T07:48:00"/>
    <d v="2026-02-20T07:53:00"/>
    <d v="2026-02-20T09:22:00"/>
    <d v="2026-02-20T09:29:00"/>
    <d v="2026-02-20T09:44:00"/>
    <d v="2026-02-20T10:08:00"/>
    <n v="1"/>
    <x v="6"/>
    <s v="جدة"/>
    <s v="الأندلس"/>
    <s v="مستودع جدة الرئيسي"/>
    <n v="4000"/>
    <x v="0"/>
    <x v="0"/>
    <x v="0"/>
    <x v="0"/>
    <x v="0"/>
    <x v="6"/>
  </r>
  <r>
    <s v="ORD-2026-100965"/>
    <s v="CUS12874"/>
    <d v="2026-03-18T00:00:00"/>
    <s v="D021"/>
    <n v="18"/>
    <n v="9.6999999999999993"/>
    <s v="شاحنة صغيرة"/>
    <s v="10:00-12:00"/>
    <d v="2026-03-18T06:54:00"/>
    <d v="2026-03-18T07:14:00"/>
    <d v="2026-03-18T08:16:00"/>
    <d v="2026-03-18T08:21:00"/>
    <d v="2026-03-18T08:52:00"/>
    <d v="2026-03-18T09:08:00"/>
    <n v="2"/>
    <x v="5"/>
    <s v="جدة"/>
    <s v="الأندلس"/>
    <s v="مستودع جدة الرئيسي"/>
    <n v="4000"/>
    <x v="0"/>
    <x v="0"/>
    <x v="0"/>
    <x v="0"/>
    <x v="2"/>
    <x v="3"/>
  </r>
  <r>
    <s v="ORD-2026-100966"/>
    <s v="CUS18563"/>
    <d v="2026-01-22T00:00:00"/>
    <s v="D012"/>
    <n v="36"/>
    <n v="5.2"/>
    <s v="شاحنة صغيرة"/>
    <s v="16:00-18:00"/>
    <d v="2026-01-22T06:24:00"/>
    <d v="2026-01-22T06:42:00"/>
    <d v="2026-01-22T07:32:00"/>
    <d v="2026-01-22T07:38:00"/>
    <d v="2026-01-22T08:00:00"/>
    <d v="2026-01-22T08:23:00"/>
    <n v="3"/>
    <x v="0"/>
    <s v="الدمام"/>
    <s v="الشاطئ"/>
    <s v="مستودع الدمام"/>
    <n v="3000"/>
    <x v="0"/>
    <x v="1"/>
    <x v="3"/>
    <x v="1"/>
    <x v="2"/>
    <x v="5"/>
  </r>
  <r>
    <s v="ORD-2026-100967"/>
    <s v="CUS23708"/>
    <d v="2026-03-08T00:00:00"/>
    <s v="D005"/>
    <n v="39"/>
    <n v="8.6"/>
    <s v="شاحنة متوسطة"/>
    <s v="18:00-20:00"/>
    <d v="2026-03-08T06:10:00"/>
    <d v="2026-03-08T06:32:00"/>
    <d v="2026-03-08T07:51:00"/>
    <d v="2026-03-08T07:56:00"/>
    <d v="2026-03-08T08:31:00"/>
    <d v="2026-03-08T09:05:00"/>
    <n v="7"/>
    <x v="1"/>
    <s v="الدمام"/>
    <s v="المزروعية"/>
    <s v="مستودع الدمام"/>
    <n v="3000"/>
    <x v="0"/>
    <x v="0"/>
    <x v="0"/>
    <x v="0"/>
    <x v="3"/>
    <x v="9"/>
  </r>
  <r>
    <s v="ORD-2026-100968"/>
    <s v="CUS50940"/>
    <d v="2026-01-29T00:00:00"/>
    <s v="D027"/>
    <n v="16"/>
    <n v="11.4"/>
    <s v="فان"/>
    <s v="12:00-14:00"/>
    <d v="2026-01-29T08:19:00"/>
    <d v="2026-01-29T08:37:00"/>
    <d v="2026-01-29T10:05:00"/>
    <d v="2026-01-29T10:17:00"/>
    <d v="2026-01-29T11:11:00"/>
    <d v="2026-01-29T11:53:00"/>
    <n v="4"/>
    <x v="1"/>
    <s v="الدمام"/>
    <s v="المزروعية"/>
    <s v="مستودع الدمام"/>
    <n v="3000"/>
    <x v="0"/>
    <x v="0"/>
    <x v="0"/>
    <x v="0"/>
    <x v="2"/>
    <x v="13"/>
  </r>
  <r>
    <s v="ORD-2026-100969"/>
    <s v="CUS60002"/>
    <d v="2026-03-30T00:00:00"/>
    <s v="D029"/>
    <n v="26"/>
    <n v="8.6999999999999993"/>
    <s v="سيارة سيدان"/>
    <s v="20:00-22:00"/>
    <d v="2026-03-30T08:48:00"/>
    <d v="2026-03-30T08:54:00"/>
    <d v="2026-03-30T09:18:00"/>
    <d v="2026-03-30T09:26:00"/>
    <d v="2026-03-30T10:15:00"/>
    <d v="2026-03-30T10:28:00"/>
    <n v="6"/>
    <x v="1"/>
    <s v="الرياض"/>
    <s v="الورود"/>
    <s v="مستودع الرياض الرئيسي"/>
    <n v="5000"/>
    <x v="0"/>
    <x v="1"/>
    <x v="3"/>
    <x v="5"/>
    <x v="3"/>
    <x v="5"/>
  </r>
  <r>
    <s v="ORD-2026-100970"/>
    <s v="CUS58809"/>
    <d v="2026-03-30T00:00:00"/>
    <s v="D002"/>
    <n v="9"/>
    <n v="7.8"/>
    <s v="فان"/>
    <s v="18:00-20:00"/>
    <d v="2026-03-30T09:06:00"/>
    <d v="2026-03-30T09:12:00"/>
    <d v="2026-03-30T09:51:00"/>
    <d v="2026-03-30T10:08:00"/>
    <d v="2026-03-30T10:31:00"/>
    <d v="2026-03-30T11:02:00"/>
    <n v="3"/>
    <x v="2"/>
    <s v="الدمام"/>
    <s v="العزيزية"/>
    <s v="مستودع الدمام"/>
    <n v="3000"/>
    <x v="0"/>
    <x v="0"/>
    <x v="0"/>
    <x v="0"/>
    <x v="2"/>
    <x v="6"/>
  </r>
  <r>
    <s v="ORD-2026-100971"/>
    <s v="CUS45910"/>
    <d v="2026-03-18T00:00:00"/>
    <s v="D002"/>
    <n v="5"/>
    <n v="4.4000000000000004"/>
    <s v="شاحنة متوسطة"/>
    <s v="18:00-20:00"/>
    <d v="2026-03-18T08:46:00"/>
    <d v="2026-03-18T09:09:00"/>
    <d v="2026-03-18T09:57:00"/>
    <d v="2026-03-18T10:06:00"/>
    <d v="2026-03-18T10:35:00"/>
    <d v="2026-03-18T11:13:00"/>
    <n v="5"/>
    <x v="6"/>
    <s v="مكة المكرمة"/>
    <s v="أجياد"/>
    <s v="مستودع مكة المكرمة"/>
    <n v="2500"/>
    <x v="0"/>
    <x v="0"/>
    <x v="0"/>
    <x v="0"/>
    <x v="2"/>
    <x v="1"/>
  </r>
  <r>
    <s v="ORD-2026-100972"/>
    <s v="CUS13825"/>
    <d v="2026-03-13T00:00:00"/>
    <s v="D020"/>
    <n v="36"/>
    <n v="7.3"/>
    <s v="سيارة سيدان"/>
    <s v="20:00-22:00"/>
    <d v="2026-03-13T07:51:00"/>
    <d v="2026-03-13T08:04:00"/>
    <d v="2026-03-13T08:34:00"/>
    <d v="2026-03-13T08:39:00"/>
    <d v="2026-03-13T09:39:00"/>
    <d v="2026-03-13T10:03:00"/>
    <n v="3"/>
    <x v="1"/>
    <s v="مكة المكرمة"/>
    <s v="أجياد"/>
    <s v="مستودع مكة المكرمة"/>
    <n v="2500"/>
    <x v="0"/>
    <x v="0"/>
    <x v="0"/>
    <x v="0"/>
    <x v="2"/>
    <x v="5"/>
  </r>
  <r>
    <s v="ORD-2026-100973"/>
    <s v="CUS64884"/>
    <d v="2026-03-15T00:00:00"/>
    <s v="D015"/>
    <n v="19"/>
    <n v="5.5"/>
    <s v="شاحنة متوسطة"/>
    <s v="20:00-22:00"/>
    <d v="2026-03-15T08:35:00"/>
    <d v="2026-03-15T08:40:00"/>
    <d v="2026-03-15T09:44:00"/>
    <d v="2026-03-15T09:53:00"/>
    <d v="2026-03-15T10:18:00"/>
    <d v="2026-03-15T10:46:00"/>
    <n v="3"/>
    <x v="1"/>
    <s v="الدمام"/>
    <s v="الشاطئ"/>
    <s v="مستودع الدمام"/>
    <n v="3000"/>
    <x v="0"/>
    <x v="0"/>
    <x v="0"/>
    <x v="0"/>
    <x v="0"/>
    <x v="14"/>
  </r>
  <r>
    <s v="ORD-2026-100974"/>
    <s v="CUS69234"/>
    <d v="2026-02-13T00:00:00"/>
    <s v="D023"/>
    <n v="11"/>
    <n v="7.2"/>
    <s v="سيارة سيدان"/>
    <s v="16:00-18:00"/>
    <d v="2026-02-13T08:35:00"/>
    <d v="2026-02-13T08:51:00"/>
    <d v="2026-02-13T09:30:00"/>
    <d v="2026-02-13T09:36:00"/>
    <d v="2026-02-13T09:46:00"/>
    <d v="2026-02-13T10:18:00"/>
    <n v="2"/>
    <x v="1"/>
    <s v="الدمام"/>
    <s v="العزيزية"/>
    <s v="مستودع الدمام"/>
    <n v="3000"/>
    <x v="0"/>
    <x v="0"/>
    <x v="0"/>
    <x v="0"/>
    <x v="3"/>
    <x v="3"/>
  </r>
  <r>
    <s v="ORD-2026-100975"/>
    <s v="CUS42925"/>
    <d v="2026-02-24T00:00:00"/>
    <s v="D029"/>
    <n v="24"/>
    <n v="7.2"/>
    <s v="سيارة سيدان"/>
    <s v="16:00-18:00"/>
    <d v="2026-02-24T06:17:00"/>
    <d v="2026-02-24T06:34:00"/>
    <d v="2026-02-24T06:47:00"/>
    <d v="2026-02-24T06:55:00"/>
    <d v="2026-02-24T07:10:00"/>
    <d v="2026-02-24T07:26:00"/>
    <n v="3"/>
    <x v="1"/>
    <s v="مكة المكرمة"/>
    <s v="أجياد"/>
    <s v="مستودع مكة المكرمة"/>
    <n v="2500"/>
    <x v="0"/>
    <x v="0"/>
    <x v="0"/>
    <x v="0"/>
    <x v="0"/>
    <x v="9"/>
  </r>
  <r>
    <s v="ORD-2026-100976"/>
    <s v="CUS11785"/>
    <d v="2026-03-10T00:00:00"/>
    <s v="D026"/>
    <n v="8"/>
    <n v="4"/>
    <s v="شاحنة متوسطة"/>
    <s v="08:00-10:00"/>
    <d v="2026-03-10T06:27:00"/>
    <d v="2026-03-10T06:47:00"/>
    <d v="2026-03-10T08:12:00"/>
    <d v="2026-03-10T08:29:00"/>
    <d v="2026-03-10T09:09:00"/>
    <d v="2026-03-10T09:45:00"/>
    <n v="5"/>
    <x v="6"/>
    <s v="المدينة المنورة"/>
    <s v="العنابس"/>
    <s v="مستودع المدينة المنورة"/>
    <n v="2000"/>
    <x v="0"/>
    <x v="0"/>
    <x v="0"/>
    <x v="0"/>
    <x v="0"/>
    <x v="4"/>
  </r>
  <r>
    <s v="ORD-2026-100977"/>
    <s v="CUS39881"/>
    <d v="2026-02-04T00:00:00"/>
    <s v="D015"/>
    <n v="31"/>
    <n v="10.3"/>
    <s v="دراجة نارية"/>
    <s v="18:00-20:00"/>
    <d v="2026-02-04T09:27:00"/>
    <d v="2026-02-04T09:45:00"/>
    <d v="2026-02-04T10:04:00"/>
    <d v="2026-02-04T10:13:00"/>
    <d v="2026-02-04T11:09:00"/>
    <d v="2026-02-04T11:21:00"/>
    <n v="2"/>
    <x v="0"/>
    <s v="جدة"/>
    <s v="الصفا"/>
    <s v="مستودع جدة الرئيسي"/>
    <n v="4000"/>
    <x v="0"/>
    <x v="0"/>
    <x v="0"/>
    <x v="0"/>
    <x v="0"/>
    <x v="6"/>
  </r>
  <r>
    <s v="ORD-2026-100978"/>
    <s v="CUS52506"/>
    <d v="2026-02-25T00:00:00"/>
    <s v="D012"/>
    <n v="39"/>
    <n v="4.4000000000000004"/>
    <s v="شاحنة متوسطة"/>
    <s v="12:00-14:00"/>
    <d v="2026-02-25T09:29:00"/>
    <d v="2026-02-25T09:54:00"/>
    <d v="2026-02-25T10:25:00"/>
    <d v="2026-02-25T10:41:00"/>
    <d v="2026-02-25T11:07:00"/>
    <d v="2026-02-25T11:44:00"/>
    <n v="2"/>
    <x v="1"/>
    <s v="المدينة المنورة"/>
    <s v="العنابس"/>
    <s v="مستودع المدينة المنورة"/>
    <n v="2000"/>
    <x v="0"/>
    <x v="0"/>
    <x v="0"/>
    <x v="0"/>
    <x v="0"/>
    <x v="9"/>
  </r>
  <r>
    <s v="ORD-2026-100979"/>
    <s v="CUS30206"/>
    <d v="2026-02-02T00:00:00"/>
    <s v="D012"/>
    <n v="7"/>
    <n v="9.4"/>
    <s v="فان"/>
    <s v="12:00-14:00"/>
    <d v="2026-02-02T07:18:00"/>
    <d v="2026-02-02T07:43:00"/>
    <d v="2026-02-02T08:40:00"/>
    <d v="2026-02-02T08:54:00"/>
    <d v="2026-02-02T09:45:00"/>
    <d v="2026-02-02T10:19:00"/>
    <n v="3"/>
    <x v="1"/>
    <s v="الدمام"/>
    <s v="العزيزية"/>
    <s v="مستودع الدمام"/>
    <n v="3000"/>
    <x v="0"/>
    <x v="1"/>
    <x v="0"/>
    <x v="3"/>
    <x v="3"/>
    <x v="2"/>
  </r>
  <r>
    <s v="ORD-2026-100980"/>
    <s v="CUS72224"/>
    <d v="2026-02-27T00:00:00"/>
    <s v="D010"/>
    <n v="10"/>
    <n v="7.6"/>
    <s v="فان"/>
    <s v="20:00-22:00"/>
    <d v="2026-02-27T06:52:00"/>
    <d v="2026-02-27T07:04:00"/>
    <d v="2026-02-27T07:51:00"/>
    <d v="2026-02-27T08:01:00"/>
    <d v="2026-02-27T08:42:00"/>
    <d v="2026-02-27T08:57:00"/>
    <n v="1"/>
    <x v="0"/>
    <s v="المدينة المنورة"/>
    <s v="العنابس"/>
    <s v="مستودع المدينة المنورة"/>
    <n v="2000"/>
    <x v="0"/>
    <x v="0"/>
    <x v="0"/>
    <x v="0"/>
    <x v="0"/>
    <x v="5"/>
  </r>
  <r>
    <s v="ORD-2026-100981"/>
    <s v="CUS28982"/>
    <d v="2026-02-15T00:00:00"/>
    <s v="D023"/>
    <n v="9"/>
    <n v="8.9"/>
    <s v="فان"/>
    <s v="10:00-12:00"/>
    <d v="2026-02-15T09:31:00"/>
    <d v="2026-02-15T09:37:00"/>
    <d v="2026-02-15T10:19:00"/>
    <d v="2026-02-15T10:34:00"/>
    <d v="2026-02-15T11:29:00"/>
    <d v="2026-02-15T12:14:00"/>
    <n v="2"/>
    <x v="0"/>
    <s v="الرياض"/>
    <s v="العليا"/>
    <s v="مستودع الرياض الرئيسي"/>
    <n v="5000"/>
    <x v="1"/>
    <x v="1"/>
    <x v="2"/>
    <x v="1"/>
    <x v="2"/>
    <x v="1"/>
  </r>
  <r>
    <s v="ORD-2026-100982"/>
    <s v="CUS43305"/>
    <d v="2026-02-04T00:00:00"/>
    <s v="D020"/>
    <n v="19"/>
    <n v="11"/>
    <s v="شاحنة صغيرة"/>
    <s v="08:00-10:00"/>
    <d v="2026-02-04T09:39:00"/>
    <d v="2026-02-04T10:06:00"/>
    <d v="2026-02-04T10:29:00"/>
    <d v="2026-02-04T10:36:00"/>
    <d v="2026-02-04T11:31:00"/>
    <d v="2026-02-04T12:01:00"/>
    <n v="4"/>
    <x v="1"/>
    <s v="جدة"/>
    <s v="الروضة"/>
    <s v="مستودع جدة الرئيسي"/>
    <n v="4000"/>
    <x v="0"/>
    <x v="1"/>
    <x v="3"/>
    <x v="5"/>
    <x v="0"/>
    <x v="11"/>
  </r>
  <r>
    <s v="ORD-2026-100983"/>
    <s v="CUS97755"/>
    <d v="2026-02-02T00:00:00"/>
    <s v="D030"/>
    <n v="21"/>
    <n v="7.4"/>
    <s v="شاحنة متوسطة"/>
    <s v="10:00-12:00"/>
    <d v="2026-02-02T09:29:00"/>
    <d v="2026-02-02T09:51:00"/>
    <d v="2026-02-02T10:47:00"/>
    <d v="2026-02-02T10:54:00"/>
    <d v="2026-02-02T11:34:00"/>
    <d v="2026-02-02T12:17:00"/>
    <n v="5"/>
    <x v="2"/>
    <s v="الدمام"/>
    <s v="الشاطئ"/>
    <s v="مستودع الدمام"/>
    <n v="3000"/>
    <x v="0"/>
    <x v="0"/>
    <x v="0"/>
    <x v="0"/>
    <x v="0"/>
    <x v="10"/>
  </r>
  <r>
    <s v="ORD-2026-100984"/>
    <s v="CUS88492"/>
    <d v="2026-02-11T00:00:00"/>
    <s v="D008"/>
    <n v="14"/>
    <n v="8.3000000000000007"/>
    <s v="شاحنة متوسطة"/>
    <s v="16:00-18:00"/>
    <d v="2026-02-11T08:49:00"/>
    <d v="2026-02-11T09:02:00"/>
    <d v="2026-02-11T10:20:00"/>
    <d v="2026-02-11T10:37:00"/>
    <d v="2026-02-11T11:26:00"/>
    <d v="2026-02-11T12:07:00"/>
    <n v="5"/>
    <x v="1"/>
    <s v="المدينة المنورة"/>
    <s v="العوالي"/>
    <s v="مستودع المدينة المنورة"/>
    <n v="2000"/>
    <x v="0"/>
    <x v="0"/>
    <x v="0"/>
    <x v="0"/>
    <x v="3"/>
    <x v="5"/>
  </r>
  <r>
    <s v="ORD-2026-100985"/>
    <s v="CUS27327"/>
    <d v="2026-01-08T00:00:00"/>
    <s v="D010"/>
    <n v="13"/>
    <n v="10.7"/>
    <s v="شاحنة صغيرة"/>
    <s v="12:00-14:00"/>
    <d v="2026-01-08T09:34:00"/>
    <d v="2026-01-08T09:53:00"/>
    <d v="2026-01-08T10:20:00"/>
    <d v="2026-01-08T10:33:00"/>
    <d v="2026-01-08T11:07:00"/>
    <d v="2026-01-08T11:26:00"/>
    <n v="1"/>
    <x v="1"/>
    <s v="الدمام"/>
    <s v="الجلوية"/>
    <s v="مستودع الدمام"/>
    <n v="3000"/>
    <x v="0"/>
    <x v="1"/>
    <x v="3"/>
    <x v="1"/>
    <x v="3"/>
    <x v="11"/>
  </r>
  <r>
    <s v="ORD-2026-100986"/>
    <s v="CUS77460"/>
    <d v="2026-01-27T00:00:00"/>
    <s v="D027"/>
    <n v="33"/>
    <n v="5.3"/>
    <s v="دراجة نارية"/>
    <s v="10:00-12:00"/>
    <d v="2026-01-27T08:25:00"/>
    <d v="2026-01-27T08:55:00"/>
    <d v="2026-01-27T09:18:00"/>
    <d v="2026-01-27T09:27:00"/>
    <d v="2026-01-27T09:44:00"/>
    <d v="2026-01-27T10:24:00"/>
    <n v="4"/>
    <x v="3"/>
    <s v="المدينة المنورة"/>
    <s v="قباء"/>
    <s v="مستودع المدينة المنورة"/>
    <n v="2000"/>
    <x v="1"/>
    <x v="0"/>
    <x v="0"/>
    <x v="0"/>
    <x v="0"/>
    <x v="9"/>
  </r>
  <r>
    <s v="ORD-2026-100987"/>
    <s v="CUS13906"/>
    <d v="2026-01-07T00:00:00"/>
    <s v="D023"/>
    <n v="15"/>
    <n v="5.2"/>
    <s v="شاحنة صغيرة"/>
    <s v="20:00-22:00"/>
    <d v="2026-01-07T06:29:00"/>
    <d v="2026-01-07T06:34:00"/>
    <d v="2026-01-07T07:07:00"/>
    <d v="2026-01-07T07:19:00"/>
    <d v="2026-01-07T07:40:00"/>
    <d v="2026-01-07T07:45:00"/>
    <n v="1"/>
    <x v="0"/>
    <s v="المدينة المنورة"/>
    <s v="قباء"/>
    <s v="مستودع المدينة المنورة"/>
    <n v="2000"/>
    <x v="0"/>
    <x v="0"/>
    <x v="0"/>
    <x v="0"/>
    <x v="1"/>
    <x v="5"/>
  </r>
  <r>
    <s v="ORD-2026-100988"/>
    <s v="CUS41977"/>
    <d v="2026-03-07T00:00:00"/>
    <s v="D027"/>
    <n v="29"/>
    <n v="5"/>
    <s v="شاحنة متوسطة"/>
    <s v="08:00-10:00"/>
    <d v="2026-03-07T09:29:00"/>
    <d v="2026-03-07T09:43:00"/>
    <d v="2026-03-07T10:17:00"/>
    <d v="2026-03-07T10:33:00"/>
    <d v="2026-03-07T11:07:00"/>
    <d v="2026-03-07T11:17:00"/>
    <n v="3"/>
    <x v="2"/>
    <s v="المدينة المنورة"/>
    <s v="العنابس"/>
    <s v="مستودع المدينة المنورة"/>
    <n v="2000"/>
    <x v="0"/>
    <x v="0"/>
    <x v="0"/>
    <x v="0"/>
    <x v="0"/>
    <x v="10"/>
  </r>
  <r>
    <s v="ORD-2026-100989"/>
    <s v="CUS12215"/>
    <d v="2026-03-24T00:00:00"/>
    <s v="D003"/>
    <n v="35"/>
    <n v="6.2"/>
    <s v="شاحنة متوسطة"/>
    <s v="18:00-20:00"/>
    <d v="2026-03-24T06:35:00"/>
    <d v="2026-03-24T06:46:00"/>
    <d v="2026-03-24T07:36:00"/>
    <d v="2026-03-24T07:50:00"/>
    <d v="2026-03-24T08:26:00"/>
    <d v="2026-03-24T09:08:00"/>
    <n v="3"/>
    <x v="1"/>
    <s v="المدينة المنورة"/>
    <s v="العوالي"/>
    <s v="مستودع المدينة المنورة"/>
    <n v="2000"/>
    <x v="0"/>
    <x v="0"/>
    <x v="0"/>
    <x v="0"/>
    <x v="3"/>
    <x v="3"/>
  </r>
  <r>
    <s v="ORD-2026-100990"/>
    <s v="CUS65323"/>
    <d v="2026-02-28T00:00:00"/>
    <s v="D027"/>
    <n v="5"/>
    <n v="7"/>
    <s v="سيارة سيدان"/>
    <s v="12:00-14:00"/>
    <d v="2026-02-28T09:10:00"/>
    <d v="2026-02-28T09:33:00"/>
    <d v="2026-02-28T10:31:00"/>
    <d v="2026-02-28T10:50:00"/>
    <d v="2026-02-28T11:04:00"/>
    <d v="2026-02-28T11:30:00"/>
    <n v="1"/>
    <x v="1"/>
    <s v="مكة المكرمة"/>
    <s v="الشوقية"/>
    <s v="مستودع مكة المكرمة"/>
    <n v="2500"/>
    <x v="0"/>
    <x v="0"/>
    <x v="0"/>
    <x v="0"/>
    <x v="0"/>
    <x v="12"/>
  </r>
  <r>
    <s v="ORD-2026-100991"/>
    <s v="CUS87526"/>
    <d v="2026-02-04T00:00:00"/>
    <s v="D003"/>
    <n v="30"/>
    <n v="11.3"/>
    <s v="سيارة سيدان"/>
    <s v="20:00-22:00"/>
    <d v="2026-02-04T06:22:00"/>
    <d v="2026-02-04T06:49:00"/>
    <d v="2026-02-04T07:10:00"/>
    <d v="2026-02-04T07:22:00"/>
    <d v="2026-02-04T07:50:00"/>
    <d v="2026-02-04T07:55:00"/>
    <n v="7"/>
    <x v="1"/>
    <s v="الرياض"/>
    <s v="العليا"/>
    <s v="مستودع الرياض الرئيسي"/>
    <n v="5000"/>
    <x v="0"/>
    <x v="0"/>
    <x v="0"/>
    <x v="0"/>
    <x v="0"/>
    <x v="5"/>
  </r>
  <r>
    <s v="ORD-2026-100992"/>
    <s v="CUS63117"/>
    <d v="2026-02-04T00:00:00"/>
    <s v="D025"/>
    <n v="7"/>
    <n v="8.1999999999999993"/>
    <s v="شاحنة صغيرة"/>
    <s v="12:00-14:00"/>
    <d v="2026-02-04T09:17:00"/>
    <d v="2026-02-04T09:39:00"/>
    <d v="2026-02-04T10:13:00"/>
    <d v="2026-02-04T10:31:00"/>
    <d v="2026-02-04T11:07:00"/>
    <d v="2026-02-04T11:47:00"/>
    <n v="2"/>
    <x v="1"/>
    <s v="المدينة المنورة"/>
    <s v="العنابس"/>
    <s v="مستودع المدينة المنورة"/>
    <n v="2000"/>
    <x v="0"/>
    <x v="0"/>
    <x v="0"/>
    <x v="0"/>
    <x v="2"/>
    <x v="13"/>
  </r>
  <r>
    <s v="ORD-2026-100993"/>
    <s v="CUS87510"/>
    <d v="2026-01-21T00:00:00"/>
    <s v="D013"/>
    <n v="5"/>
    <n v="8.1999999999999993"/>
    <s v="شاحنة متوسطة"/>
    <s v="14:00-16:00"/>
    <d v="2026-01-21T08:22:00"/>
    <d v="2026-01-21T08:44:00"/>
    <d v="2026-01-21T10:00:00"/>
    <d v="2026-01-21T10:08:00"/>
    <d v="2026-01-21T10:48:00"/>
    <d v="2026-01-21T11:26:00"/>
    <n v="6"/>
    <x v="1"/>
    <s v="المدينة المنورة"/>
    <s v="العنابس"/>
    <s v="مستودع المدينة المنورة"/>
    <n v="2000"/>
    <x v="0"/>
    <x v="0"/>
    <x v="0"/>
    <x v="0"/>
    <x v="2"/>
    <x v="6"/>
  </r>
  <r>
    <s v="ORD-2026-100994"/>
    <s v="CUS34480"/>
    <d v="2026-02-24T00:00:00"/>
    <s v="D006"/>
    <n v="9"/>
    <n v="8.6"/>
    <s v="فان"/>
    <s v="08:00-10:00"/>
    <d v="2026-02-24T08:57:00"/>
    <d v="2026-02-24T09:21:00"/>
    <d v="2026-02-24T10:01:00"/>
    <d v="2026-02-24T10:10:00"/>
    <d v="2026-02-24T10:21:00"/>
    <d v="2026-02-24T10:31:00"/>
    <n v="2"/>
    <x v="1"/>
    <s v="الدمام"/>
    <s v="الجلوية"/>
    <s v="مستودع الدمام"/>
    <n v="3000"/>
    <x v="0"/>
    <x v="1"/>
    <x v="3"/>
    <x v="1"/>
    <x v="2"/>
    <x v="9"/>
  </r>
  <r>
    <s v="ORD-2026-100995"/>
    <s v="CUS21824"/>
    <d v="2026-02-18T00:00:00"/>
    <s v="D001"/>
    <n v="40"/>
    <n v="10.8"/>
    <s v="شاحنة متوسطة"/>
    <s v="12:00-14:00"/>
    <d v="2026-02-18T09:59:00"/>
    <d v="2026-02-18T10:08:00"/>
    <d v="2026-02-18T10:27:00"/>
    <d v="2026-02-18T10:46:00"/>
    <d v="2026-02-18T11:19:00"/>
    <d v="2026-02-18T11:45:00"/>
    <n v="5"/>
    <x v="1"/>
    <s v="الدمام"/>
    <s v="العزيزية"/>
    <s v="مستودع الدمام"/>
    <n v="3000"/>
    <x v="1"/>
    <x v="0"/>
    <x v="0"/>
    <x v="0"/>
    <x v="2"/>
    <x v="0"/>
  </r>
  <r>
    <s v="ORD-2026-100996"/>
    <s v="CUS28469"/>
    <d v="2026-03-27T00:00:00"/>
    <s v="D024"/>
    <n v="23"/>
    <n v="7.1"/>
    <s v="دراجة نارية"/>
    <s v="20:00-22:00"/>
    <d v="2026-03-27T06:19:00"/>
    <d v="2026-03-27T06:27:00"/>
    <d v="2026-03-27T07:46:00"/>
    <d v="2026-03-27T07:55:00"/>
    <d v="2026-03-27T08:22:00"/>
    <d v="2026-03-27T08:32:00"/>
    <n v="5"/>
    <x v="1"/>
    <s v="جدة"/>
    <s v="الشاطئ"/>
    <s v="مستودع جدة الرئيسي"/>
    <n v="4000"/>
    <x v="0"/>
    <x v="0"/>
    <x v="0"/>
    <x v="0"/>
    <x v="3"/>
    <x v="14"/>
  </r>
  <r>
    <s v="ORD-2026-100997"/>
    <s v="CUS26569"/>
    <d v="2026-03-19T00:00:00"/>
    <s v="D016"/>
    <n v="9"/>
    <n v="7.6"/>
    <s v="سيارة سيدان"/>
    <s v="18:00-20:00"/>
    <d v="2026-03-19T09:07:00"/>
    <d v="2026-03-19T09:23:00"/>
    <d v="2026-03-19T10:07:00"/>
    <d v="2026-03-19T10:16:00"/>
    <d v="2026-03-19T10:32:00"/>
    <d v="2026-03-19T11:12:00"/>
    <n v="3"/>
    <x v="1"/>
    <s v="الدمام"/>
    <s v="المزروعية"/>
    <s v="مستودع الدمام"/>
    <n v="3000"/>
    <x v="0"/>
    <x v="1"/>
    <x v="0"/>
    <x v="5"/>
    <x v="2"/>
    <x v="9"/>
  </r>
  <r>
    <s v="ORD-2026-100998"/>
    <s v="CUS16925"/>
    <d v="2026-01-01T00:00:00"/>
    <s v="D028"/>
    <n v="13"/>
    <n v="10.8"/>
    <s v="سيارة سيدان"/>
    <s v="14:00-16:00"/>
    <d v="2026-01-01T09:32:00"/>
    <d v="2026-01-01T09:37:00"/>
    <d v="2026-01-01T11:00:00"/>
    <d v="2026-01-01T11:05:00"/>
    <d v="2026-01-01T12:01:00"/>
    <d v="2026-01-01T12:09:00"/>
    <n v="1"/>
    <x v="1"/>
    <s v="المدينة المنورة"/>
    <s v="قباء"/>
    <s v="مستودع المدينة المنورة"/>
    <n v="2000"/>
    <x v="0"/>
    <x v="0"/>
    <x v="0"/>
    <x v="0"/>
    <x v="2"/>
    <x v="11"/>
  </r>
  <r>
    <s v="ORD-2026-100999"/>
    <s v="CUS69326"/>
    <d v="2026-02-28T00:00:00"/>
    <s v="D006"/>
    <n v="13"/>
    <n v="6.2"/>
    <s v="فان"/>
    <s v="10:00-12:00"/>
    <d v="2026-02-28T08:08:00"/>
    <d v="2026-02-28T08:18:00"/>
    <d v="2026-02-28T09:39:00"/>
    <d v="2026-02-28T09:54:00"/>
    <d v="2026-02-28T10:50:00"/>
    <d v="2026-02-28T11:12:00"/>
    <n v="1"/>
    <x v="4"/>
    <s v="جدة"/>
    <s v="الأندلس"/>
    <s v="مستودع جدة الرئيسي"/>
    <n v="4000"/>
    <x v="0"/>
    <x v="1"/>
    <x v="1"/>
    <x v="2"/>
    <x v="0"/>
    <x v="0"/>
  </r>
  <r>
    <s v="ORD-2026-101000"/>
    <s v="CUS25226"/>
    <d v="2026-01-31T00:00:00"/>
    <s v="D003"/>
    <n v="9"/>
    <n v="7.1"/>
    <s v="شاحنة متوسطة"/>
    <s v="20:00-22:00"/>
    <d v="2026-01-31T09:17:00"/>
    <d v="2026-01-31T09:33:00"/>
    <d v="2026-01-31T09:43:00"/>
    <d v="2026-01-31T10:03:00"/>
    <d v="2026-01-31T10:17:00"/>
    <d v="2026-01-31T10:25:00"/>
    <n v="7"/>
    <x v="1"/>
    <s v="جدة"/>
    <s v="الشاطئ"/>
    <s v="مستودع جدة الرئيسي"/>
    <n v="4000"/>
    <x v="0"/>
    <x v="0"/>
    <x v="0"/>
    <x v="0"/>
    <x v="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4A86-4E00-C24F-9A90-0C014184B9C3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A62:B69" firstHeaderRow="1" firstDataRow="1" firstDataCol="1"/>
  <pivotFields count="26"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axis="axisRow" dataField="1" showAll="0">
      <items count="8">
        <item x="6"/>
        <item x="3"/>
        <item x="2"/>
        <item x="0"/>
        <item x="5"/>
        <item x="4"/>
        <item h="1"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multipleItemSelectionAllowed="1" showAll="0">
      <items count="6">
        <item x="4"/>
        <item x="1"/>
        <item x="3"/>
        <item x="2"/>
        <item x="0"/>
        <item t="default"/>
      </items>
    </pivotField>
    <pivotField showAll="0">
      <items count="16">
        <item x="12"/>
        <item h="1" x="14"/>
        <item x="3"/>
        <item h="1" x="8"/>
        <item x="10"/>
        <item h="1" x="6"/>
        <item x="2"/>
        <item h="1" x="13"/>
        <item h="1" x="7"/>
        <item h="1" x="5"/>
        <item h="1" x="4"/>
        <item h="1" x="1"/>
        <item x="11"/>
        <item h="1" x="0"/>
        <item x="9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تصنيف التأخر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553C3-AF65-454C-BF2C-742A236B08C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A51:B58" firstHeaderRow="1" firstDataRow="1" firstDataCol="1" rowPageCount="1" colPageCount="1"/>
  <pivotFields count="26"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showAll="0">
      <items count="8">
        <item x="6"/>
        <item x="3"/>
        <item x="2"/>
        <item x="0"/>
        <item x="5"/>
        <item x="4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axis="axisRow" dataField="1" showAll="0" sortType="ascending">
      <items count="8">
        <item x="3"/>
        <item x="1"/>
        <item x="2"/>
        <item x="4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multipleItemSelectionAllowed="1" showAll="0">
      <items count="6">
        <item x="4"/>
        <item x="1"/>
        <item x="3"/>
        <item x="2"/>
        <item x="0"/>
        <item t="default"/>
      </items>
    </pivotField>
    <pivotField showAll="0">
      <items count="16">
        <item x="12"/>
        <item h="1" x="14"/>
        <item x="3"/>
        <item h="1" x="8"/>
        <item x="10"/>
        <item h="1" x="6"/>
        <item x="2"/>
        <item h="1" x="13"/>
        <item h="1" x="7"/>
        <item h="1" x="5"/>
        <item h="1" x="4"/>
        <item h="1" x="1"/>
        <item x="11"/>
        <item h="1" x="0"/>
        <item x="9"/>
        <item t="default"/>
      </items>
    </pivotField>
  </pivotFields>
  <rowFields count="1">
    <field x="23"/>
  </rowFields>
  <rowItems count="7">
    <i>
      <x v="6"/>
    </i>
    <i>
      <x/>
    </i>
    <i>
      <x v="1"/>
    </i>
    <i>
      <x v="4"/>
    </i>
    <i>
      <x v="2"/>
    </i>
    <i>
      <x v="3"/>
    </i>
    <i t="grand">
      <x/>
    </i>
  </rowItems>
  <colItems count="1">
    <i/>
  </colItems>
  <pageFields count="1">
    <pageField fld="21" hier="-1"/>
  </pageFields>
  <dataFields count="1">
    <dataField name="Count of سبب الاسترداد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DA924-BE24-4A62-9905-94DA2C4EDE46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B15" firstHeaderRow="1" firstDataRow="1" firstDataCol="1"/>
  <pivotFields count="26"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حالة الاستلام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C9713-1B4B-4B40-87AD-D3D7B9401226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26"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1"/>
        <item x="3"/>
        <item x="2"/>
        <item x="0"/>
        <item t="default"/>
      </items>
    </pivotField>
    <pivotField showAll="0"/>
  </pivotFields>
  <rowFields count="1">
    <field x="2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تقييم العميل (1-5)" fld="24" subtotal="count" baseField="0" baseItem="52884517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B6039-08E0-4248-9BF4-F690A1AFAF8F}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6:B43" firstHeaderRow="1" firstDataRow="1" firstDataCol="1"/>
  <pivotFields count="26"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showAll="0">
      <items count="8">
        <item x="6"/>
        <item x="3"/>
        <item x="2"/>
        <item x="0"/>
        <item x="5"/>
        <item x="4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multipleItemSelectionAllowed="1" showAll="0">
      <items count="6">
        <item x="4"/>
        <item x="1"/>
        <item x="3"/>
        <item x="2"/>
        <item x="0"/>
        <item t="default"/>
      </items>
    </pivotField>
    <pivotField axis="axisRow" dataField="1" showAll="0" sortType="ascending">
      <items count="16">
        <item x="12"/>
        <item h="1" x="14"/>
        <item x="3"/>
        <item h="1" x="8"/>
        <item x="10"/>
        <item h="1" x="6"/>
        <item x="2"/>
        <item h="1" x="13"/>
        <item h="1" x="7"/>
        <item h="1" x="5"/>
        <item h="1" x="4"/>
        <item h="1" x="1"/>
        <item x="11"/>
        <item h="1"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5"/>
  </rowFields>
  <rowItems count="7">
    <i>
      <x v="12"/>
    </i>
    <i>
      <x/>
    </i>
    <i>
      <x v="6"/>
    </i>
    <i>
      <x v="2"/>
    </i>
    <i>
      <x v="4"/>
    </i>
    <i>
      <x v="14"/>
    </i>
    <i t="grand">
      <x/>
    </i>
  </rowItems>
  <colItems count="1">
    <i/>
  </colItems>
  <dataFields count="1">
    <dataField name="Count of ملاحظات العميل" fld="2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40C7A-6AE9-42CC-9F9B-E17764D775A9}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B33" firstHeaderRow="1" firstDataRow="1" firstDataCol="1"/>
  <pivotFields count="26"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axis="axisRow" dataField="1" showAll="0">
      <items count="8">
        <item x="6"/>
        <item x="3"/>
        <item x="2"/>
        <item x="0"/>
        <item x="5"/>
        <item x="4"/>
        <item x="1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تصنيف التأخر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DE0EB-95B4-42BA-9728-AD5EECA97BEB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B21" firstHeaderRow="1" firstDataRow="1" firstDataCol="1"/>
  <pivotFields count="26"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numFmtId="22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حالة الطلب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E5007D-21B7-414E-BD6E-F2A5CE5E0A76}" autoFormatId="16" applyNumberFormats="0" applyBorderFormats="0" applyFontFormats="0" applyPatternFormats="0" applyAlignmentFormats="0" applyWidthHeightFormats="0">
  <queryTableRefresh nextId="27">
    <queryTableFields count="26">
      <queryTableField id="1" name="رقم الطلب" tableColumnId="1"/>
      <queryTableField id="2" name="معرف العميل" tableColumnId="2"/>
      <queryTableField id="3" name="تاريخ الطلب" tableColumnId="3"/>
      <queryTableField id="4" name="معرف السائق" tableColumnId="4"/>
      <queryTableField id="5" name="عدد الشحنات المسندة" tableColumnId="5"/>
      <queryTableField id="6" name="عدد ساعات العمل" tableColumnId="6"/>
      <queryTableField id="7" name="نوع السيارة" tableColumnId="7"/>
      <queryTableField id="8" name="الوقت المختار للتسليم" tableColumnId="8"/>
      <queryTableField id="9" name="وقت استلام الطلب" tableColumnId="9"/>
      <queryTableField id="10" name="وقت بدء التجهيز" tableColumnId="10"/>
      <queryTableField id="11" name="وقت انتهاء التجهيز (الجهوزية)" tableColumnId="11"/>
      <queryTableField id="12" name="وقت الإرسال (مغادرة المستودع)" tableColumnId="12"/>
      <queryTableField id="13" name="وقت أول تواصل مع العميل" tableColumnId="13"/>
      <queryTableField id="14" name="وقت آخر تواصل مع العميل" tableColumnId="14"/>
      <queryTableField id="15" name="عدد مرات التواصل مع العميل" tableColumnId="15"/>
      <queryTableField id="16" name="تصنيف التأخر" tableColumnId="16"/>
      <queryTableField id="17" name="المنطقة" tableColumnId="17"/>
      <queryTableField id="18" name="اسم الحي" tableColumnId="18"/>
      <queryTableField id="19" name="موقع المستودع" tableColumnId="19"/>
      <queryTableField id="20" name="سعة المستودع القصوى" tableColumnId="20"/>
      <queryTableField id="21" name="حالة الطلب" tableColumnId="21"/>
      <queryTableField id="22" name="حالة الاستلام" tableColumnId="22"/>
      <queryTableField id="23" name="عدد مرات خروج الطلب" tableColumnId="23"/>
      <queryTableField id="24" name="سبب الاسترداد" tableColumnId="24"/>
      <queryTableField id="25" name="تقييم العميل (1-5)" tableColumnId="25"/>
      <queryTableField id="26" name="ملاحظات العميل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CA169-792C-472B-B85C-70855CBBA838}" name="بيانات_الشحنات" displayName="بيانات_الشحنات" ref="A1:Z1001" tableType="queryTable" totalsRowShown="0">
  <autoFilter ref="A1:Z1001" xr:uid="{9AD3E50B-1E33-4FC4-97F7-77FA01D32094}">
    <filterColumn colId="24">
      <filters>
        <filter val="1"/>
        <filter val="2"/>
      </filters>
    </filterColumn>
  </autoFilter>
  <tableColumns count="26">
    <tableColumn id="1" xr3:uid="{5B9696A4-A2FD-4009-AE7B-E6487455EF0C}" uniqueName="1" name="رقم الطلب" queryTableFieldId="1"/>
    <tableColumn id="2" xr3:uid="{796F9125-48DE-4D9D-B8CE-42EE757322D6}" uniqueName="2" name="معرف العميل" queryTableFieldId="2"/>
    <tableColumn id="3" xr3:uid="{B4D724B2-7CCD-432A-9E07-3F1CC9A93A7F}" uniqueName="3" name="تاريخ الطلب" queryTableFieldId="3" dataDxfId="6"/>
    <tableColumn id="4" xr3:uid="{F0007AC4-F49C-4698-A5AA-BC996A65B217}" uniqueName="4" name="معرف السائق" queryTableFieldId="4"/>
    <tableColumn id="5" xr3:uid="{220BDBC2-C71D-477D-9E18-3CDA91A13E59}" uniqueName="5" name="عدد الشحنات المسندة" queryTableFieldId="5"/>
    <tableColumn id="6" xr3:uid="{6299965B-90F1-4D5F-8B89-E6B3FCDCA764}" uniqueName="6" name="عدد ساعات العمل" queryTableFieldId="6"/>
    <tableColumn id="7" xr3:uid="{FDF31D8C-AAED-430D-B710-1B0379062675}" uniqueName="7" name="نوع السيارة" queryTableFieldId="7"/>
    <tableColumn id="8" xr3:uid="{B17CC141-606E-4C12-8D36-FCFF6FF4A819}" uniqueName="8" name="الوقت المختار للتسليم" queryTableFieldId="8"/>
    <tableColumn id="9" xr3:uid="{C497F9BA-79DD-4D80-8305-32B4FAADE2B4}" uniqueName="9" name="وقت استلام الطلب" queryTableFieldId="9" dataDxfId="5"/>
    <tableColumn id="10" xr3:uid="{B083AE5D-B6D9-4CBF-AE8A-953D6891ED48}" uniqueName="10" name="وقت بدء التجهيز" queryTableFieldId="10" dataDxfId="4"/>
    <tableColumn id="11" xr3:uid="{EE250B99-13D7-4583-8355-E59021EC258B}" uniqueName="11" name="وقت انتهاء التجهيز (الجهوزية)" queryTableFieldId="11" dataDxfId="3"/>
    <tableColumn id="12" xr3:uid="{F1561776-7CEC-485A-BE8F-D758519F0C78}" uniqueName="12" name="وقت الإرسال (مغادرة المستودع)" queryTableFieldId="12" dataDxfId="2"/>
    <tableColumn id="13" xr3:uid="{B90B140C-D051-4F79-975C-EFBFF1923F87}" uniqueName="13" name="وقت أول تواصل مع العميل" queryTableFieldId="13" dataDxfId="1"/>
    <tableColumn id="14" xr3:uid="{CBBA5611-3162-42D8-948E-028349C87C39}" uniqueName="14" name="وقت آخر تواصل مع العميل" queryTableFieldId="14" dataDxfId="0"/>
    <tableColumn id="15" xr3:uid="{34F5F68A-A231-4C77-B7DF-D3632E62B166}" uniqueName="15" name="عدد مرات التواصل مع العميل" queryTableFieldId="15"/>
    <tableColumn id="16" xr3:uid="{95BB5C37-4D07-4714-AC18-7B0BD216F99A}" uniqueName="16" name="تصنيف التأخر" queryTableFieldId="16"/>
    <tableColumn id="17" xr3:uid="{ADD8A0C5-4545-4CE6-AE2D-482436C08768}" uniqueName="17" name="المنطقة" queryTableFieldId="17"/>
    <tableColumn id="18" xr3:uid="{49D213EC-CF51-40FD-97E2-45CD8E08A3A6}" uniqueName="18" name="اسم الحي" queryTableFieldId="18"/>
    <tableColumn id="19" xr3:uid="{9C2458C9-AA19-47FA-A4AE-CDC6606260D5}" uniqueName="19" name="موقع المستودع" queryTableFieldId="19"/>
    <tableColumn id="20" xr3:uid="{9A4575AC-8453-4E17-8E5F-2FC4B8D1DC9A}" uniqueName="20" name="سعة المستودع القصوى" queryTableFieldId="20"/>
    <tableColumn id="21" xr3:uid="{47149EA6-F5A6-4727-A045-F05DE84686D5}" uniqueName="21" name="حالة الطلب" queryTableFieldId="21"/>
    <tableColumn id="22" xr3:uid="{D41F9BBC-A164-4BEF-AE5D-D784B791D186}" uniqueName="22" name="حالة الاستلام" queryTableFieldId="22"/>
    <tableColumn id="23" xr3:uid="{900C2447-A4E0-4737-8C02-09D1D69AF7A0}" uniqueName="23" name="عدد مرات خروج الطلب" queryTableFieldId="23"/>
    <tableColumn id="24" xr3:uid="{E2721576-BB9A-4701-8040-FCAC8C923295}" uniqueName="24" name="سبب الاسترداد" queryTableFieldId="24"/>
    <tableColumn id="25" xr3:uid="{34C5EAD9-1612-4F03-9CCC-991BAA2C93EC}" uniqueName="25" name="تقييم العميل (1-5)" queryTableFieldId="25"/>
    <tableColumn id="26" xr3:uid="{37FEFC75-5816-4A30-9F46-150F4306DC5E}" uniqueName="26" name="ملاحظات العميل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E492-E897-44C5-8969-BF69182CDFA0}">
  <dimension ref="A3:M69"/>
  <sheetViews>
    <sheetView tabSelected="1" topLeftCell="A56" zoomScale="150" workbookViewId="0">
      <selection activeCell="G65" sqref="G65"/>
    </sheetView>
  </sheetViews>
  <sheetFormatPr baseColWidth="10" defaultColWidth="8.83203125" defaultRowHeight="15" x14ac:dyDescent="0.2"/>
  <cols>
    <col min="1" max="1" width="19.1640625" bestFit="1" customWidth="1"/>
    <col min="2" max="2" width="17.5" bestFit="1" customWidth="1"/>
    <col min="13" max="13" width="28.5" customWidth="1"/>
  </cols>
  <sheetData>
    <row r="3" spans="1:3" x14ac:dyDescent="0.2">
      <c r="A3" s="2" t="s">
        <v>2132</v>
      </c>
      <c r="B3" t="s">
        <v>2131</v>
      </c>
    </row>
    <row r="4" spans="1:3" x14ac:dyDescent="0.2">
      <c r="A4" s="3">
        <v>1</v>
      </c>
      <c r="B4">
        <v>43</v>
      </c>
      <c r="C4" s="5" t="s">
        <v>2134</v>
      </c>
    </row>
    <row r="5" spans="1:3" x14ac:dyDescent="0.2">
      <c r="A5" s="3">
        <v>2</v>
      </c>
      <c r="B5">
        <v>78</v>
      </c>
      <c r="C5" s="6">
        <f>(B7+B8)/GETPIVOTDATA("تقييم العميل (1-5)",$A$3)</f>
        <v>0.72899999999999998</v>
      </c>
    </row>
    <row r="6" spans="1:3" x14ac:dyDescent="0.2">
      <c r="A6" s="3">
        <v>3</v>
      </c>
      <c r="B6">
        <v>150</v>
      </c>
    </row>
    <row r="7" spans="1:3" x14ac:dyDescent="0.2">
      <c r="A7" s="3">
        <v>4</v>
      </c>
      <c r="B7">
        <v>353</v>
      </c>
    </row>
    <row r="8" spans="1:3" x14ac:dyDescent="0.2">
      <c r="A8" s="3">
        <v>5</v>
      </c>
      <c r="B8">
        <v>376</v>
      </c>
    </row>
    <row r="9" spans="1:3" x14ac:dyDescent="0.2">
      <c r="A9" s="3" t="s">
        <v>2133</v>
      </c>
      <c r="B9">
        <v>1000</v>
      </c>
    </row>
    <row r="12" spans="1:3" x14ac:dyDescent="0.2">
      <c r="A12" s="2" t="s">
        <v>2132</v>
      </c>
      <c r="B12" t="s">
        <v>2135</v>
      </c>
    </row>
    <row r="13" spans="1:3" x14ac:dyDescent="0.2">
      <c r="A13" s="3" t="s">
        <v>59</v>
      </c>
      <c r="B13">
        <v>183</v>
      </c>
      <c r="C13" s="4">
        <f>GETPIVOTDATA("حالة الاستلام",$A$12,"حالة الاستلام","مسترد")/GETPIVOTDATA("حالة الاستلام",$A$12)</f>
        <v>0.183</v>
      </c>
    </row>
    <row r="14" spans="1:3" x14ac:dyDescent="0.2">
      <c r="A14" s="3" t="s">
        <v>36</v>
      </c>
      <c r="B14">
        <v>817</v>
      </c>
    </row>
    <row r="15" spans="1:3" x14ac:dyDescent="0.2">
      <c r="A15" s="3" t="s">
        <v>2133</v>
      </c>
      <c r="B15">
        <v>1000</v>
      </c>
    </row>
    <row r="18" spans="1:3" x14ac:dyDescent="0.2">
      <c r="A18" s="2" t="s">
        <v>2132</v>
      </c>
      <c r="B18" t="s">
        <v>2136</v>
      </c>
    </row>
    <row r="19" spans="1:3" x14ac:dyDescent="0.2">
      <c r="A19" s="3" t="s">
        <v>91</v>
      </c>
      <c r="B19">
        <v>93</v>
      </c>
      <c r="C19" s="4">
        <f>GETPIVOTDATA("حالة الطلب",$A$18,"حالة الطلب","تالف")/GETPIVOTDATA("حالة الاستلام",$A$12)</f>
        <v>9.2999999999999999E-2</v>
      </c>
    </row>
    <row r="20" spans="1:3" x14ac:dyDescent="0.2">
      <c r="A20" s="3" t="s">
        <v>35</v>
      </c>
      <c r="B20">
        <v>907</v>
      </c>
    </row>
    <row r="21" spans="1:3" x14ac:dyDescent="0.2">
      <c r="A21" s="3" t="s">
        <v>2133</v>
      </c>
      <c r="B21">
        <v>1000</v>
      </c>
    </row>
    <row r="25" spans="1:3" x14ac:dyDescent="0.2">
      <c r="A25" s="2" t="s">
        <v>2132</v>
      </c>
      <c r="B25" t="s">
        <v>2137</v>
      </c>
    </row>
    <row r="26" spans="1:3" x14ac:dyDescent="0.2">
      <c r="A26" s="3" t="s">
        <v>238</v>
      </c>
      <c r="B26">
        <v>51</v>
      </c>
      <c r="C26" s="4">
        <f>(SUM(B26:B31))/GETPIVOTDATA("تصنيف التأخر",$A$25)</f>
        <v>0.30199999999999999</v>
      </c>
    </row>
    <row r="27" spans="1:3" x14ac:dyDescent="0.2">
      <c r="A27" s="3" t="s">
        <v>106</v>
      </c>
      <c r="B27">
        <v>47</v>
      </c>
    </row>
    <row r="28" spans="1:3" x14ac:dyDescent="0.2">
      <c r="A28" s="3" t="s">
        <v>52</v>
      </c>
      <c r="B28">
        <v>63</v>
      </c>
    </row>
    <row r="29" spans="1:3" x14ac:dyDescent="0.2">
      <c r="A29" s="3" t="s">
        <v>31</v>
      </c>
      <c r="B29">
        <v>59</v>
      </c>
    </row>
    <row r="30" spans="1:3" x14ac:dyDescent="0.2">
      <c r="A30" s="3" t="s">
        <v>129</v>
      </c>
      <c r="B30">
        <v>35</v>
      </c>
    </row>
    <row r="31" spans="1:3" x14ac:dyDescent="0.2">
      <c r="A31" s="3" t="s">
        <v>115</v>
      </c>
      <c r="B31">
        <v>47</v>
      </c>
    </row>
    <row r="32" spans="1:3" x14ac:dyDescent="0.2">
      <c r="A32" s="3" t="s">
        <v>37</v>
      </c>
      <c r="B32">
        <v>698</v>
      </c>
    </row>
    <row r="33" spans="1:13" x14ac:dyDescent="0.2">
      <c r="A33" s="3" t="s">
        <v>2133</v>
      </c>
      <c r="B33">
        <v>1000</v>
      </c>
    </row>
    <row r="34" spans="1:13" x14ac:dyDescent="0.2">
      <c r="L34" t="s">
        <v>2139</v>
      </c>
      <c r="M34" s="4">
        <f>(GETPIVOTDATA("ملاحظات العميل",$A$36,"ملاحظات العميل","لم يتم التواصل قبل التسليم")+GETPIVOTDATA("ملاحظات العميل",$A$36,"ملاحظات العميل","السائق لم يتصل مسبقاً")+GETPIVOTDATA("ملاحظات العميل",$A$36,"ملاحظات العميل","يحتاج تحسين في التواصل"))/GETPIVOTDATA("ملاحظات العميل",$A$36)</f>
        <v>0.51813471502590669</v>
      </c>
    </row>
    <row r="35" spans="1:13" x14ac:dyDescent="0.2">
      <c r="L35" t="s">
        <v>2140</v>
      </c>
      <c r="M35" s="4">
        <f>(GETPIVOTDATA("ملاحظات العميل",$A$36,"ملاحظات العميل","أرجو الالتزام بالموعد المحدد")+GETPIVOTDATA("ملاحظات العميل",$A$36,"ملاحظات العميل","تأخر التسليم قليلاً"))/GETPIVOTDATA("ملاحظات العميل",$A$36)</f>
        <v>0.30051813471502592</v>
      </c>
    </row>
    <row r="36" spans="1:13" x14ac:dyDescent="0.2">
      <c r="A36" s="2" t="s">
        <v>2132</v>
      </c>
      <c r="B36" t="s">
        <v>2138</v>
      </c>
      <c r="L36" t="s">
        <v>2141</v>
      </c>
      <c r="M36" s="4">
        <f>(GETPIVOTDATA("ملاحظات العميل",$A$36,"ملاحظات العميل","التغليف كان ضعيفاً"))/GETPIVOTDATA("ملاحظات العميل",$A$36)</f>
        <v>0.18134715025906736</v>
      </c>
    </row>
    <row r="37" spans="1:13" x14ac:dyDescent="0.2">
      <c r="A37" s="3" t="s">
        <v>161</v>
      </c>
      <c r="B37">
        <v>56</v>
      </c>
    </row>
    <row r="38" spans="1:13" x14ac:dyDescent="0.2">
      <c r="A38" s="3" t="s">
        <v>168</v>
      </c>
      <c r="B38">
        <v>57</v>
      </c>
    </row>
    <row r="39" spans="1:13" x14ac:dyDescent="0.2">
      <c r="A39" s="3" t="s">
        <v>54</v>
      </c>
      <c r="B39">
        <v>59</v>
      </c>
    </row>
    <row r="40" spans="1:13" x14ac:dyDescent="0.2">
      <c r="A40" s="3" t="s">
        <v>61</v>
      </c>
      <c r="B40">
        <v>70</v>
      </c>
    </row>
    <row r="41" spans="1:13" x14ac:dyDescent="0.2">
      <c r="A41" s="3" t="s">
        <v>134</v>
      </c>
      <c r="B41">
        <v>72</v>
      </c>
    </row>
    <row r="42" spans="1:13" x14ac:dyDescent="0.2">
      <c r="A42" s="3" t="s">
        <v>131</v>
      </c>
      <c r="B42">
        <v>72</v>
      </c>
    </row>
    <row r="43" spans="1:13" x14ac:dyDescent="0.2">
      <c r="A43" s="3" t="s">
        <v>2133</v>
      </c>
      <c r="B43">
        <v>386</v>
      </c>
    </row>
    <row r="49" spans="1:7" x14ac:dyDescent="0.2">
      <c r="A49" s="2" t="s">
        <v>21</v>
      </c>
      <c r="B49" t="s">
        <v>59</v>
      </c>
    </row>
    <row r="51" spans="1:7" x14ac:dyDescent="0.2">
      <c r="A51" s="2" t="s">
        <v>2132</v>
      </c>
      <c r="B51" t="s">
        <v>2142</v>
      </c>
    </row>
    <row r="52" spans="1:7" x14ac:dyDescent="0.2">
      <c r="A52" s="3" t="s">
        <v>374</v>
      </c>
      <c r="B52" s="7">
        <v>24</v>
      </c>
      <c r="D52" s="3" t="s">
        <v>353</v>
      </c>
      <c r="E52" s="4">
        <f>GETPIVOTDATA("سبب الاسترداد",$A$51,"سبب الاسترداد","عنوان خاطئ")/183</f>
        <v>0.15846994535519127</v>
      </c>
    </row>
    <row r="53" spans="1:7" x14ac:dyDescent="0.2">
      <c r="A53" s="3" t="s">
        <v>116</v>
      </c>
      <c r="B53" s="7">
        <v>28</v>
      </c>
      <c r="D53" s="3" t="s">
        <v>85</v>
      </c>
      <c r="E53" s="4">
        <f>GETPIVOTDATA("سبب الاسترداد",$A$51,"سبب الاسترداد","رفض الاستلام")/183</f>
        <v>0.19125683060109289</v>
      </c>
    </row>
    <row r="54" spans="1:7" x14ac:dyDescent="0.2">
      <c r="A54" s="3" t="s">
        <v>60</v>
      </c>
      <c r="B54" s="7">
        <v>29</v>
      </c>
      <c r="D54" s="3" t="s">
        <v>193</v>
      </c>
      <c r="E54" s="4">
        <f>GETPIVOTDATA("سبب الاسترداد",$A$51,"سبب الاسترداد","طلب العميل الإلغاء")/183</f>
        <v>0.20765027322404372</v>
      </c>
    </row>
    <row r="55" spans="1:7" x14ac:dyDescent="0.2">
      <c r="A55" s="3" t="s">
        <v>353</v>
      </c>
      <c r="B55" s="7">
        <v>29</v>
      </c>
      <c r="C55" s="4">
        <f>GETPIVOTDATA("سبب الاسترداد",$A$51,"سبب الاسترداد","عنوان خاطئ")/183</f>
        <v>0.15846994535519127</v>
      </c>
    </row>
    <row r="56" spans="1:7" x14ac:dyDescent="0.2">
      <c r="A56" s="3" t="s">
        <v>85</v>
      </c>
      <c r="B56" s="7">
        <v>35</v>
      </c>
      <c r="C56" s="4">
        <f>GETPIVOTDATA("سبب الاسترداد",$A$51,"سبب الاسترداد","رفض الاستلام")/183</f>
        <v>0.19125683060109289</v>
      </c>
    </row>
    <row r="57" spans="1:7" x14ac:dyDescent="0.2">
      <c r="A57" s="3" t="s">
        <v>193</v>
      </c>
      <c r="B57" s="7">
        <v>38</v>
      </c>
      <c r="C57" s="4">
        <f>GETPIVOTDATA("سبب الاسترداد",$A$51,"سبب الاسترداد","طلب العميل الإلغاء")/183</f>
        <v>0.20765027322404372</v>
      </c>
    </row>
    <row r="58" spans="1:7" x14ac:dyDescent="0.2">
      <c r="A58" s="3" t="s">
        <v>2133</v>
      </c>
      <c r="B58" s="7">
        <v>183</v>
      </c>
    </row>
    <row r="62" spans="1:7" x14ac:dyDescent="0.2">
      <c r="A62" s="2" t="s">
        <v>2132</v>
      </c>
      <c r="B62" t="s">
        <v>2137</v>
      </c>
    </row>
    <row r="63" spans="1:7" x14ac:dyDescent="0.2">
      <c r="A63" s="3" t="s">
        <v>238</v>
      </c>
      <c r="B63" s="7">
        <v>51</v>
      </c>
      <c r="C63" s="4">
        <f>B63/$B$69</f>
        <v>0.16887417218543047</v>
      </c>
      <c r="F63" s="3" t="s">
        <v>52</v>
      </c>
      <c r="G63" s="4">
        <v>0.20860927152317882</v>
      </c>
    </row>
    <row r="64" spans="1:7" x14ac:dyDescent="0.2">
      <c r="A64" s="3" t="s">
        <v>106</v>
      </c>
      <c r="B64" s="7">
        <v>47</v>
      </c>
      <c r="C64" s="4">
        <f t="shared" ref="C64:C68" si="0">B64/$B$69</f>
        <v>0.15562913907284767</v>
      </c>
      <c r="F64" s="3" t="s">
        <v>31</v>
      </c>
      <c r="G64" s="4">
        <v>0.19536423841059603</v>
      </c>
    </row>
    <row r="65" spans="1:7" x14ac:dyDescent="0.2">
      <c r="A65" s="3" t="s">
        <v>52</v>
      </c>
      <c r="B65" s="7">
        <v>63</v>
      </c>
      <c r="C65" s="4">
        <f t="shared" si="0"/>
        <v>0.20860927152317882</v>
      </c>
      <c r="F65" s="3" t="s">
        <v>238</v>
      </c>
      <c r="G65" s="4">
        <v>0.16887417218543047</v>
      </c>
    </row>
    <row r="66" spans="1:7" x14ac:dyDescent="0.2">
      <c r="A66" s="3" t="s">
        <v>31</v>
      </c>
      <c r="B66" s="7">
        <v>59</v>
      </c>
      <c r="C66" s="4">
        <f t="shared" si="0"/>
        <v>0.19536423841059603</v>
      </c>
      <c r="F66" s="3" t="s">
        <v>106</v>
      </c>
      <c r="G66" s="4">
        <v>0.15562913907284767</v>
      </c>
    </row>
    <row r="67" spans="1:7" x14ac:dyDescent="0.2">
      <c r="A67" s="3" t="s">
        <v>129</v>
      </c>
      <c r="B67" s="7">
        <v>35</v>
      </c>
      <c r="C67" s="4">
        <f t="shared" si="0"/>
        <v>0.11589403973509933</v>
      </c>
      <c r="F67" s="3" t="s">
        <v>115</v>
      </c>
      <c r="G67" s="4">
        <v>0.15562913907284767</v>
      </c>
    </row>
    <row r="68" spans="1:7" x14ac:dyDescent="0.2">
      <c r="A68" s="3" t="s">
        <v>115</v>
      </c>
      <c r="B68" s="7">
        <v>47</v>
      </c>
      <c r="C68" s="4">
        <f t="shared" si="0"/>
        <v>0.15562913907284767</v>
      </c>
      <c r="F68" s="3" t="s">
        <v>129</v>
      </c>
      <c r="G68" s="4">
        <v>0.11589403973509933</v>
      </c>
    </row>
    <row r="69" spans="1:7" x14ac:dyDescent="0.2">
      <c r="A69" s="3" t="s">
        <v>2133</v>
      </c>
      <c r="B69" s="7">
        <v>302</v>
      </c>
    </row>
  </sheetData>
  <sortState xmlns:xlrd2="http://schemas.microsoft.com/office/spreadsheetml/2017/richdata2" ref="F63:G68">
    <sortCondition descending="1" ref="G65:G68"/>
  </sortState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4C64-25E1-4A3A-AE7B-FABCC61A8C9C}">
  <dimension ref="A1"/>
  <sheetViews>
    <sheetView showGridLines="0" topLeftCell="H2" zoomScale="91" workbookViewId="0">
      <selection activeCell="Z19" sqref="Z19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2AB2-5C84-4107-B144-6537CB099740}">
  <dimension ref="A1:Z1001"/>
  <sheetViews>
    <sheetView topLeftCell="M411" workbookViewId="0">
      <selection activeCell="AC1" sqref="AC1"/>
    </sheetView>
  </sheetViews>
  <sheetFormatPr baseColWidth="10" defaultColWidth="8.83203125" defaultRowHeight="15" x14ac:dyDescent="0.2"/>
  <cols>
    <col min="1" max="1" width="16.5" bestFit="1" customWidth="1"/>
    <col min="2" max="2" width="10.83203125" bestFit="1" customWidth="1"/>
    <col min="3" max="3" width="13.83203125" bestFit="1" customWidth="1"/>
    <col min="4" max="4" width="10.83203125" bestFit="1" customWidth="1"/>
    <col min="5" max="5" width="18.33203125" bestFit="1" customWidth="1"/>
    <col min="6" max="6" width="14.5" bestFit="1" customWidth="1"/>
    <col min="7" max="7" width="12" bestFit="1" customWidth="1"/>
    <col min="8" max="8" width="17.6640625" bestFit="1" customWidth="1"/>
    <col min="9" max="9" width="15.33203125" bestFit="1" customWidth="1"/>
    <col min="10" max="10" width="14.83203125" bestFit="1" customWidth="1"/>
    <col min="11" max="11" width="23.1640625" bestFit="1" customWidth="1"/>
    <col min="12" max="12" width="24.6640625" bestFit="1" customWidth="1"/>
    <col min="13" max="13" width="20.83203125" bestFit="1" customWidth="1"/>
    <col min="14" max="14" width="21.5" bestFit="1" customWidth="1"/>
    <col min="15" max="15" width="23" bestFit="1" customWidth="1"/>
    <col min="16" max="16" width="21.83203125" bestFit="1" customWidth="1"/>
    <col min="17" max="17" width="11" bestFit="1" customWidth="1"/>
    <col min="18" max="18" width="9.83203125" customWidth="1"/>
    <col min="19" max="19" width="17.6640625" bestFit="1" customWidth="1"/>
    <col min="20" max="20" width="18.6640625" bestFit="1" customWidth="1"/>
    <col min="21" max="21" width="9.6640625" bestFit="1" customWidth="1"/>
    <col min="22" max="22" width="11" bestFit="1" customWidth="1"/>
    <col min="23" max="23" width="18.6640625" bestFit="1" customWidth="1"/>
    <col min="24" max="24" width="14.83203125" bestFit="1" customWidth="1"/>
    <col min="25" max="25" width="15.33203125" bestFit="1" customWidth="1"/>
    <col min="26" max="26" width="20.6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">
      <c r="A2" t="s">
        <v>26</v>
      </c>
      <c r="B2" t="s">
        <v>27</v>
      </c>
      <c r="C2" s="1">
        <v>46104</v>
      </c>
      <c r="D2" t="s">
        <v>28</v>
      </c>
      <c r="E2">
        <v>20</v>
      </c>
      <c r="F2">
        <v>5.8</v>
      </c>
      <c r="G2" t="s">
        <v>29</v>
      </c>
      <c r="H2" t="s">
        <v>30</v>
      </c>
      <c r="I2" s="1">
        <v>46104.381249999999</v>
      </c>
      <c r="J2" s="1">
        <v>46104.396527777775</v>
      </c>
      <c r="K2" s="1">
        <v>46104.411111111112</v>
      </c>
      <c r="L2" s="1">
        <v>46104.423611111109</v>
      </c>
      <c r="M2" s="1">
        <v>46104.431944444441</v>
      </c>
      <c r="N2" s="1">
        <v>46104.436111111114</v>
      </c>
      <c r="O2">
        <v>1</v>
      </c>
      <c r="P2" t="s">
        <v>31</v>
      </c>
      <c r="Q2" t="s">
        <v>32</v>
      </c>
      <c r="R2" t="s">
        <v>33</v>
      </c>
      <c r="S2" t="s">
        <v>34</v>
      </c>
      <c r="T2">
        <v>5000</v>
      </c>
      <c r="U2" t="s">
        <v>35</v>
      </c>
      <c r="V2" t="s">
        <v>36</v>
      </c>
      <c r="W2">
        <v>1</v>
      </c>
      <c r="X2" t="s">
        <v>37</v>
      </c>
      <c r="Y2">
        <v>5</v>
      </c>
      <c r="Z2" t="s">
        <v>38</v>
      </c>
    </row>
    <row r="3" spans="1:26" x14ac:dyDescent="0.2">
      <c r="A3" t="s">
        <v>39</v>
      </c>
      <c r="B3" t="s">
        <v>40</v>
      </c>
      <c r="C3" s="1">
        <v>46076</v>
      </c>
      <c r="D3" t="s">
        <v>41</v>
      </c>
      <c r="E3">
        <v>22</v>
      </c>
      <c r="F3">
        <v>10.5</v>
      </c>
      <c r="G3" t="s">
        <v>29</v>
      </c>
      <c r="H3" t="s">
        <v>42</v>
      </c>
      <c r="I3" s="1">
        <v>46076.393055555556</v>
      </c>
      <c r="J3" s="1">
        <v>46076.4</v>
      </c>
      <c r="K3" s="1">
        <v>46076.444444444445</v>
      </c>
      <c r="L3" s="1">
        <v>46076.454861111109</v>
      </c>
      <c r="M3" s="1">
        <v>46076.473611111112</v>
      </c>
      <c r="N3" s="1">
        <v>46076.48333333333</v>
      </c>
      <c r="O3">
        <v>2</v>
      </c>
      <c r="P3" t="s">
        <v>37</v>
      </c>
      <c r="Q3" t="s">
        <v>43</v>
      </c>
      <c r="R3" t="s">
        <v>44</v>
      </c>
      <c r="S3" t="s">
        <v>45</v>
      </c>
      <c r="T3">
        <v>2500</v>
      </c>
      <c r="U3" t="s">
        <v>35</v>
      </c>
      <c r="V3" t="s">
        <v>36</v>
      </c>
      <c r="W3">
        <v>1</v>
      </c>
      <c r="X3" t="s">
        <v>37</v>
      </c>
      <c r="Y3">
        <v>2</v>
      </c>
      <c r="Z3" t="s">
        <v>46</v>
      </c>
    </row>
    <row r="4" spans="1:26" x14ac:dyDescent="0.2">
      <c r="A4" t="s">
        <v>47</v>
      </c>
      <c r="B4" t="s">
        <v>48</v>
      </c>
      <c r="C4" s="1">
        <v>46100</v>
      </c>
      <c r="D4" t="s">
        <v>49</v>
      </c>
      <c r="E4">
        <v>39</v>
      </c>
      <c r="F4">
        <v>5</v>
      </c>
      <c r="G4" t="s">
        <v>50</v>
      </c>
      <c r="H4" t="s">
        <v>51</v>
      </c>
      <c r="I4" s="1">
        <v>46100.347916666666</v>
      </c>
      <c r="J4" s="1">
        <v>46100.357638888891</v>
      </c>
      <c r="K4" s="1">
        <v>46100.420138888891</v>
      </c>
      <c r="L4" s="1">
        <v>46100.431250000001</v>
      </c>
      <c r="M4" s="1">
        <v>46100.463194444441</v>
      </c>
      <c r="N4" s="1">
        <v>46100.474999999999</v>
      </c>
      <c r="O4">
        <v>6</v>
      </c>
      <c r="P4" t="s">
        <v>52</v>
      </c>
      <c r="Q4" t="s">
        <v>32</v>
      </c>
      <c r="R4" t="s">
        <v>53</v>
      </c>
      <c r="S4" t="s">
        <v>34</v>
      </c>
      <c r="T4">
        <v>5000</v>
      </c>
      <c r="U4" t="s">
        <v>35</v>
      </c>
      <c r="V4" t="s">
        <v>36</v>
      </c>
      <c r="W4">
        <v>1</v>
      </c>
      <c r="X4" t="s">
        <v>37</v>
      </c>
      <c r="Y4">
        <v>2</v>
      </c>
      <c r="Z4" t="s">
        <v>54</v>
      </c>
    </row>
    <row r="5" spans="1:26" hidden="1" x14ac:dyDescent="0.2">
      <c r="A5" t="s">
        <v>55</v>
      </c>
      <c r="B5" t="s">
        <v>56</v>
      </c>
      <c r="C5" s="1">
        <v>46071</v>
      </c>
      <c r="D5" t="s">
        <v>49</v>
      </c>
      <c r="E5">
        <v>15</v>
      </c>
      <c r="F5">
        <v>7</v>
      </c>
      <c r="G5" t="s">
        <v>57</v>
      </c>
      <c r="H5" t="s">
        <v>30</v>
      </c>
      <c r="I5" s="1">
        <v>46071.297222222223</v>
      </c>
      <c r="J5" s="1">
        <v>46071.315972222219</v>
      </c>
      <c r="K5" s="1">
        <v>46071.32916666667</v>
      </c>
      <c r="L5" s="1">
        <v>46071.336111111108</v>
      </c>
      <c r="M5" s="1">
        <v>46071.366666666669</v>
      </c>
      <c r="N5" s="1">
        <v>46071.380555555559</v>
      </c>
      <c r="O5">
        <v>2</v>
      </c>
      <c r="P5" t="s">
        <v>37</v>
      </c>
      <c r="Q5" t="s">
        <v>43</v>
      </c>
      <c r="R5" t="s">
        <v>58</v>
      </c>
      <c r="S5" t="s">
        <v>45</v>
      </c>
      <c r="T5">
        <v>2500</v>
      </c>
      <c r="U5" t="s">
        <v>35</v>
      </c>
      <c r="V5" t="s">
        <v>59</v>
      </c>
      <c r="W5">
        <v>2</v>
      </c>
      <c r="X5" t="s">
        <v>60</v>
      </c>
      <c r="Y5">
        <v>4</v>
      </c>
      <c r="Z5" t="s">
        <v>61</v>
      </c>
    </row>
    <row r="6" spans="1:26" hidden="1" x14ac:dyDescent="0.2">
      <c r="A6" t="s">
        <v>62</v>
      </c>
      <c r="B6" t="s">
        <v>63</v>
      </c>
      <c r="C6" s="1">
        <v>46052</v>
      </c>
      <c r="D6" t="s">
        <v>64</v>
      </c>
      <c r="E6">
        <v>30</v>
      </c>
      <c r="F6">
        <v>6.1</v>
      </c>
      <c r="G6" t="s">
        <v>57</v>
      </c>
      <c r="H6" t="s">
        <v>65</v>
      </c>
      <c r="I6" s="1">
        <v>46052.405555555553</v>
      </c>
      <c r="J6" s="1">
        <v>46052.424305555556</v>
      </c>
      <c r="K6" s="1">
        <v>46052.459027777775</v>
      </c>
      <c r="L6" s="1">
        <v>46052.466666666667</v>
      </c>
      <c r="M6" s="1">
        <v>46052.502083333333</v>
      </c>
      <c r="N6" s="1">
        <v>46052.527083333334</v>
      </c>
      <c r="O6">
        <v>4</v>
      </c>
      <c r="P6" t="s">
        <v>37</v>
      </c>
      <c r="Q6" t="s">
        <v>32</v>
      </c>
      <c r="R6" t="s">
        <v>66</v>
      </c>
      <c r="S6" t="s">
        <v>34</v>
      </c>
      <c r="T6">
        <v>5000</v>
      </c>
      <c r="U6" t="s">
        <v>35</v>
      </c>
      <c r="V6" t="s">
        <v>36</v>
      </c>
      <c r="W6">
        <v>1</v>
      </c>
      <c r="X6" t="s">
        <v>37</v>
      </c>
      <c r="Y6">
        <v>3</v>
      </c>
      <c r="Z6" t="s">
        <v>38</v>
      </c>
    </row>
    <row r="7" spans="1:26" hidden="1" x14ac:dyDescent="0.2">
      <c r="A7" t="s">
        <v>67</v>
      </c>
      <c r="B7" t="s">
        <v>68</v>
      </c>
      <c r="C7" s="1">
        <v>46091</v>
      </c>
      <c r="D7" t="s">
        <v>49</v>
      </c>
      <c r="E7">
        <v>30</v>
      </c>
      <c r="F7">
        <v>6.9</v>
      </c>
      <c r="G7" t="s">
        <v>57</v>
      </c>
      <c r="H7" t="s">
        <v>65</v>
      </c>
      <c r="I7" s="1">
        <v>46091.337500000001</v>
      </c>
      <c r="J7" s="1">
        <v>46091.342361111114</v>
      </c>
      <c r="K7" s="1">
        <v>46091.353472222225</v>
      </c>
      <c r="L7" s="1">
        <v>46091.359027777777</v>
      </c>
      <c r="M7" s="1">
        <v>46091.37222222222</v>
      </c>
      <c r="N7" s="1">
        <v>46091.40347222222</v>
      </c>
      <c r="O7">
        <v>2</v>
      </c>
      <c r="P7" t="s">
        <v>37</v>
      </c>
      <c r="Q7" t="s">
        <v>69</v>
      </c>
      <c r="R7" t="s">
        <v>70</v>
      </c>
      <c r="S7" t="s">
        <v>71</v>
      </c>
      <c r="T7">
        <v>2000</v>
      </c>
      <c r="U7" t="s">
        <v>35</v>
      </c>
      <c r="V7" t="s">
        <v>36</v>
      </c>
      <c r="W7">
        <v>1</v>
      </c>
      <c r="X7" t="s">
        <v>37</v>
      </c>
      <c r="Y7">
        <v>4</v>
      </c>
      <c r="Z7" t="s">
        <v>72</v>
      </c>
    </row>
    <row r="8" spans="1:26" hidden="1" x14ac:dyDescent="0.2">
      <c r="A8" t="s">
        <v>73</v>
      </c>
      <c r="B8" t="s">
        <v>74</v>
      </c>
      <c r="C8" s="1">
        <v>46055</v>
      </c>
      <c r="D8" t="s">
        <v>75</v>
      </c>
      <c r="E8">
        <v>39</v>
      </c>
      <c r="F8">
        <v>10</v>
      </c>
      <c r="G8" t="s">
        <v>76</v>
      </c>
      <c r="H8" t="s">
        <v>51</v>
      </c>
      <c r="I8" s="1">
        <v>46055.302083333336</v>
      </c>
      <c r="J8" s="1">
        <v>46055.314583333333</v>
      </c>
      <c r="K8" s="1">
        <v>46055.335416666669</v>
      </c>
      <c r="L8" s="1">
        <v>46055.348611111112</v>
      </c>
      <c r="M8" s="1">
        <v>46055.355555555558</v>
      </c>
      <c r="N8" s="1">
        <v>46055.370138888888</v>
      </c>
      <c r="O8">
        <v>5</v>
      </c>
      <c r="P8" t="s">
        <v>37</v>
      </c>
      <c r="Q8" t="s">
        <v>32</v>
      </c>
      <c r="R8" t="s">
        <v>77</v>
      </c>
      <c r="S8" t="s">
        <v>34</v>
      </c>
      <c r="T8">
        <v>5000</v>
      </c>
      <c r="U8" t="s">
        <v>35</v>
      </c>
      <c r="V8" t="s">
        <v>36</v>
      </c>
      <c r="W8">
        <v>1</v>
      </c>
      <c r="X8" t="s">
        <v>37</v>
      </c>
      <c r="Y8">
        <v>4</v>
      </c>
      <c r="Z8" t="s">
        <v>46</v>
      </c>
    </row>
    <row r="9" spans="1:26" x14ac:dyDescent="0.2">
      <c r="A9" t="s">
        <v>78</v>
      </c>
      <c r="B9" t="s">
        <v>79</v>
      </c>
      <c r="C9" s="1">
        <v>46087</v>
      </c>
      <c r="D9" t="s">
        <v>80</v>
      </c>
      <c r="E9">
        <v>28</v>
      </c>
      <c r="F9">
        <v>10.1</v>
      </c>
      <c r="G9" t="s">
        <v>81</v>
      </c>
      <c r="H9" t="s">
        <v>42</v>
      </c>
      <c r="I9" s="1">
        <v>46087.413888888892</v>
      </c>
      <c r="J9" s="1">
        <v>46087.428472222222</v>
      </c>
      <c r="K9" s="1">
        <v>46087.435416666667</v>
      </c>
      <c r="L9" s="1">
        <v>46087.445833333331</v>
      </c>
      <c r="M9" s="1">
        <v>46087.474305555559</v>
      </c>
      <c r="N9" s="1">
        <v>46087.478472222225</v>
      </c>
      <c r="O9">
        <v>1</v>
      </c>
      <c r="P9" t="s">
        <v>37</v>
      </c>
      <c r="Q9" t="s">
        <v>82</v>
      </c>
      <c r="R9" t="s">
        <v>83</v>
      </c>
      <c r="S9" t="s">
        <v>84</v>
      </c>
      <c r="T9">
        <v>4000</v>
      </c>
      <c r="U9" t="s">
        <v>35</v>
      </c>
      <c r="V9" t="s">
        <v>59</v>
      </c>
      <c r="W9">
        <v>3</v>
      </c>
      <c r="X9" t="s">
        <v>85</v>
      </c>
      <c r="Y9">
        <v>2</v>
      </c>
      <c r="Z9" t="s">
        <v>86</v>
      </c>
    </row>
    <row r="10" spans="1:26" hidden="1" x14ac:dyDescent="0.2">
      <c r="A10" t="s">
        <v>87</v>
      </c>
      <c r="B10" t="s">
        <v>88</v>
      </c>
      <c r="C10" s="1">
        <v>46033</v>
      </c>
      <c r="D10" t="s">
        <v>89</v>
      </c>
      <c r="E10">
        <v>39</v>
      </c>
      <c r="F10">
        <v>10.1</v>
      </c>
      <c r="G10" t="s">
        <v>57</v>
      </c>
      <c r="H10" t="s">
        <v>30</v>
      </c>
      <c r="I10" s="1">
        <v>46033.334027777775</v>
      </c>
      <c r="J10" s="1">
        <v>46033.349305555559</v>
      </c>
      <c r="K10" s="1">
        <v>46033.370833333334</v>
      </c>
      <c r="L10" s="1">
        <v>46033.379861111112</v>
      </c>
      <c r="M10" s="1">
        <v>46033.409722222219</v>
      </c>
      <c r="N10" s="1">
        <v>46033.439583333333</v>
      </c>
      <c r="O10">
        <v>4</v>
      </c>
      <c r="P10" t="s">
        <v>37</v>
      </c>
      <c r="Q10" t="s">
        <v>43</v>
      </c>
      <c r="R10" t="s">
        <v>90</v>
      </c>
      <c r="S10" t="s">
        <v>45</v>
      </c>
      <c r="T10">
        <v>2500</v>
      </c>
      <c r="U10" t="s">
        <v>91</v>
      </c>
      <c r="V10" t="s">
        <v>36</v>
      </c>
      <c r="W10">
        <v>1</v>
      </c>
      <c r="X10" t="s">
        <v>37</v>
      </c>
      <c r="Y10">
        <v>5</v>
      </c>
      <c r="Z10" t="s">
        <v>38</v>
      </c>
    </row>
    <row r="11" spans="1:26" x14ac:dyDescent="0.2">
      <c r="A11" t="s">
        <v>92</v>
      </c>
      <c r="B11" t="s">
        <v>93</v>
      </c>
      <c r="C11" s="1">
        <v>46074</v>
      </c>
      <c r="D11" t="s">
        <v>94</v>
      </c>
      <c r="E11">
        <v>38</v>
      </c>
      <c r="F11">
        <v>7.6</v>
      </c>
      <c r="G11" t="s">
        <v>57</v>
      </c>
      <c r="H11" t="s">
        <v>95</v>
      </c>
      <c r="I11" s="1">
        <v>46074.261111111111</v>
      </c>
      <c r="J11" s="1">
        <v>46074.271527777775</v>
      </c>
      <c r="K11" s="1">
        <v>46074.279861111114</v>
      </c>
      <c r="L11" s="1">
        <v>46074.288194444445</v>
      </c>
      <c r="M11" s="1">
        <v>46074.320833333331</v>
      </c>
      <c r="N11" s="1">
        <v>46074.334027777775</v>
      </c>
      <c r="O11">
        <v>1</v>
      </c>
      <c r="P11" t="s">
        <v>52</v>
      </c>
      <c r="Q11" t="s">
        <v>96</v>
      </c>
      <c r="R11" t="s">
        <v>97</v>
      </c>
      <c r="S11" t="s">
        <v>98</v>
      </c>
      <c r="T11">
        <v>3000</v>
      </c>
      <c r="U11" t="s">
        <v>35</v>
      </c>
      <c r="V11" t="s">
        <v>36</v>
      </c>
      <c r="W11">
        <v>1</v>
      </c>
      <c r="X11" t="s">
        <v>37</v>
      </c>
      <c r="Y11">
        <v>1</v>
      </c>
      <c r="Z11" t="s">
        <v>99</v>
      </c>
    </row>
    <row r="12" spans="1:26" hidden="1" x14ac:dyDescent="0.2">
      <c r="A12" t="s">
        <v>100</v>
      </c>
      <c r="B12" t="s">
        <v>101</v>
      </c>
      <c r="C12" s="1">
        <v>46088</v>
      </c>
      <c r="D12" t="s">
        <v>41</v>
      </c>
      <c r="E12">
        <v>18</v>
      </c>
      <c r="F12">
        <v>8.3000000000000007</v>
      </c>
      <c r="G12" t="s">
        <v>81</v>
      </c>
      <c r="H12" t="s">
        <v>65</v>
      </c>
      <c r="I12" s="1">
        <v>46088.334027777775</v>
      </c>
      <c r="J12" s="1">
        <v>46088.342361111114</v>
      </c>
      <c r="K12" s="1">
        <v>46088.390972222223</v>
      </c>
      <c r="L12" s="1">
        <v>46088.40347222222</v>
      </c>
      <c r="M12" s="1">
        <v>46088.418749999997</v>
      </c>
      <c r="N12" s="1">
        <v>46088.426388888889</v>
      </c>
      <c r="O12">
        <v>1</v>
      </c>
      <c r="P12" t="s">
        <v>37</v>
      </c>
      <c r="Q12" t="s">
        <v>96</v>
      </c>
      <c r="R12" t="s">
        <v>97</v>
      </c>
      <c r="S12" t="s">
        <v>98</v>
      </c>
      <c r="T12">
        <v>3000</v>
      </c>
      <c r="U12" t="s">
        <v>35</v>
      </c>
      <c r="V12" t="s">
        <v>36</v>
      </c>
      <c r="W12">
        <v>1</v>
      </c>
      <c r="X12" t="s">
        <v>37</v>
      </c>
      <c r="Y12">
        <v>5</v>
      </c>
      <c r="Z12" t="s">
        <v>102</v>
      </c>
    </row>
    <row r="13" spans="1:26" hidden="1" x14ac:dyDescent="0.2">
      <c r="A13" t="s">
        <v>103</v>
      </c>
      <c r="B13" t="s">
        <v>104</v>
      </c>
      <c r="C13" s="1">
        <v>46106</v>
      </c>
      <c r="D13" t="s">
        <v>105</v>
      </c>
      <c r="E13">
        <v>30</v>
      </c>
      <c r="F13">
        <v>9.8000000000000007</v>
      </c>
      <c r="G13" t="s">
        <v>29</v>
      </c>
      <c r="H13" t="s">
        <v>95</v>
      </c>
      <c r="I13" s="1">
        <v>46106.28402777778</v>
      </c>
      <c r="J13" s="1">
        <v>46106.291666666664</v>
      </c>
      <c r="K13" s="1">
        <v>46106.345833333333</v>
      </c>
      <c r="L13" s="1">
        <v>46106.359027777777</v>
      </c>
      <c r="M13" s="1">
        <v>46106.371527777781</v>
      </c>
      <c r="N13" s="1">
        <v>46106.393750000003</v>
      </c>
      <c r="O13">
        <v>2</v>
      </c>
      <c r="P13" t="s">
        <v>106</v>
      </c>
      <c r="Q13" t="s">
        <v>32</v>
      </c>
      <c r="R13" t="s">
        <v>107</v>
      </c>
      <c r="S13" t="s">
        <v>34</v>
      </c>
      <c r="T13">
        <v>5000</v>
      </c>
      <c r="U13" t="s">
        <v>35</v>
      </c>
      <c r="V13" t="s">
        <v>36</v>
      </c>
      <c r="W13">
        <v>1</v>
      </c>
      <c r="X13" t="s">
        <v>37</v>
      </c>
      <c r="Y13">
        <v>5</v>
      </c>
      <c r="Z13" t="s">
        <v>46</v>
      </c>
    </row>
    <row r="14" spans="1:26" hidden="1" x14ac:dyDescent="0.2">
      <c r="A14" t="s">
        <v>108</v>
      </c>
      <c r="B14" t="s">
        <v>109</v>
      </c>
      <c r="C14" s="1">
        <v>46035</v>
      </c>
      <c r="D14" t="s">
        <v>110</v>
      </c>
      <c r="E14">
        <v>10</v>
      </c>
      <c r="F14">
        <v>11.4</v>
      </c>
      <c r="G14" t="s">
        <v>57</v>
      </c>
      <c r="H14" t="s">
        <v>95</v>
      </c>
      <c r="I14" s="1">
        <v>46035.322222222225</v>
      </c>
      <c r="J14" s="1">
        <v>46035.336111111108</v>
      </c>
      <c r="K14" s="1">
        <v>46035.385416666664</v>
      </c>
      <c r="L14" s="1">
        <v>46035.393055555556</v>
      </c>
      <c r="M14" s="1">
        <v>46035.417361111111</v>
      </c>
      <c r="N14" s="1">
        <v>46035.42291666667</v>
      </c>
      <c r="O14">
        <v>2</v>
      </c>
      <c r="P14" t="s">
        <v>37</v>
      </c>
      <c r="Q14" t="s">
        <v>69</v>
      </c>
      <c r="R14" t="s">
        <v>111</v>
      </c>
      <c r="S14" t="s">
        <v>71</v>
      </c>
      <c r="T14">
        <v>2000</v>
      </c>
      <c r="U14" t="s">
        <v>91</v>
      </c>
      <c r="V14" t="s">
        <v>36</v>
      </c>
      <c r="W14">
        <v>1</v>
      </c>
      <c r="X14" t="s">
        <v>37</v>
      </c>
      <c r="Y14">
        <v>5</v>
      </c>
      <c r="Z14" t="s">
        <v>72</v>
      </c>
    </row>
    <row r="15" spans="1:26" hidden="1" x14ac:dyDescent="0.2">
      <c r="A15" t="s">
        <v>112</v>
      </c>
      <c r="B15" t="s">
        <v>113</v>
      </c>
      <c r="C15" s="1">
        <v>46077</v>
      </c>
      <c r="D15" t="s">
        <v>114</v>
      </c>
      <c r="E15">
        <v>14</v>
      </c>
      <c r="F15">
        <v>5.5</v>
      </c>
      <c r="G15" t="s">
        <v>57</v>
      </c>
      <c r="H15" t="s">
        <v>51</v>
      </c>
      <c r="I15" s="1">
        <v>46077.352777777778</v>
      </c>
      <c r="J15" s="1">
        <v>46077.37222222222</v>
      </c>
      <c r="K15" s="1">
        <v>46077.427083333336</v>
      </c>
      <c r="L15" s="1">
        <v>46077.431250000001</v>
      </c>
      <c r="M15" s="1">
        <v>46077.470833333333</v>
      </c>
      <c r="N15" s="1">
        <v>46077.488194444442</v>
      </c>
      <c r="O15">
        <v>1</v>
      </c>
      <c r="P15" t="s">
        <v>115</v>
      </c>
      <c r="Q15" t="s">
        <v>69</v>
      </c>
      <c r="R15" t="s">
        <v>70</v>
      </c>
      <c r="S15" t="s">
        <v>71</v>
      </c>
      <c r="T15">
        <v>2000</v>
      </c>
      <c r="U15" t="s">
        <v>35</v>
      </c>
      <c r="V15" t="s">
        <v>59</v>
      </c>
      <c r="W15">
        <v>2</v>
      </c>
      <c r="X15" t="s">
        <v>116</v>
      </c>
      <c r="Y15">
        <v>5</v>
      </c>
      <c r="Z15" t="s">
        <v>117</v>
      </c>
    </row>
    <row r="16" spans="1:26" hidden="1" x14ac:dyDescent="0.2">
      <c r="A16" t="s">
        <v>118</v>
      </c>
      <c r="B16" t="s">
        <v>119</v>
      </c>
      <c r="C16" s="1">
        <v>46031</v>
      </c>
      <c r="D16" t="s">
        <v>80</v>
      </c>
      <c r="E16">
        <v>30</v>
      </c>
      <c r="F16">
        <v>5</v>
      </c>
      <c r="G16" t="s">
        <v>81</v>
      </c>
      <c r="H16" t="s">
        <v>95</v>
      </c>
      <c r="I16" s="1">
        <v>46031.352777777778</v>
      </c>
      <c r="J16" s="1">
        <v>46031.369444444441</v>
      </c>
      <c r="K16" s="1">
        <v>46031.379861111112</v>
      </c>
      <c r="L16" s="1">
        <v>46031.384722222225</v>
      </c>
      <c r="M16" s="1">
        <v>46031.409722222219</v>
      </c>
      <c r="N16" s="1">
        <v>46031.438888888886</v>
      </c>
      <c r="O16">
        <v>5</v>
      </c>
      <c r="P16" t="s">
        <v>37</v>
      </c>
      <c r="Q16" t="s">
        <v>32</v>
      </c>
      <c r="R16" t="s">
        <v>120</v>
      </c>
      <c r="S16" t="s">
        <v>34</v>
      </c>
      <c r="T16">
        <v>5000</v>
      </c>
      <c r="U16" t="s">
        <v>91</v>
      </c>
      <c r="V16" t="s">
        <v>36</v>
      </c>
      <c r="W16">
        <v>1</v>
      </c>
      <c r="X16" t="s">
        <v>37</v>
      </c>
      <c r="Y16">
        <v>5</v>
      </c>
      <c r="Z16" t="s">
        <v>54</v>
      </c>
    </row>
    <row r="17" spans="1:26" x14ac:dyDescent="0.2">
      <c r="A17" t="s">
        <v>121</v>
      </c>
      <c r="B17" t="s">
        <v>122</v>
      </c>
      <c r="C17" s="1">
        <v>46073</v>
      </c>
      <c r="D17" t="s">
        <v>123</v>
      </c>
      <c r="E17">
        <v>25</v>
      </c>
      <c r="F17">
        <v>11.4</v>
      </c>
      <c r="G17" t="s">
        <v>29</v>
      </c>
      <c r="H17" t="s">
        <v>51</v>
      </c>
      <c r="I17" s="1">
        <v>46073.331250000003</v>
      </c>
      <c r="J17" s="1">
        <v>46073.347916666666</v>
      </c>
      <c r="K17" s="1">
        <v>46073.404861111114</v>
      </c>
      <c r="L17" s="1">
        <v>46073.410416666666</v>
      </c>
      <c r="M17" s="1">
        <v>46073.420138888891</v>
      </c>
      <c r="N17" s="1">
        <v>46073.447222222225</v>
      </c>
      <c r="O17">
        <v>2</v>
      </c>
      <c r="P17" t="s">
        <v>37</v>
      </c>
      <c r="Q17" t="s">
        <v>96</v>
      </c>
      <c r="R17" t="s">
        <v>97</v>
      </c>
      <c r="S17" t="s">
        <v>98</v>
      </c>
      <c r="T17">
        <v>3000</v>
      </c>
      <c r="U17" t="s">
        <v>35</v>
      </c>
      <c r="V17" t="s">
        <v>36</v>
      </c>
      <c r="W17">
        <v>1</v>
      </c>
      <c r="X17" t="s">
        <v>37</v>
      </c>
      <c r="Y17">
        <v>2</v>
      </c>
      <c r="Z17" t="s">
        <v>54</v>
      </c>
    </row>
    <row r="18" spans="1:26" hidden="1" x14ac:dyDescent="0.2">
      <c r="A18" t="s">
        <v>124</v>
      </c>
      <c r="B18" t="s">
        <v>125</v>
      </c>
      <c r="C18" s="1">
        <v>46059</v>
      </c>
      <c r="D18" t="s">
        <v>126</v>
      </c>
      <c r="E18">
        <v>24</v>
      </c>
      <c r="F18">
        <v>8.9</v>
      </c>
      <c r="G18" t="s">
        <v>81</v>
      </c>
      <c r="H18" t="s">
        <v>51</v>
      </c>
      <c r="I18" s="1">
        <v>46059.368055555555</v>
      </c>
      <c r="J18" s="1">
        <v>46059.383333333331</v>
      </c>
      <c r="K18" s="1">
        <v>46059.416666666664</v>
      </c>
      <c r="L18" s="1">
        <v>46059.422222222223</v>
      </c>
      <c r="M18" s="1">
        <v>46059.43472222222</v>
      </c>
      <c r="N18" s="1">
        <v>46059.449305555558</v>
      </c>
      <c r="O18">
        <v>1</v>
      </c>
      <c r="P18" t="s">
        <v>37</v>
      </c>
      <c r="Q18" t="s">
        <v>43</v>
      </c>
      <c r="R18" t="s">
        <v>44</v>
      </c>
      <c r="S18" t="s">
        <v>45</v>
      </c>
      <c r="T18">
        <v>2500</v>
      </c>
      <c r="U18" t="s">
        <v>35</v>
      </c>
      <c r="V18" t="s">
        <v>36</v>
      </c>
      <c r="W18">
        <v>1</v>
      </c>
      <c r="X18" t="s">
        <v>37</v>
      </c>
      <c r="Y18">
        <v>4</v>
      </c>
      <c r="Z18" t="s">
        <v>54</v>
      </c>
    </row>
    <row r="19" spans="1:26" hidden="1" x14ac:dyDescent="0.2">
      <c r="A19" t="s">
        <v>127</v>
      </c>
      <c r="B19" t="s">
        <v>128</v>
      </c>
      <c r="C19" s="1">
        <v>46049</v>
      </c>
      <c r="D19" t="s">
        <v>94</v>
      </c>
      <c r="E19">
        <v>36</v>
      </c>
      <c r="F19">
        <v>6</v>
      </c>
      <c r="G19" t="s">
        <v>29</v>
      </c>
      <c r="H19" t="s">
        <v>51</v>
      </c>
      <c r="I19" s="1">
        <v>46049.362500000003</v>
      </c>
      <c r="J19" s="1">
        <v>46049.375</v>
      </c>
      <c r="K19" s="1">
        <v>46049.40625</v>
      </c>
      <c r="L19" s="1">
        <v>46049.410416666666</v>
      </c>
      <c r="M19" s="1">
        <v>46049.417361111111</v>
      </c>
      <c r="N19" s="1">
        <v>46049.435416666667</v>
      </c>
      <c r="O19">
        <v>7</v>
      </c>
      <c r="P19" t="s">
        <v>129</v>
      </c>
      <c r="Q19" t="s">
        <v>96</v>
      </c>
      <c r="R19" t="s">
        <v>130</v>
      </c>
      <c r="S19" t="s">
        <v>98</v>
      </c>
      <c r="T19">
        <v>3000</v>
      </c>
      <c r="U19" t="s">
        <v>35</v>
      </c>
      <c r="V19" t="s">
        <v>36</v>
      </c>
      <c r="W19">
        <v>1</v>
      </c>
      <c r="X19" t="s">
        <v>37</v>
      </c>
      <c r="Y19">
        <v>5</v>
      </c>
      <c r="Z19" t="s">
        <v>131</v>
      </c>
    </row>
    <row r="20" spans="1:26" hidden="1" x14ac:dyDescent="0.2">
      <c r="A20" t="s">
        <v>132</v>
      </c>
      <c r="B20" t="s">
        <v>133</v>
      </c>
      <c r="C20" s="1">
        <v>46037</v>
      </c>
      <c r="D20" t="s">
        <v>89</v>
      </c>
      <c r="E20">
        <v>7</v>
      </c>
      <c r="F20">
        <v>10.7</v>
      </c>
      <c r="G20" t="s">
        <v>81</v>
      </c>
      <c r="H20" t="s">
        <v>65</v>
      </c>
      <c r="I20" s="1">
        <v>46037.275694444441</v>
      </c>
      <c r="J20" s="1">
        <v>46037.288194444445</v>
      </c>
      <c r="K20" s="1">
        <v>46037.306250000001</v>
      </c>
      <c r="L20" s="1">
        <v>46037.310416666667</v>
      </c>
      <c r="M20" s="1">
        <v>46037.330555555556</v>
      </c>
      <c r="N20" s="1">
        <v>46037.35</v>
      </c>
      <c r="O20">
        <v>7</v>
      </c>
      <c r="P20" t="s">
        <v>37</v>
      </c>
      <c r="Q20" t="s">
        <v>82</v>
      </c>
      <c r="R20" t="s">
        <v>77</v>
      </c>
      <c r="S20" t="s">
        <v>84</v>
      </c>
      <c r="T20">
        <v>4000</v>
      </c>
      <c r="U20" t="s">
        <v>35</v>
      </c>
      <c r="V20" t="s">
        <v>36</v>
      </c>
      <c r="W20">
        <v>1</v>
      </c>
      <c r="X20" t="s">
        <v>37</v>
      </c>
      <c r="Y20">
        <v>5</v>
      </c>
      <c r="Z20" t="s">
        <v>134</v>
      </c>
    </row>
    <row r="21" spans="1:26" hidden="1" x14ac:dyDescent="0.2">
      <c r="A21" t="s">
        <v>135</v>
      </c>
      <c r="B21" t="s">
        <v>136</v>
      </c>
      <c r="C21" s="1">
        <v>46068</v>
      </c>
      <c r="D21" t="s">
        <v>137</v>
      </c>
      <c r="E21">
        <v>14</v>
      </c>
      <c r="F21">
        <v>11.4</v>
      </c>
      <c r="G21" t="s">
        <v>57</v>
      </c>
      <c r="H21" t="s">
        <v>42</v>
      </c>
      <c r="I21" s="1">
        <v>46068.27847222222</v>
      </c>
      <c r="J21" s="1">
        <v>46068.299305555556</v>
      </c>
      <c r="K21" s="1">
        <v>46068.321527777778</v>
      </c>
      <c r="L21" s="1">
        <v>46068.334027777775</v>
      </c>
      <c r="M21" s="1">
        <v>46068.341666666667</v>
      </c>
      <c r="N21" s="1">
        <v>46068.352777777778</v>
      </c>
      <c r="O21">
        <v>6</v>
      </c>
      <c r="P21" t="s">
        <v>37</v>
      </c>
      <c r="Q21" t="s">
        <v>69</v>
      </c>
      <c r="R21" t="s">
        <v>70</v>
      </c>
      <c r="S21" t="s">
        <v>71</v>
      </c>
      <c r="T21">
        <v>2000</v>
      </c>
      <c r="U21" t="s">
        <v>35</v>
      </c>
      <c r="V21" t="s">
        <v>36</v>
      </c>
      <c r="W21">
        <v>1</v>
      </c>
      <c r="X21" t="s">
        <v>37</v>
      </c>
      <c r="Y21">
        <v>5</v>
      </c>
      <c r="Z21" t="s">
        <v>38</v>
      </c>
    </row>
    <row r="22" spans="1:26" x14ac:dyDescent="0.2">
      <c r="A22" t="s">
        <v>138</v>
      </c>
      <c r="B22" t="s">
        <v>139</v>
      </c>
      <c r="C22" s="1">
        <v>46057</v>
      </c>
      <c r="D22" t="s">
        <v>126</v>
      </c>
      <c r="E22">
        <v>7</v>
      </c>
      <c r="F22">
        <v>10.9</v>
      </c>
      <c r="G22" t="s">
        <v>57</v>
      </c>
      <c r="H22" t="s">
        <v>95</v>
      </c>
      <c r="I22" s="1">
        <v>46057.395138888889</v>
      </c>
      <c r="J22" s="1">
        <v>46057.408333333333</v>
      </c>
      <c r="K22" s="1">
        <v>46057.445833333331</v>
      </c>
      <c r="L22" s="1">
        <v>46057.455555555556</v>
      </c>
      <c r="M22" s="1">
        <v>46057.49722222222</v>
      </c>
      <c r="N22" s="1">
        <v>46057.510416666664</v>
      </c>
      <c r="O22">
        <v>2</v>
      </c>
      <c r="P22" t="s">
        <v>106</v>
      </c>
      <c r="Q22" t="s">
        <v>32</v>
      </c>
      <c r="R22" t="s">
        <v>140</v>
      </c>
      <c r="S22" t="s">
        <v>34</v>
      </c>
      <c r="T22">
        <v>5000</v>
      </c>
      <c r="U22" t="s">
        <v>35</v>
      </c>
      <c r="V22" t="s">
        <v>36</v>
      </c>
      <c r="W22">
        <v>1</v>
      </c>
      <c r="X22" t="s">
        <v>37</v>
      </c>
      <c r="Y22">
        <v>2</v>
      </c>
      <c r="Z22" t="s">
        <v>61</v>
      </c>
    </row>
    <row r="23" spans="1:26" hidden="1" x14ac:dyDescent="0.2">
      <c r="A23" t="s">
        <v>141</v>
      </c>
      <c r="B23" t="s">
        <v>142</v>
      </c>
      <c r="C23" s="1">
        <v>46067</v>
      </c>
      <c r="D23" t="s">
        <v>105</v>
      </c>
      <c r="E23">
        <v>39</v>
      </c>
      <c r="F23">
        <v>6.6</v>
      </c>
      <c r="G23" t="s">
        <v>29</v>
      </c>
      <c r="H23" t="s">
        <v>51</v>
      </c>
      <c r="I23" s="1">
        <v>46067.405555555553</v>
      </c>
      <c r="J23" s="1">
        <v>46067.414583333331</v>
      </c>
      <c r="K23" s="1">
        <v>46067.436805555553</v>
      </c>
      <c r="L23" s="1">
        <v>46067.445833333331</v>
      </c>
      <c r="M23" s="1">
        <v>46067.45416666667</v>
      </c>
      <c r="N23" s="1">
        <v>46067.461805555555</v>
      </c>
      <c r="O23">
        <v>5</v>
      </c>
      <c r="P23" t="s">
        <v>37</v>
      </c>
      <c r="Q23" t="s">
        <v>69</v>
      </c>
      <c r="R23" t="s">
        <v>70</v>
      </c>
      <c r="S23" t="s">
        <v>71</v>
      </c>
      <c r="T23">
        <v>2000</v>
      </c>
      <c r="U23" t="s">
        <v>35</v>
      </c>
      <c r="V23" t="s">
        <v>36</v>
      </c>
      <c r="W23">
        <v>1</v>
      </c>
      <c r="X23" t="s">
        <v>37</v>
      </c>
      <c r="Y23">
        <v>4</v>
      </c>
      <c r="Z23" t="s">
        <v>131</v>
      </c>
    </row>
    <row r="24" spans="1:26" hidden="1" x14ac:dyDescent="0.2">
      <c r="A24" t="s">
        <v>143</v>
      </c>
      <c r="B24" t="s">
        <v>144</v>
      </c>
      <c r="C24" s="1">
        <v>46072</v>
      </c>
      <c r="D24" t="s">
        <v>145</v>
      </c>
      <c r="E24">
        <v>21</v>
      </c>
      <c r="F24">
        <v>4.4000000000000004</v>
      </c>
      <c r="G24" t="s">
        <v>50</v>
      </c>
      <c r="H24" t="s">
        <v>51</v>
      </c>
      <c r="I24" s="1">
        <v>46072.342361111114</v>
      </c>
      <c r="J24" s="1">
        <v>46072.363194444442</v>
      </c>
      <c r="K24" s="1">
        <v>46072.417361111111</v>
      </c>
      <c r="L24" s="1">
        <v>46072.425000000003</v>
      </c>
      <c r="M24" s="1">
        <v>46072.447916666664</v>
      </c>
      <c r="N24" s="1">
        <v>46072.470138888886</v>
      </c>
      <c r="O24">
        <v>1</v>
      </c>
      <c r="P24" t="s">
        <v>37</v>
      </c>
      <c r="Q24" t="s">
        <v>69</v>
      </c>
      <c r="R24" t="s">
        <v>146</v>
      </c>
      <c r="S24" t="s">
        <v>71</v>
      </c>
      <c r="T24">
        <v>2000</v>
      </c>
      <c r="U24" t="s">
        <v>91</v>
      </c>
      <c r="V24" t="s">
        <v>36</v>
      </c>
      <c r="W24">
        <v>1</v>
      </c>
      <c r="X24" t="s">
        <v>37</v>
      </c>
      <c r="Y24">
        <v>5</v>
      </c>
      <c r="Z24" t="s">
        <v>117</v>
      </c>
    </row>
    <row r="25" spans="1:26" hidden="1" x14ac:dyDescent="0.2">
      <c r="A25" t="s">
        <v>147</v>
      </c>
      <c r="B25" t="s">
        <v>148</v>
      </c>
      <c r="C25" s="1">
        <v>46087</v>
      </c>
      <c r="D25" t="s">
        <v>149</v>
      </c>
      <c r="E25">
        <v>30</v>
      </c>
      <c r="F25">
        <v>9.6</v>
      </c>
      <c r="G25" t="s">
        <v>81</v>
      </c>
      <c r="H25" t="s">
        <v>95</v>
      </c>
      <c r="I25" s="1">
        <v>46087.28402777778</v>
      </c>
      <c r="J25" s="1">
        <v>46087.296527777777</v>
      </c>
      <c r="K25" s="1">
        <v>46087.336805555555</v>
      </c>
      <c r="L25" s="1">
        <v>46087.34375</v>
      </c>
      <c r="M25" s="1">
        <v>46087.37777777778</v>
      </c>
      <c r="N25" s="1">
        <v>46087.40625</v>
      </c>
      <c r="O25">
        <v>3</v>
      </c>
      <c r="P25" t="s">
        <v>37</v>
      </c>
      <c r="Q25" t="s">
        <v>43</v>
      </c>
      <c r="R25" t="s">
        <v>58</v>
      </c>
      <c r="S25" t="s">
        <v>45</v>
      </c>
      <c r="T25">
        <v>2500</v>
      </c>
      <c r="U25" t="s">
        <v>35</v>
      </c>
      <c r="V25" t="s">
        <v>36</v>
      </c>
      <c r="W25">
        <v>1</v>
      </c>
      <c r="X25" t="s">
        <v>37</v>
      </c>
      <c r="Y25">
        <v>3</v>
      </c>
      <c r="Z25" t="s">
        <v>61</v>
      </c>
    </row>
    <row r="26" spans="1:26" hidden="1" x14ac:dyDescent="0.2">
      <c r="A26" t="s">
        <v>150</v>
      </c>
      <c r="B26" t="s">
        <v>151</v>
      </c>
      <c r="C26" s="1">
        <v>46100</v>
      </c>
      <c r="D26" t="s">
        <v>105</v>
      </c>
      <c r="E26">
        <v>33</v>
      </c>
      <c r="F26">
        <v>7.5</v>
      </c>
      <c r="G26" t="s">
        <v>57</v>
      </c>
      <c r="H26" t="s">
        <v>65</v>
      </c>
      <c r="I26" s="1">
        <v>46100.334027777775</v>
      </c>
      <c r="J26" s="1">
        <v>46100.354861111111</v>
      </c>
      <c r="K26" s="1">
        <v>46100.376388888886</v>
      </c>
      <c r="L26" s="1">
        <v>46100.381249999999</v>
      </c>
      <c r="M26" s="1">
        <v>46100.400694444441</v>
      </c>
      <c r="N26" s="1">
        <v>46100.426388888889</v>
      </c>
      <c r="O26">
        <v>6</v>
      </c>
      <c r="P26" t="s">
        <v>37</v>
      </c>
      <c r="Q26" t="s">
        <v>96</v>
      </c>
      <c r="R26" t="s">
        <v>97</v>
      </c>
      <c r="S26" t="s">
        <v>98</v>
      </c>
      <c r="T26">
        <v>3000</v>
      </c>
      <c r="U26" t="s">
        <v>35</v>
      </c>
      <c r="V26" t="s">
        <v>36</v>
      </c>
      <c r="W26">
        <v>1</v>
      </c>
      <c r="X26" t="s">
        <v>37</v>
      </c>
      <c r="Y26">
        <v>5</v>
      </c>
      <c r="Z26" t="s">
        <v>134</v>
      </c>
    </row>
    <row r="27" spans="1:26" hidden="1" x14ac:dyDescent="0.2">
      <c r="A27" t="s">
        <v>152</v>
      </c>
      <c r="B27" t="s">
        <v>153</v>
      </c>
      <c r="C27" s="1">
        <v>46051</v>
      </c>
      <c r="D27" t="s">
        <v>154</v>
      </c>
      <c r="E27">
        <v>6</v>
      </c>
      <c r="F27">
        <v>4.4000000000000004</v>
      </c>
      <c r="G27" t="s">
        <v>50</v>
      </c>
      <c r="H27" t="s">
        <v>65</v>
      </c>
      <c r="I27" s="1">
        <v>46051.400694444441</v>
      </c>
      <c r="J27" s="1">
        <v>46051.42083333333</v>
      </c>
      <c r="K27" s="1">
        <v>46051.434027777781</v>
      </c>
      <c r="L27" s="1">
        <v>46051.447222222225</v>
      </c>
      <c r="M27" s="1">
        <v>46051.472222222219</v>
      </c>
      <c r="N27" s="1">
        <v>46051.503472222219</v>
      </c>
      <c r="O27">
        <v>5</v>
      </c>
      <c r="P27" t="s">
        <v>52</v>
      </c>
      <c r="Q27" t="s">
        <v>82</v>
      </c>
      <c r="R27" t="s">
        <v>83</v>
      </c>
      <c r="S27" t="s">
        <v>84</v>
      </c>
      <c r="T27">
        <v>4000</v>
      </c>
      <c r="U27" t="s">
        <v>35</v>
      </c>
      <c r="V27" t="s">
        <v>36</v>
      </c>
      <c r="W27">
        <v>1</v>
      </c>
      <c r="X27" t="s">
        <v>37</v>
      </c>
      <c r="Y27">
        <v>3</v>
      </c>
      <c r="Z27" t="s">
        <v>38</v>
      </c>
    </row>
    <row r="28" spans="1:26" hidden="1" x14ac:dyDescent="0.2">
      <c r="A28" t="s">
        <v>155</v>
      </c>
      <c r="B28" t="s">
        <v>156</v>
      </c>
      <c r="C28" s="1">
        <v>46036</v>
      </c>
      <c r="D28" t="s">
        <v>137</v>
      </c>
      <c r="E28">
        <v>16</v>
      </c>
      <c r="F28">
        <v>10.4</v>
      </c>
      <c r="G28" t="s">
        <v>81</v>
      </c>
      <c r="H28" t="s">
        <v>157</v>
      </c>
      <c r="I28" s="1">
        <v>46036.258333333331</v>
      </c>
      <c r="J28" s="1">
        <v>46036.273611111108</v>
      </c>
      <c r="K28" s="1">
        <v>46036.302083333336</v>
      </c>
      <c r="L28" s="1">
        <v>46036.307638888888</v>
      </c>
      <c r="M28" s="1">
        <v>46036.334722222222</v>
      </c>
      <c r="N28" s="1">
        <v>46036.34375</v>
      </c>
      <c r="O28">
        <v>7</v>
      </c>
      <c r="P28" t="s">
        <v>37</v>
      </c>
      <c r="Q28" t="s">
        <v>43</v>
      </c>
      <c r="R28" t="s">
        <v>158</v>
      </c>
      <c r="S28" t="s">
        <v>45</v>
      </c>
      <c r="T28">
        <v>2500</v>
      </c>
      <c r="U28" t="s">
        <v>35</v>
      </c>
      <c r="V28" t="s">
        <v>36</v>
      </c>
      <c r="W28">
        <v>1</v>
      </c>
      <c r="X28" t="s">
        <v>37</v>
      </c>
      <c r="Y28">
        <v>4</v>
      </c>
      <c r="Z28" t="s">
        <v>61</v>
      </c>
    </row>
    <row r="29" spans="1:26" hidden="1" x14ac:dyDescent="0.2">
      <c r="A29" t="s">
        <v>159</v>
      </c>
      <c r="B29" t="s">
        <v>160</v>
      </c>
      <c r="C29" s="1">
        <v>46101</v>
      </c>
      <c r="D29" t="s">
        <v>64</v>
      </c>
      <c r="E29">
        <v>40</v>
      </c>
      <c r="F29">
        <v>7.6</v>
      </c>
      <c r="G29" t="s">
        <v>57</v>
      </c>
      <c r="H29" t="s">
        <v>30</v>
      </c>
      <c r="I29" s="1">
        <v>46101.402777777781</v>
      </c>
      <c r="J29" s="1">
        <v>46101.416666666664</v>
      </c>
      <c r="K29" s="1">
        <v>46101.463194444441</v>
      </c>
      <c r="L29" s="1">
        <v>46101.472222222219</v>
      </c>
      <c r="M29" s="1">
        <v>46101.512499999997</v>
      </c>
      <c r="N29" s="1">
        <v>46101.526388888888</v>
      </c>
      <c r="O29">
        <v>7</v>
      </c>
      <c r="P29" t="s">
        <v>37</v>
      </c>
      <c r="Q29" t="s">
        <v>69</v>
      </c>
      <c r="R29" t="s">
        <v>70</v>
      </c>
      <c r="S29" t="s">
        <v>71</v>
      </c>
      <c r="T29">
        <v>2000</v>
      </c>
      <c r="U29" t="s">
        <v>35</v>
      </c>
      <c r="V29" t="s">
        <v>36</v>
      </c>
      <c r="W29">
        <v>1</v>
      </c>
      <c r="X29" t="s">
        <v>37</v>
      </c>
      <c r="Y29">
        <v>4</v>
      </c>
      <c r="Z29" t="s">
        <v>161</v>
      </c>
    </row>
    <row r="30" spans="1:26" hidden="1" x14ac:dyDescent="0.2">
      <c r="A30" t="s">
        <v>162</v>
      </c>
      <c r="B30" t="s">
        <v>163</v>
      </c>
      <c r="C30" s="1">
        <v>46032</v>
      </c>
      <c r="D30" t="s">
        <v>114</v>
      </c>
      <c r="E30">
        <v>22</v>
      </c>
      <c r="F30">
        <v>6.7</v>
      </c>
      <c r="G30" t="s">
        <v>81</v>
      </c>
      <c r="H30" t="s">
        <v>51</v>
      </c>
      <c r="I30" s="1">
        <v>46032.274305555555</v>
      </c>
      <c r="J30" s="1">
        <v>46032.280555555553</v>
      </c>
      <c r="K30" s="1">
        <v>46032.307638888888</v>
      </c>
      <c r="L30" s="1">
        <v>46032.319444444445</v>
      </c>
      <c r="M30" s="1">
        <v>46032.356944444444</v>
      </c>
      <c r="N30" s="1">
        <v>46032.366666666669</v>
      </c>
      <c r="O30">
        <v>6</v>
      </c>
      <c r="P30" t="s">
        <v>115</v>
      </c>
      <c r="Q30" t="s">
        <v>96</v>
      </c>
      <c r="R30" t="s">
        <v>164</v>
      </c>
      <c r="S30" t="s">
        <v>98</v>
      </c>
      <c r="T30">
        <v>3000</v>
      </c>
      <c r="U30" t="s">
        <v>35</v>
      </c>
      <c r="V30" t="s">
        <v>36</v>
      </c>
      <c r="W30">
        <v>1</v>
      </c>
      <c r="X30" t="s">
        <v>37</v>
      </c>
      <c r="Y30">
        <v>4</v>
      </c>
      <c r="Z30" t="s">
        <v>54</v>
      </c>
    </row>
    <row r="31" spans="1:26" hidden="1" x14ac:dyDescent="0.2">
      <c r="A31" t="s">
        <v>165</v>
      </c>
      <c r="B31" t="s">
        <v>166</v>
      </c>
      <c r="C31" s="1">
        <v>46072</v>
      </c>
      <c r="D31" t="s">
        <v>145</v>
      </c>
      <c r="E31">
        <v>29</v>
      </c>
      <c r="F31">
        <v>7.8</v>
      </c>
      <c r="G31" t="s">
        <v>76</v>
      </c>
      <c r="H31" t="s">
        <v>167</v>
      </c>
      <c r="I31" s="1">
        <v>46072.383333333331</v>
      </c>
      <c r="J31" s="1">
        <v>46072.395138888889</v>
      </c>
      <c r="K31" s="1">
        <v>46072.438888888886</v>
      </c>
      <c r="L31" s="1">
        <v>46072.447222222225</v>
      </c>
      <c r="M31" s="1">
        <v>46072.475694444445</v>
      </c>
      <c r="N31" s="1">
        <v>46072.488888888889</v>
      </c>
      <c r="O31">
        <v>3</v>
      </c>
      <c r="P31" t="s">
        <v>37</v>
      </c>
      <c r="Q31" t="s">
        <v>69</v>
      </c>
      <c r="R31" t="s">
        <v>111</v>
      </c>
      <c r="S31" t="s">
        <v>71</v>
      </c>
      <c r="T31">
        <v>2000</v>
      </c>
      <c r="U31" t="s">
        <v>35</v>
      </c>
      <c r="V31" t="s">
        <v>36</v>
      </c>
      <c r="W31">
        <v>1</v>
      </c>
      <c r="X31" t="s">
        <v>37</v>
      </c>
      <c r="Y31">
        <v>5</v>
      </c>
      <c r="Z31" t="s">
        <v>168</v>
      </c>
    </row>
    <row r="32" spans="1:26" hidden="1" x14ac:dyDescent="0.2">
      <c r="A32" t="s">
        <v>169</v>
      </c>
      <c r="B32" t="s">
        <v>170</v>
      </c>
      <c r="C32" s="1">
        <v>46082</v>
      </c>
      <c r="D32" t="s">
        <v>171</v>
      </c>
      <c r="E32">
        <v>39</v>
      </c>
      <c r="F32">
        <v>4.2</v>
      </c>
      <c r="G32" t="s">
        <v>50</v>
      </c>
      <c r="H32" t="s">
        <v>65</v>
      </c>
      <c r="I32" s="1">
        <v>46082.35</v>
      </c>
      <c r="J32" s="1">
        <v>46082.368055555555</v>
      </c>
      <c r="K32" s="1">
        <v>46082.377083333333</v>
      </c>
      <c r="L32" s="1">
        <v>46082.381944444445</v>
      </c>
      <c r="M32" s="1">
        <v>46082.417361111111</v>
      </c>
      <c r="N32" s="1">
        <v>46082.439583333333</v>
      </c>
      <c r="O32">
        <v>2</v>
      </c>
      <c r="P32" t="s">
        <v>37</v>
      </c>
      <c r="Q32" t="s">
        <v>82</v>
      </c>
      <c r="R32" t="s">
        <v>77</v>
      </c>
      <c r="S32" t="s">
        <v>84</v>
      </c>
      <c r="T32">
        <v>4000</v>
      </c>
      <c r="U32" t="s">
        <v>35</v>
      </c>
      <c r="V32" t="s">
        <v>36</v>
      </c>
      <c r="W32">
        <v>1</v>
      </c>
      <c r="X32" t="s">
        <v>37</v>
      </c>
      <c r="Y32">
        <v>4</v>
      </c>
      <c r="Z32" t="s">
        <v>72</v>
      </c>
    </row>
    <row r="33" spans="1:26" hidden="1" x14ac:dyDescent="0.2">
      <c r="A33" t="s">
        <v>172</v>
      </c>
      <c r="B33" t="s">
        <v>173</v>
      </c>
      <c r="C33" s="1">
        <v>46066</v>
      </c>
      <c r="D33" t="s">
        <v>137</v>
      </c>
      <c r="E33">
        <v>31</v>
      </c>
      <c r="F33">
        <v>6</v>
      </c>
      <c r="G33" t="s">
        <v>29</v>
      </c>
      <c r="H33" t="s">
        <v>157</v>
      </c>
      <c r="I33" s="1">
        <v>46066.25277777778</v>
      </c>
      <c r="J33" s="1">
        <v>46066.272222222222</v>
      </c>
      <c r="K33" s="1">
        <v>46066.32708333333</v>
      </c>
      <c r="L33" s="1">
        <v>46066.331250000003</v>
      </c>
      <c r="M33" s="1">
        <v>46066.353472222225</v>
      </c>
      <c r="N33" s="1">
        <v>46066.366666666669</v>
      </c>
      <c r="O33">
        <v>6</v>
      </c>
      <c r="P33" t="s">
        <v>52</v>
      </c>
      <c r="Q33" t="s">
        <v>43</v>
      </c>
      <c r="R33" t="s">
        <v>58</v>
      </c>
      <c r="S33" t="s">
        <v>45</v>
      </c>
      <c r="T33">
        <v>2500</v>
      </c>
      <c r="U33" t="s">
        <v>35</v>
      </c>
      <c r="V33" t="s">
        <v>36</v>
      </c>
      <c r="W33">
        <v>1</v>
      </c>
      <c r="X33" t="s">
        <v>37</v>
      </c>
      <c r="Y33">
        <v>3</v>
      </c>
      <c r="Z33" t="s">
        <v>46</v>
      </c>
    </row>
    <row r="34" spans="1:26" hidden="1" x14ac:dyDescent="0.2">
      <c r="A34" t="s">
        <v>174</v>
      </c>
      <c r="B34" t="s">
        <v>175</v>
      </c>
      <c r="C34" s="1">
        <v>46102</v>
      </c>
      <c r="D34" t="s">
        <v>123</v>
      </c>
      <c r="E34">
        <v>35</v>
      </c>
      <c r="F34">
        <v>9.4</v>
      </c>
      <c r="G34" t="s">
        <v>81</v>
      </c>
      <c r="H34" t="s">
        <v>95</v>
      </c>
      <c r="I34" s="1">
        <v>46102.332638888889</v>
      </c>
      <c r="J34" s="1">
        <v>46102.351388888892</v>
      </c>
      <c r="K34" s="1">
        <v>46102.380555555559</v>
      </c>
      <c r="L34" s="1">
        <v>46102.39166666667</v>
      </c>
      <c r="M34" s="1">
        <v>46102.405555555553</v>
      </c>
      <c r="N34" s="1">
        <v>46102.435416666667</v>
      </c>
      <c r="O34">
        <v>5</v>
      </c>
      <c r="P34" t="s">
        <v>37</v>
      </c>
      <c r="Q34" t="s">
        <v>82</v>
      </c>
      <c r="R34" t="s">
        <v>83</v>
      </c>
      <c r="S34" t="s">
        <v>84</v>
      </c>
      <c r="T34">
        <v>4000</v>
      </c>
      <c r="U34" t="s">
        <v>35</v>
      </c>
      <c r="V34" t="s">
        <v>36</v>
      </c>
      <c r="W34">
        <v>1</v>
      </c>
      <c r="X34" t="s">
        <v>37</v>
      </c>
      <c r="Y34">
        <v>3</v>
      </c>
      <c r="Z34" t="s">
        <v>161</v>
      </c>
    </row>
    <row r="35" spans="1:26" hidden="1" x14ac:dyDescent="0.2">
      <c r="A35" t="s">
        <v>176</v>
      </c>
      <c r="B35" t="s">
        <v>177</v>
      </c>
      <c r="C35" s="1">
        <v>46097</v>
      </c>
      <c r="D35" t="s">
        <v>178</v>
      </c>
      <c r="E35">
        <v>29</v>
      </c>
      <c r="F35">
        <v>7.2</v>
      </c>
      <c r="G35" t="s">
        <v>57</v>
      </c>
      <c r="H35" t="s">
        <v>51</v>
      </c>
      <c r="I35" s="1">
        <v>46097.354861111111</v>
      </c>
      <c r="J35" s="1">
        <v>46097.373611111114</v>
      </c>
      <c r="K35" s="1">
        <v>46097.436111111114</v>
      </c>
      <c r="L35" s="1">
        <v>46097.444444444445</v>
      </c>
      <c r="M35" s="1">
        <v>46097.455555555556</v>
      </c>
      <c r="N35" s="1">
        <v>46097.472222222219</v>
      </c>
      <c r="O35">
        <v>7</v>
      </c>
      <c r="P35" t="s">
        <v>37</v>
      </c>
      <c r="Q35" t="s">
        <v>96</v>
      </c>
      <c r="R35" t="s">
        <v>130</v>
      </c>
      <c r="S35" t="s">
        <v>98</v>
      </c>
      <c r="T35">
        <v>3000</v>
      </c>
      <c r="U35" t="s">
        <v>35</v>
      </c>
      <c r="V35" t="s">
        <v>36</v>
      </c>
      <c r="W35">
        <v>1</v>
      </c>
      <c r="X35" t="s">
        <v>37</v>
      </c>
      <c r="Y35">
        <v>4</v>
      </c>
      <c r="Z35" t="s">
        <v>102</v>
      </c>
    </row>
    <row r="36" spans="1:26" hidden="1" x14ac:dyDescent="0.2">
      <c r="A36" t="s">
        <v>179</v>
      </c>
      <c r="B36" t="s">
        <v>180</v>
      </c>
      <c r="C36" s="1">
        <v>46091</v>
      </c>
      <c r="D36" t="s">
        <v>181</v>
      </c>
      <c r="E36">
        <v>37</v>
      </c>
      <c r="F36">
        <v>9.1999999999999993</v>
      </c>
      <c r="G36" t="s">
        <v>29</v>
      </c>
      <c r="H36" t="s">
        <v>42</v>
      </c>
      <c r="I36" s="1">
        <v>46091.324305555558</v>
      </c>
      <c r="J36" s="1">
        <v>46091.338194444441</v>
      </c>
      <c r="K36" s="1">
        <v>46091.354166666664</v>
      </c>
      <c r="L36" s="1">
        <v>46091.366666666669</v>
      </c>
      <c r="M36" s="1">
        <v>46091.38958333333</v>
      </c>
      <c r="N36" s="1">
        <v>46091.42083333333</v>
      </c>
      <c r="O36">
        <v>7</v>
      </c>
      <c r="P36" t="s">
        <v>37</v>
      </c>
      <c r="Q36" t="s">
        <v>96</v>
      </c>
      <c r="R36" t="s">
        <v>90</v>
      </c>
      <c r="S36" t="s">
        <v>98</v>
      </c>
      <c r="T36">
        <v>3000</v>
      </c>
      <c r="U36" t="s">
        <v>35</v>
      </c>
      <c r="V36" t="s">
        <v>36</v>
      </c>
      <c r="W36">
        <v>1</v>
      </c>
      <c r="X36" t="s">
        <v>37</v>
      </c>
      <c r="Y36">
        <v>4</v>
      </c>
      <c r="Z36" t="s">
        <v>134</v>
      </c>
    </row>
    <row r="37" spans="1:26" x14ac:dyDescent="0.2">
      <c r="A37" t="s">
        <v>182</v>
      </c>
      <c r="B37" t="s">
        <v>183</v>
      </c>
      <c r="C37" s="1">
        <v>46101</v>
      </c>
      <c r="D37" t="s">
        <v>154</v>
      </c>
      <c r="E37">
        <v>34</v>
      </c>
      <c r="F37">
        <v>7.5</v>
      </c>
      <c r="G37" t="s">
        <v>81</v>
      </c>
      <c r="H37" t="s">
        <v>167</v>
      </c>
      <c r="I37" s="1">
        <v>46101.306944444441</v>
      </c>
      <c r="J37" s="1">
        <v>46101.31527777778</v>
      </c>
      <c r="K37" s="1">
        <v>46101.329861111109</v>
      </c>
      <c r="L37" s="1">
        <v>46101.338888888888</v>
      </c>
      <c r="M37" s="1">
        <v>46101.365277777775</v>
      </c>
      <c r="N37" s="1">
        <v>46101.379166666666</v>
      </c>
      <c r="O37">
        <v>7</v>
      </c>
      <c r="P37" t="s">
        <v>37</v>
      </c>
      <c r="Q37" t="s">
        <v>69</v>
      </c>
      <c r="R37" t="s">
        <v>70</v>
      </c>
      <c r="S37" t="s">
        <v>71</v>
      </c>
      <c r="T37">
        <v>2000</v>
      </c>
      <c r="U37" t="s">
        <v>35</v>
      </c>
      <c r="V37" t="s">
        <v>36</v>
      </c>
      <c r="W37">
        <v>1</v>
      </c>
      <c r="X37" t="s">
        <v>37</v>
      </c>
      <c r="Y37">
        <v>1</v>
      </c>
      <c r="Z37" t="s">
        <v>46</v>
      </c>
    </row>
    <row r="38" spans="1:26" hidden="1" x14ac:dyDescent="0.2">
      <c r="A38" t="s">
        <v>184</v>
      </c>
      <c r="B38" t="s">
        <v>185</v>
      </c>
      <c r="C38" s="1">
        <v>46046</v>
      </c>
      <c r="D38" t="s">
        <v>186</v>
      </c>
      <c r="E38">
        <v>21</v>
      </c>
      <c r="F38">
        <v>6.7</v>
      </c>
      <c r="G38" t="s">
        <v>81</v>
      </c>
      <c r="H38" t="s">
        <v>30</v>
      </c>
      <c r="I38" s="1">
        <v>46046.40625</v>
      </c>
      <c r="J38" s="1">
        <v>46046.415277777778</v>
      </c>
      <c r="K38" s="1">
        <v>46046.47152777778</v>
      </c>
      <c r="L38" s="1">
        <v>46046.474999999999</v>
      </c>
      <c r="M38" s="1">
        <v>46046.504861111112</v>
      </c>
      <c r="N38" s="1">
        <v>46046.51666666667</v>
      </c>
      <c r="O38">
        <v>1</v>
      </c>
      <c r="P38" t="s">
        <v>115</v>
      </c>
      <c r="Q38" t="s">
        <v>82</v>
      </c>
      <c r="R38" t="s">
        <v>33</v>
      </c>
      <c r="S38" t="s">
        <v>84</v>
      </c>
      <c r="T38">
        <v>4000</v>
      </c>
      <c r="U38" t="s">
        <v>35</v>
      </c>
      <c r="V38" t="s">
        <v>36</v>
      </c>
      <c r="W38">
        <v>1</v>
      </c>
      <c r="X38" t="s">
        <v>37</v>
      </c>
      <c r="Y38">
        <v>5</v>
      </c>
      <c r="Z38" t="s">
        <v>134</v>
      </c>
    </row>
    <row r="39" spans="1:26" hidden="1" x14ac:dyDescent="0.2">
      <c r="A39" t="s">
        <v>187</v>
      </c>
      <c r="B39" t="s">
        <v>188</v>
      </c>
      <c r="C39" s="1">
        <v>46080</v>
      </c>
      <c r="D39" t="s">
        <v>154</v>
      </c>
      <c r="E39">
        <v>23</v>
      </c>
      <c r="F39">
        <v>5.8</v>
      </c>
      <c r="G39" t="s">
        <v>57</v>
      </c>
      <c r="H39" t="s">
        <v>167</v>
      </c>
      <c r="I39" s="1">
        <v>46080.367361111108</v>
      </c>
      <c r="J39" s="1">
        <v>46080.383333333331</v>
      </c>
      <c r="K39" s="1">
        <v>46080.42291666667</v>
      </c>
      <c r="L39" s="1">
        <v>46080.436805555553</v>
      </c>
      <c r="M39" s="1">
        <v>46080.468055555553</v>
      </c>
      <c r="N39" s="1">
        <v>46080.494444444441</v>
      </c>
      <c r="O39">
        <v>3</v>
      </c>
      <c r="P39" t="s">
        <v>37</v>
      </c>
      <c r="Q39" t="s">
        <v>32</v>
      </c>
      <c r="R39" t="s">
        <v>77</v>
      </c>
      <c r="S39" t="s">
        <v>34</v>
      </c>
      <c r="T39">
        <v>5000</v>
      </c>
      <c r="U39" t="s">
        <v>35</v>
      </c>
      <c r="V39" t="s">
        <v>36</v>
      </c>
      <c r="W39">
        <v>1</v>
      </c>
      <c r="X39" t="s">
        <v>37</v>
      </c>
      <c r="Y39">
        <v>5</v>
      </c>
      <c r="Z39" t="s">
        <v>161</v>
      </c>
    </row>
    <row r="40" spans="1:26" hidden="1" x14ac:dyDescent="0.2">
      <c r="A40" t="s">
        <v>189</v>
      </c>
      <c r="B40" t="s">
        <v>190</v>
      </c>
      <c r="C40" s="1">
        <v>46055</v>
      </c>
      <c r="D40" t="s">
        <v>41</v>
      </c>
      <c r="E40">
        <v>25</v>
      </c>
      <c r="F40">
        <v>5</v>
      </c>
      <c r="G40" t="s">
        <v>81</v>
      </c>
      <c r="H40" t="s">
        <v>42</v>
      </c>
      <c r="I40" s="1">
        <v>46055.37222222222</v>
      </c>
      <c r="J40" s="1">
        <v>46055.379166666666</v>
      </c>
      <c r="K40" s="1">
        <v>46055.402777777781</v>
      </c>
      <c r="L40" s="1">
        <v>46055.410416666666</v>
      </c>
      <c r="M40" s="1">
        <v>46055.45</v>
      </c>
      <c r="N40" s="1">
        <v>46055.474305555559</v>
      </c>
      <c r="O40">
        <v>3</v>
      </c>
      <c r="P40" t="s">
        <v>37</v>
      </c>
      <c r="Q40" t="s">
        <v>32</v>
      </c>
      <c r="R40" t="s">
        <v>120</v>
      </c>
      <c r="S40" t="s">
        <v>34</v>
      </c>
      <c r="T40">
        <v>5000</v>
      </c>
      <c r="U40" t="s">
        <v>91</v>
      </c>
      <c r="V40" t="s">
        <v>36</v>
      </c>
      <c r="W40">
        <v>1</v>
      </c>
      <c r="X40" t="s">
        <v>37</v>
      </c>
      <c r="Y40">
        <v>4</v>
      </c>
      <c r="Z40" t="s">
        <v>117</v>
      </c>
    </row>
    <row r="41" spans="1:26" hidden="1" x14ac:dyDescent="0.2">
      <c r="A41" t="s">
        <v>191</v>
      </c>
      <c r="B41" t="s">
        <v>192</v>
      </c>
      <c r="C41" s="1">
        <v>46060</v>
      </c>
      <c r="D41" t="s">
        <v>41</v>
      </c>
      <c r="E41">
        <v>24</v>
      </c>
      <c r="F41">
        <v>4.0999999999999996</v>
      </c>
      <c r="G41" t="s">
        <v>81</v>
      </c>
      <c r="H41" t="s">
        <v>95</v>
      </c>
      <c r="I41" s="1">
        <v>46060.298611111109</v>
      </c>
      <c r="J41" s="1">
        <v>46060.302777777775</v>
      </c>
      <c r="K41" s="1">
        <v>46060.313888888886</v>
      </c>
      <c r="L41" s="1">
        <v>46060.323611111111</v>
      </c>
      <c r="M41" s="1">
        <v>46060.361111111109</v>
      </c>
      <c r="N41" s="1">
        <v>46060.370138888888</v>
      </c>
      <c r="O41">
        <v>6</v>
      </c>
      <c r="P41" t="s">
        <v>37</v>
      </c>
      <c r="Q41" t="s">
        <v>96</v>
      </c>
      <c r="R41" t="s">
        <v>164</v>
      </c>
      <c r="S41" t="s">
        <v>98</v>
      </c>
      <c r="T41">
        <v>3000</v>
      </c>
      <c r="U41" t="s">
        <v>35</v>
      </c>
      <c r="V41" t="s">
        <v>59</v>
      </c>
      <c r="W41">
        <v>3</v>
      </c>
      <c r="X41" t="s">
        <v>193</v>
      </c>
      <c r="Y41">
        <v>4</v>
      </c>
      <c r="Z41" t="s">
        <v>99</v>
      </c>
    </row>
    <row r="42" spans="1:26" hidden="1" x14ac:dyDescent="0.2">
      <c r="A42" t="s">
        <v>194</v>
      </c>
      <c r="B42" t="s">
        <v>195</v>
      </c>
      <c r="C42" s="1">
        <v>46029</v>
      </c>
      <c r="D42" t="s">
        <v>49</v>
      </c>
      <c r="E42">
        <v>9</v>
      </c>
      <c r="F42">
        <v>7.2</v>
      </c>
      <c r="G42" t="s">
        <v>29</v>
      </c>
      <c r="H42" t="s">
        <v>65</v>
      </c>
      <c r="I42" s="1">
        <v>46029.361805555556</v>
      </c>
      <c r="J42" s="1">
        <v>46029.379861111112</v>
      </c>
      <c r="K42" s="1">
        <v>46029.390972222223</v>
      </c>
      <c r="L42" s="1">
        <v>46029.397222222222</v>
      </c>
      <c r="M42" s="1">
        <v>46029.410416666666</v>
      </c>
      <c r="N42" s="1">
        <v>46029.438888888886</v>
      </c>
      <c r="O42">
        <v>3</v>
      </c>
      <c r="P42" t="s">
        <v>106</v>
      </c>
      <c r="Q42" t="s">
        <v>43</v>
      </c>
      <c r="R42" t="s">
        <v>90</v>
      </c>
      <c r="S42" t="s">
        <v>45</v>
      </c>
      <c r="T42">
        <v>2500</v>
      </c>
      <c r="U42" t="s">
        <v>35</v>
      </c>
      <c r="V42" t="s">
        <v>36</v>
      </c>
      <c r="W42">
        <v>1</v>
      </c>
      <c r="X42" t="s">
        <v>37</v>
      </c>
      <c r="Y42">
        <v>4</v>
      </c>
      <c r="Z42" t="s">
        <v>61</v>
      </c>
    </row>
    <row r="43" spans="1:26" hidden="1" x14ac:dyDescent="0.2">
      <c r="A43" t="s">
        <v>196</v>
      </c>
      <c r="B43" t="s">
        <v>197</v>
      </c>
      <c r="C43" s="1">
        <v>46051</v>
      </c>
      <c r="D43" t="s">
        <v>137</v>
      </c>
      <c r="E43">
        <v>33</v>
      </c>
      <c r="F43">
        <v>11.3</v>
      </c>
      <c r="G43" t="s">
        <v>76</v>
      </c>
      <c r="H43" t="s">
        <v>42</v>
      </c>
      <c r="I43" s="1">
        <v>46051.354166666664</v>
      </c>
      <c r="J43" s="1">
        <v>46051.366666666669</v>
      </c>
      <c r="K43" s="1">
        <v>46051.400694444441</v>
      </c>
      <c r="L43" s="1">
        <v>46051.404861111114</v>
      </c>
      <c r="M43" s="1">
        <v>46051.438888888886</v>
      </c>
      <c r="N43" s="1">
        <v>46051.446527777778</v>
      </c>
      <c r="O43">
        <v>7</v>
      </c>
      <c r="P43" t="s">
        <v>106</v>
      </c>
      <c r="Q43" t="s">
        <v>69</v>
      </c>
      <c r="R43" t="s">
        <v>70</v>
      </c>
      <c r="S43" t="s">
        <v>71</v>
      </c>
      <c r="T43">
        <v>2000</v>
      </c>
      <c r="U43" t="s">
        <v>35</v>
      </c>
      <c r="V43" t="s">
        <v>36</v>
      </c>
      <c r="W43">
        <v>1</v>
      </c>
      <c r="X43" t="s">
        <v>37</v>
      </c>
      <c r="Y43">
        <v>3</v>
      </c>
      <c r="Z43" t="s">
        <v>131</v>
      </c>
    </row>
    <row r="44" spans="1:26" hidden="1" x14ac:dyDescent="0.2">
      <c r="A44" t="s">
        <v>198</v>
      </c>
      <c r="B44" t="s">
        <v>199</v>
      </c>
      <c r="C44" s="1">
        <v>46043</v>
      </c>
      <c r="D44" t="s">
        <v>178</v>
      </c>
      <c r="E44">
        <v>35</v>
      </c>
      <c r="F44">
        <v>6.3</v>
      </c>
      <c r="G44" t="s">
        <v>57</v>
      </c>
      <c r="H44" t="s">
        <v>167</v>
      </c>
      <c r="I44" s="1">
        <v>46043.375</v>
      </c>
      <c r="J44" s="1">
        <v>46043.384722222225</v>
      </c>
      <c r="K44" s="1">
        <v>46043.431944444441</v>
      </c>
      <c r="L44" s="1">
        <v>46043.436805555553</v>
      </c>
      <c r="M44" s="1">
        <v>46043.473611111112</v>
      </c>
      <c r="N44" s="1">
        <v>46043.486805555556</v>
      </c>
      <c r="O44">
        <v>3</v>
      </c>
      <c r="P44" t="s">
        <v>37</v>
      </c>
      <c r="Q44" t="s">
        <v>43</v>
      </c>
      <c r="R44" t="s">
        <v>200</v>
      </c>
      <c r="S44" t="s">
        <v>45</v>
      </c>
      <c r="T44">
        <v>2500</v>
      </c>
      <c r="U44" t="s">
        <v>35</v>
      </c>
      <c r="V44" t="s">
        <v>36</v>
      </c>
      <c r="W44">
        <v>1</v>
      </c>
      <c r="X44" t="s">
        <v>37</v>
      </c>
      <c r="Y44">
        <v>5</v>
      </c>
      <c r="Z44" t="s">
        <v>168</v>
      </c>
    </row>
    <row r="45" spans="1:26" x14ac:dyDescent="0.2">
      <c r="A45" t="s">
        <v>201</v>
      </c>
      <c r="B45" t="s">
        <v>202</v>
      </c>
      <c r="C45" s="1">
        <v>46092</v>
      </c>
      <c r="D45" t="s">
        <v>41</v>
      </c>
      <c r="E45">
        <v>14</v>
      </c>
      <c r="F45">
        <v>4.5999999999999996</v>
      </c>
      <c r="G45" t="s">
        <v>57</v>
      </c>
      <c r="H45" t="s">
        <v>42</v>
      </c>
      <c r="I45" s="1">
        <v>46092.304166666669</v>
      </c>
      <c r="J45" s="1">
        <v>46092.320833333331</v>
      </c>
      <c r="K45" s="1">
        <v>46092.37777777778</v>
      </c>
      <c r="L45" s="1">
        <v>46092.387499999997</v>
      </c>
      <c r="M45" s="1">
        <v>46092.413888888892</v>
      </c>
      <c r="N45" s="1">
        <v>46092.422222222223</v>
      </c>
      <c r="O45">
        <v>4</v>
      </c>
      <c r="P45" t="s">
        <v>37</v>
      </c>
      <c r="Q45" t="s">
        <v>82</v>
      </c>
      <c r="R45" t="s">
        <v>33</v>
      </c>
      <c r="S45" t="s">
        <v>84</v>
      </c>
      <c r="T45">
        <v>4000</v>
      </c>
      <c r="U45" t="s">
        <v>35</v>
      </c>
      <c r="V45" t="s">
        <v>59</v>
      </c>
      <c r="W45">
        <v>4</v>
      </c>
      <c r="X45" t="s">
        <v>193</v>
      </c>
      <c r="Y45">
        <v>2</v>
      </c>
      <c r="Z45" t="s">
        <v>102</v>
      </c>
    </row>
    <row r="46" spans="1:26" hidden="1" x14ac:dyDescent="0.2">
      <c r="A46" t="s">
        <v>203</v>
      </c>
      <c r="B46" t="s">
        <v>204</v>
      </c>
      <c r="C46" s="1">
        <v>46064</v>
      </c>
      <c r="D46" t="s">
        <v>80</v>
      </c>
      <c r="E46">
        <v>10</v>
      </c>
      <c r="F46">
        <v>5.8</v>
      </c>
      <c r="G46" t="s">
        <v>81</v>
      </c>
      <c r="H46" t="s">
        <v>65</v>
      </c>
      <c r="I46" s="1">
        <v>46064.253472222219</v>
      </c>
      <c r="J46" s="1">
        <v>46064.273611111108</v>
      </c>
      <c r="K46" s="1">
        <v>46064.304166666669</v>
      </c>
      <c r="L46" s="1">
        <v>46064.308333333334</v>
      </c>
      <c r="M46" s="1">
        <v>46064.348611111112</v>
      </c>
      <c r="N46" s="1">
        <v>46064.359722222223</v>
      </c>
      <c r="O46">
        <v>4</v>
      </c>
      <c r="P46" t="s">
        <v>37</v>
      </c>
      <c r="Q46" t="s">
        <v>96</v>
      </c>
      <c r="R46" t="s">
        <v>90</v>
      </c>
      <c r="S46" t="s">
        <v>98</v>
      </c>
      <c r="T46">
        <v>3000</v>
      </c>
      <c r="U46" t="s">
        <v>35</v>
      </c>
      <c r="V46" t="s">
        <v>36</v>
      </c>
      <c r="W46">
        <v>1</v>
      </c>
      <c r="X46" t="s">
        <v>37</v>
      </c>
      <c r="Y46">
        <v>5</v>
      </c>
      <c r="Z46" t="s">
        <v>168</v>
      </c>
    </row>
    <row r="47" spans="1:26" hidden="1" x14ac:dyDescent="0.2">
      <c r="A47" t="s">
        <v>205</v>
      </c>
      <c r="B47" t="s">
        <v>206</v>
      </c>
      <c r="C47" s="1">
        <v>46085</v>
      </c>
      <c r="D47" t="s">
        <v>89</v>
      </c>
      <c r="E47">
        <v>31</v>
      </c>
      <c r="F47">
        <v>6.7</v>
      </c>
      <c r="G47" t="s">
        <v>29</v>
      </c>
      <c r="H47" t="s">
        <v>42</v>
      </c>
      <c r="I47" s="1">
        <v>46085.27847222222</v>
      </c>
      <c r="J47" s="1">
        <v>46085.288888888892</v>
      </c>
      <c r="K47" s="1">
        <v>46085.331944444442</v>
      </c>
      <c r="L47" s="1">
        <v>46085.345833333333</v>
      </c>
      <c r="M47" s="1">
        <v>46085.365277777775</v>
      </c>
      <c r="N47" s="1">
        <v>46085.386111111111</v>
      </c>
      <c r="O47">
        <v>7</v>
      </c>
      <c r="P47" t="s">
        <v>37</v>
      </c>
      <c r="Q47" t="s">
        <v>43</v>
      </c>
      <c r="R47" t="s">
        <v>58</v>
      </c>
      <c r="S47" t="s">
        <v>45</v>
      </c>
      <c r="T47">
        <v>2500</v>
      </c>
      <c r="U47" t="s">
        <v>35</v>
      </c>
      <c r="V47" t="s">
        <v>36</v>
      </c>
      <c r="W47">
        <v>1</v>
      </c>
      <c r="X47" t="s">
        <v>37</v>
      </c>
      <c r="Y47">
        <v>3</v>
      </c>
      <c r="Z47" t="s">
        <v>117</v>
      </c>
    </row>
    <row r="48" spans="1:26" hidden="1" x14ac:dyDescent="0.2">
      <c r="A48" t="s">
        <v>207</v>
      </c>
      <c r="B48" t="s">
        <v>208</v>
      </c>
      <c r="C48" s="1">
        <v>46088</v>
      </c>
      <c r="D48" t="s">
        <v>64</v>
      </c>
      <c r="E48">
        <v>31</v>
      </c>
      <c r="F48">
        <v>4.4000000000000004</v>
      </c>
      <c r="G48" t="s">
        <v>81</v>
      </c>
      <c r="H48" t="s">
        <v>167</v>
      </c>
      <c r="I48" s="1">
        <v>46088.36041666667</v>
      </c>
      <c r="J48" s="1">
        <v>46088.380555555559</v>
      </c>
      <c r="K48" s="1">
        <v>46088.431250000001</v>
      </c>
      <c r="L48" s="1">
        <v>46088.444444444445</v>
      </c>
      <c r="M48" s="1">
        <v>46088.484722222223</v>
      </c>
      <c r="N48" s="1">
        <v>46088.490277777775</v>
      </c>
      <c r="O48">
        <v>2</v>
      </c>
      <c r="P48" t="s">
        <v>106</v>
      </c>
      <c r="Q48" t="s">
        <v>32</v>
      </c>
      <c r="R48" t="s">
        <v>53</v>
      </c>
      <c r="S48" t="s">
        <v>34</v>
      </c>
      <c r="T48">
        <v>5000</v>
      </c>
      <c r="U48" t="s">
        <v>91</v>
      </c>
      <c r="V48" t="s">
        <v>36</v>
      </c>
      <c r="W48">
        <v>1</v>
      </c>
      <c r="X48" t="s">
        <v>37</v>
      </c>
      <c r="Y48">
        <v>5</v>
      </c>
      <c r="Z48" t="s">
        <v>117</v>
      </c>
    </row>
    <row r="49" spans="1:26" hidden="1" x14ac:dyDescent="0.2">
      <c r="A49" t="s">
        <v>209</v>
      </c>
      <c r="B49" t="s">
        <v>210</v>
      </c>
      <c r="C49" s="1">
        <v>46103</v>
      </c>
      <c r="D49" t="s">
        <v>80</v>
      </c>
      <c r="E49">
        <v>15</v>
      </c>
      <c r="F49">
        <v>6.5</v>
      </c>
      <c r="G49" t="s">
        <v>29</v>
      </c>
      <c r="H49" t="s">
        <v>65</v>
      </c>
      <c r="I49" s="1">
        <v>46103.322222222225</v>
      </c>
      <c r="J49" s="1">
        <v>46103.32708333333</v>
      </c>
      <c r="K49" s="1">
        <v>46103.353472222225</v>
      </c>
      <c r="L49" s="1">
        <v>46103.359027777777</v>
      </c>
      <c r="M49" s="1">
        <v>46103.386111111111</v>
      </c>
      <c r="N49" s="1">
        <v>46103.394444444442</v>
      </c>
      <c r="O49">
        <v>6</v>
      </c>
      <c r="P49" t="s">
        <v>37</v>
      </c>
      <c r="Q49" t="s">
        <v>82</v>
      </c>
      <c r="R49" t="s">
        <v>211</v>
      </c>
      <c r="S49" t="s">
        <v>84</v>
      </c>
      <c r="T49">
        <v>4000</v>
      </c>
      <c r="U49" t="s">
        <v>35</v>
      </c>
      <c r="V49" t="s">
        <v>36</v>
      </c>
      <c r="W49">
        <v>1</v>
      </c>
      <c r="X49" t="s">
        <v>37</v>
      </c>
      <c r="Y49">
        <v>4</v>
      </c>
      <c r="Z49" t="s">
        <v>161</v>
      </c>
    </row>
    <row r="50" spans="1:26" hidden="1" x14ac:dyDescent="0.2">
      <c r="A50" t="s">
        <v>212</v>
      </c>
      <c r="B50" t="s">
        <v>213</v>
      </c>
      <c r="C50" s="1">
        <v>46084</v>
      </c>
      <c r="D50" t="s">
        <v>186</v>
      </c>
      <c r="E50">
        <v>40</v>
      </c>
      <c r="F50">
        <v>5.2</v>
      </c>
      <c r="G50" t="s">
        <v>57</v>
      </c>
      <c r="H50" t="s">
        <v>65</v>
      </c>
      <c r="I50" s="1">
        <v>46084.340277777781</v>
      </c>
      <c r="J50" s="1">
        <v>46084.359722222223</v>
      </c>
      <c r="K50" s="1">
        <v>46084.378472222219</v>
      </c>
      <c r="L50" s="1">
        <v>46084.383333333331</v>
      </c>
      <c r="M50" s="1">
        <v>46084.402083333334</v>
      </c>
      <c r="N50" s="1">
        <v>46084.423611111109</v>
      </c>
      <c r="O50">
        <v>3</v>
      </c>
      <c r="P50" t="s">
        <v>37</v>
      </c>
      <c r="Q50" t="s">
        <v>82</v>
      </c>
      <c r="R50" t="s">
        <v>214</v>
      </c>
      <c r="S50" t="s">
        <v>84</v>
      </c>
      <c r="T50">
        <v>4000</v>
      </c>
      <c r="U50" t="s">
        <v>35</v>
      </c>
      <c r="V50" t="s">
        <v>59</v>
      </c>
      <c r="W50">
        <v>3</v>
      </c>
      <c r="X50" t="s">
        <v>60</v>
      </c>
      <c r="Y50">
        <v>4</v>
      </c>
      <c r="Z50" t="s">
        <v>215</v>
      </c>
    </row>
    <row r="51" spans="1:26" x14ac:dyDescent="0.2">
      <c r="A51" t="s">
        <v>216</v>
      </c>
      <c r="B51" t="s">
        <v>217</v>
      </c>
      <c r="C51" s="1">
        <v>46107</v>
      </c>
      <c r="D51" t="s">
        <v>186</v>
      </c>
      <c r="E51">
        <v>39</v>
      </c>
      <c r="F51">
        <v>7.9</v>
      </c>
      <c r="G51" t="s">
        <v>76</v>
      </c>
      <c r="H51" t="s">
        <v>65</v>
      </c>
      <c r="I51" s="1">
        <v>46107.385416666664</v>
      </c>
      <c r="J51" s="1">
        <v>46107.400694444441</v>
      </c>
      <c r="K51" s="1">
        <v>46107.440972222219</v>
      </c>
      <c r="L51" s="1">
        <v>46107.45416666667</v>
      </c>
      <c r="M51" s="1">
        <v>46107.474999999999</v>
      </c>
      <c r="N51" s="1">
        <v>46107.486805555556</v>
      </c>
      <c r="O51">
        <v>6</v>
      </c>
      <c r="P51" t="s">
        <v>115</v>
      </c>
      <c r="Q51" t="s">
        <v>82</v>
      </c>
      <c r="R51" t="s">
        <v>214</v>
      </c>
      <c r="S51" t="s">
        <v>84</v>
      </c>
      <c r="T51">
        <v>4000</v>
      </c>
      <c r="U51" t="s">
        <v>35</v>
      </c>
      <c r="V51" t="s">
        <v>36</v>
      </c>
      <c r="W51">
        <v>1</v>
      </c>
      <c r="X51" t="s">
        <v>37</v>
      </c>
      <c r="Y51">
        <v>1</v>
      </c>
      <c r="Z51" t="s">
        <v>38</v>
      </c>
    </row>
    <row r="52" spans="1:26" hidden="1" x14ac:dyDescent="0.2">
      <c r="A52" t="s">
        <v>218</v>
      </c>
      <c r="B52" t="s">
        <v>219</v>
      </c>
      <c r="C52" s="1">
        <v>46071</v>
      </c>
      <c r="D52" t="s">
        <v>220</v>
      </c>
      <c r="E52">
        <v>7</v>
      </c>
      <c r="F52">
        <v>5</v>
      </c>
      <c r="G52" t="s">
        <v>81</v>
      </c>
      <c r="H52" t="s">
        <v>167</v>
      </c>
      <c r="I52" s="1">
        <v>46071.404166666667</v>
      </c>
      <c r="J52" s="1">
        <v>46071.409722222219</v>
      </c>
      <c r="K52" s="1">
        <v>46071.455555555556</v>
      </c>
      <c r="L52" s="1">
        <v>46071.461111111108</v>
      </c>
      <c r="M52" s="1">
        <v>46071.490972222222</v>
      </c>
      <c r="N52" s="1">
        <v>46071.51458333333</v>
      </c>
      <c r="O52">
        <v>1</v>
      </c>
      <c r="P52" t="s">
        <v>37</v>
      </c>
      <c r="Q52" t="s">
        <v>82</v>
      </c>
      <c r="R52" t="s">
        <v>214</v>
      </c>
      <c r="S52" t="s">
        <v>84</v>
      </c>
      <c r="T52">
        <v>4000</v>
      </c>
      <c r="U52" t="s">
        <v>35</v>
      </c>
      <c r="V52" t="s">
        <v>36</v>
      </c>
      <c r="W52">
        <v>1</v>
      </c>
      <c r="X52" t="s">
        <v>37</v>
      </c>
      <c r="Y52">
        <v>3</v>
      </c>
      <c r="Z52" t="s">
        <v>72</v>
      </c>
    </row>
    <row r="53" spans="1:26" hidden="1" x14ac:dyDescent="0.2">
      <c r="A53" t="s">
        <v>221</v>
      </c>
      <c r="B53" t="s">
        <v>222</v>
      </c>
      <c r="C53" s="1">
        <v>46066</v>
      </c>
      <c r="D53" t="s">
        <v>80</v>
      </c>
      <c r="E53">
        <v>26</v>
      </c>
      <c r="F53">
        <v>10.8</v>
      </c>
      <c r="G53" t="s">
        <v>81</v>
      </c>
      <c r="H53" t="s">
        <v>157</v>
      </c>
      <c r="I53" s="1">
        <v>46066.306250000001</v>
      </c>
      <c r="J53" s="1">
        <v>46066.323611111111</v>
      </c>
      <c r="K53" s="1">
        <v>46066.373611111114</v>
      </c>
      <c r="L53" s="1">
        <v>46066.37777777778</v>
      </c>
      <c r="M53" s="1">
        <v>46066.411805555559</v>
      </c>
      <c r="N53" s="1">
        <v>46066.418055555558</v>
      </c>
      <c r="O53">
        <v>2</v>
      </c>
      <c r="P53" t="s">
        <v>37</v>
      </c>
      <c r="Q53" t="s">
        <v>43</v>
      </c>
      <c r="R53" t="s">
        <v>90</v>
      </c>
      <c r="S53" t="s">
        <v>45</v>
      </c>
      <c r="T53">
        <v>2500</v>
      </c>
      <c r="U53" t="s">
        <v>91</v>
      </c>
      <c r="V53" t="s">
        <v>59</v>
      </c>
      <c r="W53">
        <v>1</v>
      </c>
      <c r="X53" t="s">
        <v>193</v>
      </c>
      <c r="Y53">
        <v>5</v>
      </c>
      <c r="Z53" t="s">
        <v>61</v>
      </c>
    </row>
    <row r="54" spans="1:26" hidden="1" x14ac:dyDescent="0.2">
      <c r="A54" t="s">
        <v>223</v>
      </c>
      <c r="B54" t="s">
        <v>224</v>
      </c>
      <c r="C54" s="1">
        <v>46035</v>
      </c>
      <c r="D54" t="s">
        <v>225</v>
      </c>
      <c r="E54">
        <v>24</v>
      </c>
      <c r="F54">
        <v>11.2</v>
      </c>
      <c r="G54" t="s">
        <v>29</v>
      </c>
      <c r="H54" t="s">
        <v>167</v>
      </c>
      <c r="I54" s="1">
        <v>46035.390972222223</v>
      </c>
      <c r="J54" s="1">
        <v>46035.395138888889</v>
      </c>
      <c r="K54" s="1">
        <v>46035.427777777775</v>
      </c>
      <c r="L54" s="1">
        <v>46035.438888888886</v>
      </c>
      <c r="M54" s="1">
        <v>46035.461805555555</v>
      </c>
      <c r="N54" s="1">
        <v>46035.484027777777</v>
      </c>
      <c r="O54">
        <v>2</v>
      </c>
      <c r="P54" t="s">
        <v>115</v>
      </c>
      <c r="Q54" t="s">
        <v>82</v>
      </c>
      <c r="R54" t="s">
        <v>211</v>
      </c>
      <c r="S54" t="s">
        <v>84</v>
      </c>
      <c r="T54">
        <v>4000</v>
      </c>
      <c r="U54" t="s">
        <v>35</v>
      </c>
      <c r="V54" t="s">
        <v>36</v>
      </c>
      <c r="W54">
        <v>1</v>
      </c>
      <c r="X54" t="s">
        <v>37</v>
      </c>
      <c r="Y54">
        <v>3</v>
      </c>
      <c r="Z54" t="s">
        <v>117</v>
      </c>
    </row>
    <row r="55" spans="1:26" hidden="1" x14ac:dyDescent="0.2">
      <c r="A55" t="s">
        <v>226</v>
      </c>
      <c r="B55" t="s">
        <v>227</v>
      </c>
      <c r="C55" s="1">
        <v>46071</v>
      </c>
      <c r="D55" t="s">
        <v>80</v>
      </c>
      <c r="E55">
        <v>14</v>
      </c>
      <c r="F55">
        <v>5.9</v>
      </c>
      <c r="G55" t="s">
        <v>76</v>
      </c>
      <c r="H55" t="s">
        <v>157</v>
      </c>
      <c r="I55" s="1">
        <v>46071.295138888891</v>
      </c>
      <c r="J55" s="1">
        <v>46071.313194444447</v>
      </c>
      <c r="K55" s="1">
        <v>46071.320833333331</v>
      </c>
      <c r="L55" s="1">
        <v>46071.334027777775</v>
      </c>
      <c r="M55" s="1">
        <v>46071.353472222225</v>
      </c>
      <c r="N55" s="1">
        <v>46071.380555555559</v>
      </c>
      <c r="O55">
        <v>2</v>
      </c>
      <c r="P55" t="s">
        <v>129</v>
      </c>
      <c r="Q55" t="s">
        <v>82</v>
      </c>
      <c r="R55" t="s">
        <v>214</v>
      </c>
      <c r="S55" t="s">
        <v>84</v>
      </c>
      <c r="T55">
        <v>4000</v>
      </c>
      <c r="U55" t="s">
        <v>91</v>
      </c>
      <c r="V55" t="s">
        <v>36</v>
      </c>
      <c r="W55">
        <v>1</v>
      </c>
      <c r="X55" t="s">
        <v>37</v>
      </c>
      <c r="Y55">
        <v>5</v>
      </c>
      <c r="Z55" t="s">
        <v>38</v>
      </c>
    </row>
    <row r="56" spans="1:26" hidden="1" x14ac:dyDescent="0.2">
      <c r="A56" t="s">
        <v>228</v>
      </c>
      <c r="B56" t="s">
        <v>229</v>
      </c>
      <c r="C56" s="1">
        <v>46081</v>
      </c>
      <c r="D56" t="s">
        <v>230</v>
      </c>
      <c r="E56">
        <v>29</v>
      </c>
      <c r="F56">
        <v>10.8</v>
      </c>
      <c r="G56" t="s">
        <v>29</v>
      </c>
      <c r="H56" t="s">
        <v>95</v>
      </c>
      <c r="I56" s="1">
        <v>46081.317361111112</v>
      </c>
      <c r="J56" s="1">
        <v>46081.333333333336</v>
      </c>
      <c r="K56" s="1">
        <v>46081.371527777781</v>
      </c>
      <c r="L56" s="1">
        <v>46081.381249999999</v>
      </c>
      <c r="M56" s="1">
        <v>46081.418749999997</v>
      </c>
      <c r="N56" s="1">
        <v>46081.43472222222</v>
      </c>
      <c r="O56">
        <v>1</v>
      </c>
      <c r="P56" t="s">
        <v>37</v>
      </c>
      <c r="Q56" t="s">
        <v>96</v>
      </c>
      <c r="R56" t="s">
        <v>164</v>
      </c>
      <c r="S56" t="s">
        <v>98</v>
      </c>
      <c r="T56">
        <v>3000</v>
      </c>
      <c r="U56" t="s">
        <v>35</v>
      </c>
      <c r="V56" t="s">
        <v>36</v>
      </c>
      <c r="W56">
        <v>1</v>
      </c>
      <c r="X56" t="s">
        <v>37</v>
      </c>
      <c r="Y56">
        <v>4</v>
      </c>
      <c r="Z56" t="s">
        <v>134</v>
      </c>
    </row>
    <row r="57" spans="1:26" hidden="1" x14ac:dyDescent="0.2">
      <c r="A57" t="s">
        <v>231</v>
      </c>
      <c r="B57" t="s">
        <v>232</v>
      </c>
      <c r="C57" s="1">
        <v>46100</v>
      </c>
      <c r="D57" t="s">
        <v>233</v>
      </c>
      <c r="E57">
        <v>19</v>
      </c>
      <c r="F57">
        <v>8.9</v>
      </c>
      <c r="G57" t="s">
        <v>76</v>
      </c>
      <c r="H57" t="s">
        <v>95</v>
      </c>
      <c r="I57" s="1">
        <v>46100.362500000003</v>
      </c>
      <c r="J57" s="1">
        <v>46100.370138888888</v>
      </c>
      <c r="K57" s="1">
        <v>46100.431944444441</v>
      </c>
      <c r="L57" s="1">
        <v>46100.440972222219</v>
      </c>
      <c r="M57" s="1">
        <v>46100.477777777778</v>
      </c>
      <c r="N57" s="1">
        <v>46100.486805555556</v>
      </c>
      <c r="O57">
        <v>6</v>
      </c>
      <c r="P57" t="s">
        <v>52</v>
      </c>
      <c r="Q57" t="s">
        <v>43</v>
      </c>
      <c r="R57" t="s">
        <v>58</v>
      </c>
      <c r="S57" t="s">
        <v>45</v>
      </c>
      <c r="T57">
        <v>2500</v>
      </c>
      <c r="U57" t="s">
        <v>35</v>
      </c>
      <c r="V57" t="s">
        <v>36</v>
      </c>
      <c r="W57">
        <v>1</v>
      </c>
      <c r="X57" t="s">
        <v>37</v>
      </c>
      <c r="Y57">
        <v>4</v>
      </c>
      <c r="Z57" t="s">
        <v>215</v>
      </c>
    </row>
    <row r="58" spans="1:26" hidden="1" x14ac:dyDescent="0.2">
      <c r="A58" t="s">
        <v>234</v>
      </c>
      <c r="B58" t="s">
        <v>235</v>
      </c>
      <c r="C58" s="1">
        <v>46039</v>
      </c>
      <c r="D58" t="s">
        <v>89</v>
      </c>
      <c r="E58">
        <v>31</v>
      </c>
      <c r="F58">
        <v>5.4</v>
      </c>
      <c r="G58" t="s">
        <v>57</v>
      </c>
      <c r="H58" t="s">
        <v>42</v>
      </c>
      <c r="I58" s="1">
        <v>46039.345833333333</v>
      </c>
      <c r="J58" s="1">
        <v>46039.356944444444</v>
      </c>
      <c r="K58" s="1">
        <v>46039.410416666666</v>
      </c>
      <c r="L58" s="1">
        <v>46039.419444444444</v>
      </c>
      <c r="M58" s="1">
        <v>46039.433333333334</v>
      </c>
      <c r="N58" s="1">
        <v>46039.447916666664</v>
      </c>
      <c r="O58">
        <v>7</v>
      </c>
      <c r="P58" t="s">
        <v>37</v>
      </c>
      <c r="Q58" t="s">
        <v>96</v>
      </c>
      <c r="R58" t="s">
        <v>214</v>
      </c>
      <c r="S58" t="s">
        <v>98</v>
      </c>
      <c r="T58">
        <v>3000</v>
      </c>
      <c r="U58" t="s">
        <v>91</v>
      </c>
      <c r="V58" t="s">
        <v>36</v>
      </c>
      <c r="W58">
        <v>1</v>
      </c>
      <c r="X58" t="s">
        <v>37</v>
      </c>
      <c r="Y58">
        <v>5</v>
      </c>
      <c r="Z58" t="s">
        <v>61</v>
      </c>
    </row>
    <row r="59" spans="1:26" hidden="1" x14ac:dyDescent="0.2">
      <c r="A59" t="s">
        <v>236</v>
      </c>
      <c r="B59" t="s">
        <v>237</v>
      </c>
      <c r="C59" s="1">
        <v>46082</v>
      </c>
      <c r="D59" t="s">
        <v>89</v>
      </c>
      <c r="E59">
        <v>19</v>
      </c>
      <c r="F59">
        <v>10.9</v>
      </c>
      <c r="G59" t="s">
        <v>50</v>
      </c>
      <c r="H59" t="s">
        <v>42</v>
      </c>
      <c r="I59" s="1">
        <v>46082.392361111109</v>
      </c>
      <c r="J59" s="1">
        <v>46082.407638888886</v>
      </c>
      <c r="K59" s="1">
        <v>46082.446527777778</v>
      </c>
      <c r="L59" s="1">
        <v>46082.451388888891</v>
      </c>
      <c r="M59" s="1">
        <v>46082.493055555555</v>
      </c>
      <c r="N59" s="1">
        <v>46082.513888888891</v>
      </c>
      <c r="O59">
        <v>1</v>
      </c>
      <c r="P59" t="s">
        <v>238</v>
      </c>
      <c r="Q59" t="s">
        <v>82</v>
      </c>
      <c r="R59" t="s">
        <v>239</v>
      </c>
      <c r="S59" t="s">
        <v>84</v>
      </c>
      <c r="T59">
        <v>4000</v>
      </c>
      <c r="U59" t="s">
        <v>35</v>
      </c>
      <c r="V59" t="s">
        <v>36</v>
      </c>
      <c r="W59">
        <v>1</v>
      </c>
      <c r="X59" t="s">
        <v>37</v>
      </c>
      <c r="Y59">
        <v>5</v>
      </c>
      <c r="Z59" t="s">
        <v>215</v>
      </c>
    </row>
    <row r="60" spans="1:26" hidden="1" x14ac:dyDescent="0.2">
      <c r="A60" t="s">
        <v>240</v>
      </c>
      <c r="B60" t="s">
        <v>241</v>
      </c>
      <c r="C60" s="1">
        <v>46104</v>
      </c>
      <c r="D60" t="s">
        <v>242</v>
      </c>
      <c r="E60">
        <v>35</v>
      </c>
      <c r="F60">
        <v>4.2</v>
      </c>
      <c r="G60" t="s">
        <v>81</v>
      </c>
      <c r="H60" t="s">
        <v>167</v>
      </c>
      <c r="I60" s="1">
        <v>46104.412499999999</v>
      </c>
      <c r="J60" s="1">
        <v>46104.429166666669</v>
      </c>
      <c r="K60" s="1">
        <v>46104.455555555556</v>
      </c>
      <c r="L60" s="1">
        <v>46104.460416666669</v>
      </c>
      <c r="M60" s="1">
        <v>46104.495138888888</v>
      </c>
      <c r="N60" s="1">
        <v>46104.518750000003</v>
      </c>
      <c r="O60">
        <v>6</v>
      </c>
      <c r="P60" t="s">
        <v>37</v>
      </c>
      <c r="Q60" t="s">
        <v>32</v>
      </c>
      <c r="R60" t="s">
        <v>120</v>
      </c>
      <c r="S60" t="s">
        <v>34</v>
      </c>
      <c r="T60">
        <v>5000</v>
      </c>
      <c r="U60" t="s">
        <v>35</v>
      </c>
      <c r="V60" t="s">
        <v>36</v>
      </c>
      <c r="W60">
        <v>1</v>
      </c>
      <c r="X60" t="s">
        <v>37</v>
      </c>
      <c r="Y60">
        <v>5</v>
      </c>
      <c r="Z60" t="s">
        <v>161</v>
      </c>
    </row>
    <row r="61" spans="1:26" hidden="1" x14ac:dyDescent="0.2">
      <c r="A61" t="s">
        <v>243</v>
      </c>
      <c r="B61" t="s">
        <v>244</v>
      </c>
      <c r="C61" s="1">
        <v>46037</v>
      </c>
      <c r="D61" t="s">
        <v>28</v>
      </c>
      <c r="E61">
        <v>13</v>
      </c>
      <c r="F61">
        <v>7.1</v>
      </c>
      <c r="G61" t="s">
        <v>76</v>
      </c>
      <c r="H61" t="s">
        <v>30</v>
      </c>
      <c r="I61" s="1">
        <v>46037.381944444445</v>
      </c>
      <c r="J61" s="1">
        <v>46037.400694444441</v>
      </c>
      <c r="K61" s="1">
        <v>46037.455555555556</v>
      </c>
      <c r="L61" s="1">
        <v>46037.468055555553</v>
      </c>
      <c r="M61" s="1">
        <v>46037.500694444447</v>
      </c>
      <c r="N61" s="1">
        <v>46037.510416666664</v>
      </c>
      <c r="O61">
        <v>4</v>
      </c>
      <c r="P61" t="s">
        <v>37</v>
      </c>
      <c r="Q61" t="s">
        <v>82</v>
      </c>
      <c r="R61" t="s">
        <v>77</v>
      </c>
      <c r="S61" t="s">
        <v>84</v>
      </c>
      <c r="T61">
        <v>4000</v>
      </c>
      <c r="U61" t="s">
        <v>35</v>
      </c>
      <c r="V61" t="s">
        <v>36</v>
      </c>
      <c r="W61">
        <v>1</v>
      </c>
      <c r="X61" t="s">
        <v>37</v>
      </c>
      <c r="Y61">
        <v>5</v>
      </c>
      <c r="Z61" t="s">
        <v>161</v>
      </c>
    </row>
    <row r="62" spans="1:26" hidden="1" x14ac:dyDescent="0.2">
      <c r="A62" t="s">
        <v>245</v>
      </c>
      <c r="B62" t="s">
        <v>246</v>
      </c>
      <c r="C62" s="1">
        <v>46111</v>
      </c>
      <c r="D62" t="s">
        <v>242</v>
      </c>
      <c r="E62">
        <v>33</v>
      </c>
      <c r="F62">
        <v>11.6</v>
      </c>
      <c r="G62" t="s">
        <v>76</v>
      </c>
      <c r="H62" t="s">
        <v>51</v>
      </c>
      <c r="I62" s="1">
        <v>46111.371527777781</v>
      </c>
      <c r="J62" s="1">
        <v>46111.382638888892</v>
      </c>
      <c r="K62" s="1">
        <v>46111.4375</v>
      </c>
      <c r="L62" s="1">
        <v>46111.448611111111</v>
      </c>
      <c r="M62" s="1">
        <v>46111.457638888889</v>
      </c>
      <c r="N62" s="1">
        <v>46111.478472222225</v>
      </c>
      <c r="O62">
        <v>3</v>
      </c>
      <c r="P62" t="s">
        <v>238</v>
      </c>
      <c r="Q62" t="s">
        <v>82</v>
      </c>
      <c r="R62" t="s">
        <v>214</v>
      </c>
      <c r="S62" t="s">
        <v>84</v>
      </c>
      <c r="T62">
        <v>4000</v>
      </c>
      <c r="U62" t="s">
        <v>91</v>
      </c>
      <c r="V62" t="s">
        <v>59</v>
      </c>
      <c r="W62">
        <v>1</v>
      </c>
      <c r="X62" t="s">
        <v>60</v>
      </c>
      <c r="Y62">
        <v>3</v>
      </c>
      <c r="Z62" t="s">
        <v>134</v>
      </c>
    </row>
    <row r="63" spans="1:26" hidden="1" x14ac:dyDescent="0.2">
      <c r="A63" t="s">
        <v>247</v>
      </c>
      <c r="B63" t="s">
        <v>248</v>
      </c>
      <c r="C63" s="1">
        <v>46025</v>
      </c>
      <c r="D63" t="s">
        <v>110</v>
      </c>
      <c r="E63">
        <v>13</v>
      </c>
      <c r="F63">
        <v>10.3</v>
      </c>
      <c r="G63" t="s">
        <v>57</v>
      </c>
      <c r="H63" t="s">
        <v>51</v>
      </c>
      <c r="I63" s="1">
        <v>46025.397222222222</v>
      </c>
      <c r="J63" s="1">
        <v>46025.417361111111</v>
      </c>
      <c r="K63" s="1">
        <v>46025.472916666666</v>
      </c>
      <c r="L63" s="1">
        <v>46025.480555555558</v>
      </c>
      <c r="M63" s="1">
        <v>46025.513194444444</v>
      </c>
      <c r="N63" s="1">
        <v>46025.525694444441</v>
      </c>
      <c r="O63">
        <v>7</v>
      </c>
      <c r="P63" t="s">
        <v>37</v>
      </c>
      <c r="Q63" t="s">
        <v>96</v>
      </c>
      <c r="R63" t="s">
        <v>164</v>
      </c>
      <c r="S63" t="s">
        <v>98</v>
      </c>
      <c r="T63">
        <v>3000</v>
      </c>
      <c r="U63" t="s">
        <v>35</v>
      </c>
      <c r="V63" t="s">
        <v>36</v>
      </c>
      <c r="W63">
        <v>1</v>
      </c>
      <c r="X63" t="s">
        <v>37</v>
      </c>
      <c r="Y63">
        <v>5</v>
      </c>
      <c r="Z63" t="s">
        <v>102</v>
      </c>
    </row>
    <row r="64" spans="1:26" x14ac:dyDescent="0.2">
      <c r="A64" t="s">
        <v>249</v>
      </c>
      <c r="B64" t="s">
        <v>250</v>
      </c>
      <c r="C64" s="1">
        <v>46041</v>
      </c>
      <c r="D64" t="s">
        <v>123</v>
      </c>
      <c r="E64">
        <v>16</v>
      </c>
      <c r="F64">
        <v>4.9000000000000004</v>
      </c>
      <c r="G64" t="s">
        <v>29</v>
      </c>
      <c r="H64" t="s">
        <v>95</v>
      </c>
      <c r="I64" s="1">
        <v>46041.252083333333</v>
      </c>
      <c r="J64" s="1">
        <v>46041.263194444444</v>
      </c>
      <c r="K64" s="1">
        <v>46041.290972222225</v>
      </c>
      <c r="L64" s="1">
        <v>46041.301388888889</v>
      </c>
      <c r="M64" s="1">
        <v>46041.309027777781</v>
      </c>
      <c r="N64" s="1">
        <v>46041.320138888892</v>
      </c>
      <c r="O64">
        <v>3</v>
      </c>
      <c r="P64" t="s">
        <v>52</v>
      </c>
      <c r="Q64" t="s">
        <v>69</v>
      </c>
      <c r="R64" t="s">
        <v>251</v>
      </c>
      <c r="S64" t="s">
        <v>71</v>
      </c>
      <c r="T64">
        <v>2000</v>
      </c>
      <c r="U64" t="s">
        <v>35</v>
      </c>
      <c r="V64" t="s">
        <v>36</v>
      </c>
      <c r="W64">
        <v>1</v>
      </c>
      <c r="X64" t="s">
        <v>37</v>
      </c>
      <c r="Y64">
        <v>2</v>
      </c>
      <c r="Z64" t="s">
        <v>72</v>
      </c>
    </row>
    <row r="65" spans="1:26" x14ac:dyDescent="0.2">
      <c r="A65" t="s">
        <v>252</v>
      </c>
      <c r="B65" t="s">
        <v>253</v>
      </c>
      <c r="C65" s="1">
        <v>46088</v>
      </c>
      <c r="D65" t="s">
        <v>254</v>
      </c>
      <c r="E65">
        <v>37</v>
      </c>
      <c r="F65">
        <v>5.8</v>
      </c>
      <c r="G65" t="s">
        <v>81</v>
      </c>
      <c r="H65" t="s">
        <v>51</v>
      </c>
      <c r="I65" s="1">
        <v>46088.379166666666</v>
      </c>
      <c r="J65" s="1">
        <v>46088.4</v>
      </c>
      <c r="K65" s="1">
        <v>46088.452777777777</v>
      </c>
      <c r="L65" s="1">
        <v>46088.462500000001</v>
      </c>
      <c r="M65" s="1">
        <v>46088.489583333336</v>
      </c>
      <c r="N65" s="1">
        <v>46088.493750000001</v>
      </c>
      <c r="O65">
        <v>1</v>
      </c>
      <c r="P65" t="s">
        <v>37</v>
      </c>
      <c r="Q65" t="s">
        <v>32</v>
      </c>
      <c r="R65" t="s">
        <v>53</v>
      </c>
      <c r="S65" t="s">
        <v>34</v>
      </c>
      <c r="T65">
        <v>5000</v>
      </c>
      <c r="U65" t="s">
        <v>35</v>
      </c>
      <c r="V65" t="s">
        <v>36</v>
      </c>
      <c r="W65">
        <v>1</v>
      </c>
      <c r="X65" t="s">
        <v>37</v>
      </c>
      <c r="Y65">
        <v>2</v>
      </c>
      <c r="Z65" t="s">
        <v>38</v>
      </c>
    </row>
    <row r="66" spans="1:26" hidden="1" x14ac:dyDescent="0.2">
      <c r="A66" t="s">
        <v>255</v>
      </c>
      <c r="B66" t="s">
        <v>256</v>
      </c>
      <c r="C66" s="1">
        <v>46032</v>
      </c>
      <c r="D66" t="s">
        <v>145</v>
      </c>
      <c r="E66">
        <v>14</v>
      </c>
      <c r="F66">
        <v>4.5</v>
      </c>
      <c r="G66" t="s">
        <v>76</v>
      </c>
      <c r="H66" t="s">
        <v>65</v>
      </c>
      <c r="I66" s="1">
        <v>46032.362500000003</v>
      </c>
      <c r="J66" s="1">
        <v>46032.378472222219</v>
      </c>
      <c r="K66" s="1">
        <v>46032.434027777781</v>
      </c>
      <c r="L66" s="1">
        <v>46032.444444444445</v>
      </c>
      <c r="M66" s="1">
        <v>46032.468055555553</v>
      </c>
      <c r="N66" s="1">
        <v>46032.497916666667</v>
      </c>
      <c r="O66">
        <v>5</v>
      </c>
      <c r="P66" t="s">
        <v>37</v>
      </c>
      <c r="Q66" t="s">
        <v>32</v>
      </c>
      <c r="R66" t="s">
        <v>66</v>
      </c>
      <c r="S66" t="s">
        <v>34</v>
      </c>
      <c r="T66">
        <v>5000</v>
      </c>
      <c r="U66" t="s">
        <v>35</v>
      </c>
      <c r="V66" t="s">
        <v>36</v>
      </c>
      <c r="W66">
        <v>1</v>
      </c>
      <c r="X66" t="s">
        <v>37</v>
      </c>
      <c r="Y66">
        <v>5</v>
      </c>
      <c r="Z66" t="s">
        <v>117</v>
      </c>
    </row>
    <row r="67" spans="1:26" hidden="1" x14ac:dyDescent="0.2">
      <c r="A67" t="s">
        <v>257</v>
      </c>
      <c r="B67" t="s">
        <v>258</v>
      </c>
      <c r="C67" s="1">
        <v>46106</v>
      </c>
      <c r="D67" t="s">
        <v>145</v>
      </c>
      <c r="E67">
        <v>32</v>
      </c>
      <c r="F67">
        <v>7.6</v>
      </c>
      <c r="G67" t="s">
        <v>57</v>
      </c>
      <c r="H67" t="s">
        <v>157</v>
      </c>
      <c r="I67" s="1">
        <v>46106.30972222222</v>
      </c>
      <c r="J67" s="1">
        <v>46106.322916666664</v>
      </c>
      <c r="K67" s="1">
        <v>46106.365277777775</v>
      </c>
      <c r="L67" s="1">
        <v>46106.37777777778</v>
      </c>
      <c r="M67" s="1">
        <v>46106.416666666664</v>
      </c>
      <c r="N67" s="1">
        <v>46106.424305555556</v>
      </c>
      <c r="O67">
        <v>3</v>
      </c>
      <c r="P67" t="s">
        <v>37</v>
      </c>
      <c r="Q67" t="s">
        <v>69</v>
      </c>
      <c r="R67" t="s">
        <v>146</v>
      </c>
      <c r="S67" t="s">
        <v>71</v>
      </c>
      <c r="T67">
        <v>2000</v>
      </c>
      <c r="U67" t="s">
        <v>35</v>
      </c>
      <c r="V67" t="s">
        <v>36</v>
      </c>
      <c r="W67">
        <v>1</v>
      </c>
      <c r="X67" t="s">
        <v>37</v>
      </c>
      <c r="Y67">
        <v>3</v>
      </c>
      <c r="Z67" t="s">
        <v>86</v>
      </c>
    </row>
    <row r="68" spans="1:26" hidden="1" x14ac:dyDescent="0.2">
      <c r="A68" t="s">
        <v>259</v>
      </c>
      <c r="B68" t="s">
        <v>260</v>
      </c>
      <c r="C68" s="1">
        <v>46031</v>
      </c>
      <c r="D68" t="s">
        <v>89</v>
      </c>
      <c r="E68">
        <v>32</v>
      </c>
      <c r="F68">
        <v>4.8</v>
      </c>
      <c r="G68" t="s">
        <v>76</v>
      </c>
      <c r="H68" t="s">
        <v>42</v>
      </c>
      <c r="I68" s="1">
        <v>46031.272916666669</v>
      </c>
      <c r="J68" s="1">
        <v>46031.288194444445</v>
      </c>
      <c r="K68" s="1">
        <v>46031.3</v>
      </c>
      <c r="L68" s="1">
        <v>46031.310416666667</v>
      </c>
      <c r="M68" s="1">
        <v>46031.34652777778</v>
      </c>
      <c r="N68" s="1">
        <v>46031.354861111111</v>
      </c>
      <c r="O68">
        <v>4</v>
      </c>
      <c r="P68" t="s">
        <v>37</v>
      </c>
      <c r="Q68" t="s">
        <v>32</v>
      </c>
      <c r="R68" t="s">
        <v>77</v>
      </c>
      <c r="S68" t="s">
        <v>34</v>
      </c>
      <c r="T68">
        <v>5000</v>
      </c>
      <c r="U68" t="s">
        <v>35</v>
      </c>
      <c r="V68" t="s">
        <v>36</v>
      </c>
      <c r="W68">
        <v>1</v>
      </c>
      <c r="X68" t="s">
        <v>37</v>
      </c>
      <c r="Y68">
        <v>5</v>
      </c>
      <c r="Z68" t="s">
        <v>38</v>
      </c>
    </row>
    <row r="69" spans="1:26" hidden="1" x14ac:dyDescent="0.2">
      <c r="A69" t="s">
        <v>261</v>
      </c>
      <c r="B69" t="s">
        <v>262</v>
      </c>
      <c r="C69" s="1">
        <v>46059</v>
      </c>
      <c r="D69" t="s">
        <v>80</v>
      </c>
      <c r="E69">
        <v>11</v>
      </c>
      <c r="F69">
        <v>8.6</v>
      </c>
      <c r="G69" t="s">
        <v>57</v>
      </c>
      <c r="H69" t="s">
        <v>95</v>
      </c>
      <c r="I69" s="1">
        <v>46059.366666666669</v>
      </c>
      <c r="J69" s="1">
        <v>46059.380555555559</v>
      </c>
      <c r="K69" s="1">
        <v>46059.406944444447</v>
      </c>
      <c r="L69" s="1">
        <v>46059.412499999999</v>
      </c>
      <c r="M69" s="1">
        <v>46059.43472222222</v>
      </c>
      <c r="N69" s="1">
        <v>46059.462500000001</v>
      </c>
      <c r="O69">
        <v>3</v>
      </c>
      <c r="P69" t="s">
        <v>129</v>
      </c>
      <c r="Q69" t="s">
        <v>96</v>
      </c>
      <c r="R69" t="s">
        <v>214</v>
      </c>
      <c r="S69" t="s">
        <v>98</v>
      </c>
      <c r="T69">
        <v>3000</v>
      </c>
      <c r="U69" t="s">
        <v>35</v>
      </c>
      <c r="V69" t="s">
        <v>36</v>
      </c>
      <c r="W69">
        <v>1</v>
      </c>
      <c r="X69" t="s">
        <v>37</v>
      </c>
      <c r="Y69">
        <v>5</v>
      </c>
      <c r="Z69" t="s">
        <v>61</v>
      </c>
    </row>
    <row r="70" spans="1:26" hidden="1" x14ac:dyDescent="0.2">
      <c r="A70" t="s">
        <v>263</v>
      </c>
      <c r="B70" t="s">
        <v>264</v>
      </c>
      <c r="C70" s="1">
        <v>46101</v>
      </c>
      <c r="D70" t="s">
        <v>94</v>
      </c>
      <c r="E70">
        <v>22</v>
      </c>
      <c r="F70">
        <v>4.2</v>
      </c>
      <c r="G70" t="s">
        <v>76</v>
      </c>
      <c r="H70" t="s">
        <v>30</v>
      </c>
      <c r="I70" s="1">
        <v>46101.385416666664</v>
      </c>
      <c r="J70" s="1">
        <v>46101.395138888889</v>
      </c>
      <c r="K70" s="1">
        <v>46101.431944444441</v>
      </c>
      <c r="L70" s="1">
        <v>46101.443055555559</v>
      </c>
      <c r="M70" s="1">
        <v>46101.45</v>
      </c>
      <c r="N70" s="1">
        <v>46101.461111111108</v>
      </c>
      <c r="O70">
        <v>7</v>
      </c>
      <c r="P70" t="s">
        <v>52</v>
      </c>
      <c r="Q70" t="s">
        <v>69</v>
      </c>
      <c r="R70" t="s">
        <v>111</v>
      </c>
      <c r="S70" t="s">
        <v>71</v>
      </c>
      <c r="T70">
        <v>2000</v>
      </c>
      <c r="U70" t="s">
        <v>35</v>
      </c>
      <c r="V70" t="s">
        <v>36</v>
      </c>
      <c r="W70">
        <v>1</v>
      </c>
      <c r="X70" t="s">
        <v>37</v>
      </c>
      <c r="Y70">
        <v>5</v>
      </c>
      <c r="Z70" t="s">
        <v>102</v>
      </c>
    </row>
    <row r="71" spans="1:26" hidden="1" x14ac:dyDescent="0.2">
      <c r="A71" t="s">
        <v>265</v>
      </c>
      <c r="B71" t="s">
        <v>266</v>
      </c>
      <c r="C71" s="1">
        <v>46090</v>
      </c>
      <c r="D71" t="s">
        <v>267</v>
      </c>
      <c r="E71">
        <v>34</v>
      </c>
      <c r="F71">
        <v>6.7</v>
      </c>
      <c r="G71" t="s">
        <v>76</v>
      </c>
      <c r="H71" t="s">
        <v>167</v>
      </c>
      <c r="I71" s="1">
        <v>46090.37777777778</v>
      </c>
      <c r="J71" s="1">
        <v>46090.388194444444</v>
      </c>
      <c r="K71" s="1">
        <v>46090.445138888892</v>
      </c>
      <c r="L71" s="1">
        <v>46090.45</v>
      </c>
      <c r="M71" s="1">
        <v>46090.459027777775</v>
      </c>
      <c r="N71" s="1">
        <v>46090.46875</v>
      </c>
      <c r="O71">
        <v>2</v>
      </c>
      <c r="P71" t="s">
        <v>37</v>
      </c>
      <c r="Q71" t="s">
        <v>43</v>
      </c>
      <c r="R71" t="s">
        <v>200</v>
      </c>
      <c r="S71" t="s">
        <v>45</v>
      </c>
      <c r="T71">
        <v>2500</v>
      </c>
      <c r="U71" t="s">
        <v>35</v>
      </c>
      <c r="V71" t="s">
        <v>36</v>
      </c>
      <c r="W71">
        <v>1</v>
      </c>
      <c r="X71" t="s">
        <v>37</v>
      </c>
      <c r="Y71">
        <v>4</v>
      </c>
      <c r="Z71" t="s">
        <v>168</v>
      </c>
    </row>
    <row r="72" spans="1:26" hidden="1" x14ac:dyDescent="0.2">
      <c r="A72" t="s">
        <v>268</v>
      </c>
      <c r="B72" t="s">
        <v>269</v>
      </c>
      <c r="C72" s="1">
        <v>46100</v>
      </c>
      <c r="D72" t="s">
        <v>225</v>
      </c>
      <c r="E72">
        <v>18</v>
      </c>
      <c r="F72">
        <v>10</v>
      </c>
      <c r="G72" t="s">
        <v>29</v>
      </c>
      <c r="H72" t="s">
        <v>167</v>
      </c>
      <c r="I72" s="1">
        <v>46100.326388888891</v>
      </c>
      <c r="J72" s="1">
        <v>46100.331944444442</v>
      </c>
      <c r="K72" s="1">
        <v>46100.363888888889</v>
      </c>
      <c r="L72" s="1">
        <v>46100.37777777778</v>
      </c>
      <c r="M72" s="1">
        <v>46100.407638888886</v>
      </c>
      <c r="N72" s="1">
        <v>46100.424305555556</v>
      </c>
      <c r="O72">
        <v>1</v>
      </c>
      <c r="P72" t="s">
        <v>31</v>
      </c>
      <c r="Q72" t="s">
        <v>43</v>
      </c>
      <c r="R72" t="s">
        <v>58</v>
      </c>
      <c r="S72" t="s">
        <v>45</v>
      </c>
      <c r="T72">
        <v>2500</v>
      </c>
      <c r="U72" t="s">
        <v>35</v>
      </c>
      <c r="V72" t="s">
        <v>36</v>
      </c>
      <c r="W72">
        <v>1</v>
      </c>
      <c r="X72" t="s">
        <v>37</v>
      </c>
      <c r="Y72">
        <v>5</v>
      </c>
      <c r="Z72" t="s">
        <v>61</v>
      </c>
    </row>
    <row r="73" spans="1:26" hidden="1" x14ac:dyDescent="0.2">
      <c r="A73" t="s">
        <v>270</v>
      </c>
      <c r="B73" t="s">
        <v>271</v>
      </c>
      <c r="C73" s="1">
        <v>46055</v>
      </c>
      <c r="D73" t="s">
        <v>149</v>
      </c>
      <c r="E73">
        <v>5</v>
      </c>
      <c r="F73">
        <v>8</v>
      </c>
      <c r="G73" t="s">
        <v>50</v>
      </c>
      <c r="H73" t="s">
        <v>95</v>
      </c>
      <c r="I73" s="1">
        <v>46055.272916666669</v>
      </c>
      <c r="J73" s="1">
        <v>46055.284722222219</v>
      </c>
      <c r="K73" s="1">
        <v>46055.338888888888</v>
      </c>
      <c r="L73" s="1">
        <v>46055.347222222219</v>
      </c>
      <c r="M73" s="1">
        <v>46055.376388888886</v>
      </c>
      <c r="N73" s="1">
        <v>46055.404166666667</v>
      </c>
      <c r="O73">
        <v>7</v>
      </c>
      <c r="P73" t="s">
        <v>37</v>
      </c>
      <c r="Q73" t="s">
        <v>96</v>
      </c>
      <c r="R73" t="s">
        <v>90</v>
      </c>
      <c r="S73" t="s">
        <v>98</v>
      </c>
      <c r="T73">
        <v>3000</v>
      </c>
      <c r="U73" t="s">
        <v>35</v>
      </c>
      <c r="V73" t="s">
        <v>36</v>
      </c>
      <c r="W73">
        <v>1</v>
      </c>
      <c r="X73" t="s">
        <v>37</v>
      </c>
      <c r="Y73">
        <v>5</v>
      </c>
      <c r="Z73" t="s">
        <v>168</v>
      </c>
    </row>
    <row r="74" spans="1:26" hidden="1" x14ac:dyDescent="0.2">
      <c r="A74" t="s">
        <v>272</v>
      </c>
      <c r="B74" t="s">
        <v>273</v>
      </c>
      <c r="C74" s="1">
        <v>46081</v>
      </c>
      <c r="D74" t="s">
        <v>171</v>
      </c>
      <c r="E74">
        <v>32</v>
      </c>
      <c r="F74">
        <v>8.6</v>
      </c>
      <c r="G74" t="s">
        <v>50</v>
      </c>
      <c r="H74" t="s">
        <v>167</v>
      </c>
      <c r="I74" s="1">
        <v>46081.270138888889</v>
      </c>
      <c r="J74" s="1">
        <v>46081.281944444447</v>
      </c>
      <c r="K74" s="1">
        <v>46081.290277777778</v>
      </c>
      <c r="L74" s="1">
        <v>46081.300694444442</v>
      </c>
      <c r="M74" s="1">
        <v>46081.314583333333</v>
      </c>
      <c r="N74" s="1">
        <v>46081.345138888886</v>
      </c>
      <c r="O74">
        <v>4</v>
      </c>
      <c r="P74" t="s">
        <v>37</v>
      </c>
      <c r="Q74" t="s">
        <v>32</v>
      </c>
      <c r="R74" t="s">
        <v>66</v>
      </c>
      <c r="S74" t="s">
        <v>34</v>
      </c>
      <c r="T74">
        <v>5000</v>
      </c>
      <c r="U74" t="s">
        <v>35</v>
      </c>
      <c r="V74" t="s">
        <v>36</v>
      </c>
      <c r="W74">
        <v>1</v>
      </c>
      <c r="X74" t="s">
        <v>37</v>
      </c>
      <c r="Y74">
        <v>5</v>
      </c>
      <c r="Z74" t="s">
        <v>54</v>
      </c>
    </row>
    <row r="75" spans="1:26" hidden="1" x14ac:dyDescent="0.2">
      <c r="A75" t="s">
        <v>274</v>
      </c>
      <c r="B75" t="s">
        <v>275</v>
      </c>
      <c r="C75" s="1">
        <v>46098</v>
      </c>
      <c r="D75" t="s">
        <v>220</v>
      </c>
      <c r="E75">
        <v>30</v>
      </c>
      <c r="F75">
        <v>11</v>
      </c>
      <c r="G75" t="s">
        <v>76</v>
      </c>
      <c r="H75" t="s">
        <v>95</v>
      </c>
      <c r="I75" s="1">
        <v>46098.309027777781</v>
      </c>
      <c r="J75" s="1">
        <v>46098.32916666667</v>
      </c>
      <c r="K75" s="1">
        <v>46098.350694444445</v>
      </c>
      <c r="L75" s="1">
        <v>46098.355555555558</v>
      </c>
      <c r="M75" s="1">
        <v>46098.384722222225</v>
      </c>
      <c r="N75" s="1">
        <v>46098.415972222225</v>
      </c>
      <c r="O75">
        <v>1</v>
      </c>
      <c r="P75" t="s">
        <v>37</v>
      </c>
      <c r="Q75" t="s">
        <v>69</v>
      </c>
      <c r="R75" t="s">
        <v>111</v>
      </c>
      <c r="S75" t="s">
        <v>71</v>
      </c>
      <c r="T75">
        <v>2000</v>
      </c>
      <c r="U75" t="s">
        <v>35</v>
      </c>
      <c r="V75" t="s">
        <v>36</v>
      </c>
      <c r="W75">
        <v>1</v>
      </c>
      <c r="X75" t="s">
        <v>37</v>
      </c>
      <c r="Y75">
        <v>4</v>
      </c>
      <c r="Z75" t="s">
        <v>46</v>
      </c>
    </row>
    <row r="76" spans="1:26" hidden="1" x14ac:dyDescent="0.2">
      <c r="A76" t="s">
        <v>276</v>
      </c>
      <c r="B76" t="s">
        <v>277</v>
      </c>
      <c r="C76" s="1">
        <v>46041</v>
      </c>
      <c r="D76" t="s">
        <v>41</v>
      </c>
      <c r="E76">
        <v>21</v>
      </c>
      <c r="F76">
        <v>5.6</v>
      </c>
      <c r="G76" t="s">
        <v>81</v>
      </c>
      <c r="H76" t="s">
        <v>95</v>
      </c>
      <c r="I76" s="1">
        <v>46041.384722222225</v>
      </c>
      <c r="J76" s="1">
        <v>46041.404861111114</v>
      </c>
      <c r="K76" s="1">
        <v>46041.418055555558</v>
      </c>
      <c r="L76" s="1">
        <v>46041.425000000003</v>
      </c>
      <c r="M76" s="1">
        <v>46041.46597222222</v>
      </c>
      <c r="N76" s="1">
        <v>46041.49722222222</v>
      </c>
      <c r="O76">
        <v>4</v>
      </c>
      <c r="P76" t="s">
        <v>37</v>
      </c>
      <c r="Q76" t="s">
        <v>32</v>
      </c>
      <c r="R76" t="s">
        <v>278</v>
      </c>
      <c r="S76" t="s">
        <v>34</v>
      </c>
      <c r="T76">
        <v>5000</v>
      </c>
      <c r="U76" t="s">
        <v>35</v>
      </c>
      <c r="V76" t="s">
        <v>36</v>
      </c>
      <c r="W76">
        <v>1</v>
      </c>
      <c r="X76" t="s">
        <v>37</v>
      </c>
      <c r="Y76">
        <v>5</v>
      </c>
      <c r="Z76" t="s">
        <v>86</v>
      </c>
    </row>
    <row r="77" spans="1:26" x14ac:dyDescent="0.2">
      <c r="A77" t="s">
        <v>279</v>
      </c>
      <c r="B77" t="s">
        <v>280</v>
      </c>
      <c r="C77" s="1">
        <v>46105</v>
      </c>
      <c r="D77" t="s">
        <v>105</v>
      </c>
      <c r="E77">
        <v>25</v>
      </c>
      <c r="F77">
        <v>5.2</v>
      </c>
      <c r="G77" t="s">
        <v>29</v>
      </c>
      <c r="H77" t="s">
        <v>157</v>
      </c>
      <c r="I77" s="1">
        <v>46105.328472222223</v>
      </c>
      <c r="J77" s="1">
        <v>46105.345833333333</v>
      </c>
      <c r="K77" s="1">
        <v>46105.379166666666</v>
      </c>
      <c r="L77" s="1">
        <v>46105.388194444444</v>
      </c>
      <c r="M77" s="1">
        <v>46105.42083333333</v>
      </c>
      <c r="N77" s="1">
        <v>46105.426388888889</v>
      </c>
      <c r="O77">
        <v>3</v>
      </c>
      <c r="P77" t="s">
        <v>37</v>
      </c>
      <c r="Q77" t="s">
        <v>69</v>
      </c>
      <c r="R77" t="s">
        <v>251</v>
      </c>
      <c r="S77" t="s">
        <v>71</v>
      </c>
      <c r="T77">
        <v>2000</v>
      </c>
      <c r="U77" t="s">
        <v>35</v>
      </c>
      <c r="V77" t="s">
        <v>36</v>
      </c>
      <c r="W77">
        <v>1</v>
      </c>
      <c r="X77" t="s">
        <v>37</v>
      </c>
      <c r="Y77">
        <v>2</v>
      </c>
      <c r="Z77" t="s">
        <v>46</v>
      </c>
    </row>
    <row r="78" spans="1:26" hidden="1" x14ac:dyDescent="0.2">
      <c r="A78" t="s">
        <v>281</v>
      </c>
      <c r="B78" t="s">
        <v>282</v>
      </c>
      <c r="C78" s="1">
        <v>46032</v>
      </c>
      <c r="D78" t="s">
        <v>105</v>
      </c>
      <c r="E78">
        <v>34</v>
      </c>
      <c r="F78">
        <v>8.6</v>
      </c>
      <c r="G78" t="s">
        <v>29</v>
      </c>
      <c r="H78" t="s">
        <v>157</v>
      </c>
      <c r="I78" s="1">
        <v>46032.411111111112</v>
      </c>
      <c r="J78" s="1">
        <v>46032.431944444441</v>
      </c>
      <c r="K78" s="1">
        <v>46032.489583333336</v>
      </c>
      <c r="L78" s="1">
        <v>46032.49722222222</v>
      </c>
      <c r="M78" s="1">
        <v>46032.518055555556</v>
      </c>
      <c r="N78" s="1">
        <v>46032.54791666667</v>
      </c>
      <c r="O78">
        <v>4</v>
      </c>
      <c r="P78" t="s">
        <v>37</v>
      </c>
      <c r="Q78" t="s">
        <v>32</v>
      </c>
      <c r="R78" t="s">
        <v>140</v>
      </c>
      <c r="S78" t="s">
        <v>34</v>
      </c>
      <c r="T78">
        <v>5000</v>
      </c>
      <c r="U78" t="s">
        <v>91</v>
      </c>
      <c r="V78" t="s">
        <v>36</v>
      </c>
      <c r="W78">
        <v>1</v>
      </c>
      <c r="X78" t="s">
        <v>37</v>
      </c>
      <c r="Y78">
        <v>5</v>
      </c>
      <c r="Z78" t="s">
        <v>46</v>
      </c>
    </row>
    <row r="79" spans="1:26" hidden="1" x14ac:dyDescent="0.2">
      <c r="A79" t="s">
        <v>283</v>
      </c>
      <c r="B79" t="s">
        <v>284</v>
      </c>
      <c r="C79" s="1">
        <v>46033</v>
      </c>
      <c r="D79" t="s">
        <v>285</v>
      </c>
      <c r="E79">
        <v>20</v>
      </c>
      <c r="F79">
        <v>9.6999999999999993</v>
      </c>
      <c r="G79" t="s">
        <v>50</v>
      </c>
      <c r="H79" t="s">
        <v>65</v>
      </c>
      <c r="I79" s="1">
        <v>46033.342361111114</v>
      </c>
      <c r="J79" s="1">
        <v>46033.359027777777</v>
      </c>
      <c r="K79" s="1">
        <v>46033.379861111112</v>
      </c>
      <c r="L79" s="1">
        <v>46033.390972222223</v>
      </c>
      <c r="M79" s="1">
        <v>46033.413888888892</v>
      </c>
      <c r="N79" s="1">
        <v>46033.429861111108</v>
      </c>
      <c r="O79">
        <v>4</v>
      </c>
      <c r="P79" t="s">
        <v>37</v>
      </c>
      <c r="Q79" t="s">
        <v>82</v>
      </c>
      <c r="R79" t="s">
        <v>286</v>
      </c>
      <c r="S79" t="s">
        <v>84</v>
      </c>
      <c r="T79">
        <v>4000</v>
      </c>
      <c r="U79" t="s">
        <v>35</v>
      </c>
      <c r="V79" t="s">
        <v>36</v>
      </c>
      <c r="W79">
        <v>1</v>
      </c>
      <c r="X79" t="s">
        <v>37</v>
      </c>
      <c r="Y79">
        <v>5</v>
      </c>
      <c r="Z79" t="s">
        <v>134</v>
      </c>
    </row>
    <row r="80" spans="1:26" hidden="1" x14ac:dyDescent="0.2">
      <c r="A80" t="s">
        <v>287</v>
      </c>
      <c r="B80" t="s">
        <v>288</v>
      </c>
      <c r="C80" s="1">
        <v>46031</v>
      </c>
      <c r="D80" t="s">
        <v>289</v>
      </c>
      <c r="E80">
        <v>23</v>
      </c>
      <c r="F80">
        <v>6</v>
      </c>
      <c r="G80" t="s">
        <v>81</v>
      </c>
      <c r="H80" t="s">
        <v>42</v>
      </c>
      <c r="I80" s="1">
        <v>46031.276388888888</v>
      </c>
      <c r="J80" s="1">
        <v>46031.286805555559</v>
      </c>
      <c r="K80" s="1">
        <v>46031.300694444442</v>
      </c>
      <c r="L80" s="1">
        <v>46031.306944444441</v>
      </c>
      <c r="M80" s="1">
        <v>46031.32916666667</v>
      </c>
      <c r="N80" s="1">
        <v>46031.345833333333</v>
      </c>
      <c r="O80">
        <v>6</v>
      </c>
      <c r="P80" t="s">
        <v>37</v>
      </c>
      <c r="Q80" t="s">
        <v>32</v>
      </c>
      <c r="R80" t="s">
        <v>140</v>
      </c>
      <c r="S80" t="s">
        <v>34</v>
      </c>
      <c r="T80">
        <v>5000</v>
      </c>
      <c r="U80" t="s">
        <v>35</v>
      </c>
      <c r="V80" t="s">
        <v>36</v>
      </c>
      <c r="W80">
        <v>1</v>
      </c>
      <c r="X80" t="s">
        <v>37</v>
      </c>
      <c r="Y80">
        <v>5</v>
      </c>
      <c r="Z80" t="s">
        <v>161</v>
      </c>
    </row>
    <row r="81" spans="1:26" hidden="1" x14ac:dyDescent="0.2">
      <c r="A81" t="s">
        <v>290</v>
      </c>
      <c r="B81" t="s">
        <v>291</v>
      </c>
      <c r="C81" s="1">
        <v>46071</v>
      </c>
      <c r="D81" t="s">
        <v>105</v>
      </c>
      <c r="E81">
        <v>38</v>
      </c>
      <c r="F81">
        <v>4.7</v>
      </c>
      <c r="G81" t="s">
        <v>50</v>
      </c>
      <c r="H81" t="s">
        <v>65</v>
      </c>
      <c r="I81" s="1">
        <v>46071.313888888886</v>
      </c>
      <c r="J81" s="1">
        <v>46071.317361111112</v>
      </c>
      <c r="K81" s="1">
        <v>46071.356249999997</v>
      </c>
      <c r="L81" s="1">
        <v>46071.365972222222</v>
      </c>
      <c r="M81" s="1">
        <v>46071.380555555559</v>
      </c>
      <c r="N81" s="1">
        <v>46071.393055555556</v>
      </c>
      <c r="O81">
        <v>3</v>
      </c>
      <c r="P81" t="s">
        <v>37</v>
      </c>
      <c r="Q81" t="s">
        <v>96</v>
      </c>
      <c r="R81" t="s">
        <v>164</v>
      </c>
      <c r="S81" t="s">
        <v>98</v>
      </c>
      <c r="T81">
        <v>3000</v>
      </c>
      <c r="U81" t="s">
        <v>35</v>
      </c>
      <c r="V81" t="s">
        <v>36</v>
      </c>
      <c r="W81">
        <v>1</v>
      </c>
      <c r="X81" t="s">
        <v>37</v>
      </c>
      <c r="Y81">
        <v>3</v>
      </c>
      <c r="Z81" t="s">
        <v>117</v>
      </c>
    </row>
    <row r="82" spans="1:26" hidden="1" x14ac:dyDescent="0.2">
      <c r="A82" t="s">
        <v>292</v>
      </c>
      <c r="B82" t="s">
        <v>293</v>
      </c>
      <c r="C82" s="1">
        <v>46035</v>
      </c>
      <c r="D82" t="s">
        <v>285</v>
      </c>
      <c r="E82">
        <v>26</v>
      </c>
      <c r="F82">
        <v>11</v>
      </c>
      <c r="G82" t="s">
        <v>81</v>
      </c>
      <c r="H82" t="s">
        <v>95</v>
      </c>
      <c r="I82" s="1">
        <v>46035.355555555558</v>
      </c>
      <c r="J82" s="1">
        <v>46035.367361111108</v>
      </c>
      <c r="K82" s="1">
        <v>46035.387499999997</v>
      </c>
      <c r="L82" s="1">
        <v>46035.394444444442</v>
      </c>
      <c r="M82" s="1">
        <v>46035.40902777778</v>
      </c>
      <c r="N82" s="1">
        <v>46035.439583333333</v>
      </c>
      <c r="O82">
        <v>7</v>
      </c>
      <c r="P82" t="s">
        <v>37</v>
      </c>
      <c r="Q82" t="s">
        <v>69</v>
      </c>
      <c r="R82" t="s">
        <v>111</v>
      </c>
      <c r="S82" t="s">
        <v>71</v>
      </c>
      <c r="T82">
        <v>2000</v>
      </c>
      <c r="U82" t="s">
        <v>35</v>
      </c>
      <c r="V82" t="s">
        <v>36</v>
      </c>
      <c r="W82">
        <v>1</v>
      </c>
      <c r="X82" t="s">
        <v>37</v>
      </c>
      <c r="Y82">
        <v>4</v>
      </c>
      <c r="Z82" t="s">
        <v>38</v>
      </c>
    </row>
    <row r="83" spans="1:26" hidden="1" x14ac:dyDescent="0.2">
      <c r="A83" t="s">
        <v>294</v>
      </c>
      <c r="B83" t="s">
        <v>295</v>
      </c>
      <c r="C83" s="1">
        <v>46079</v>
      </c>
      <c r="D83" t="s">
        <v>80</v>
      </c>
      <c r="E83">
        <v>19</v>
      </c>
      <c r="F83">
        <v>8.3000000000000007</v>
      </c>
      <c r="G83" t="s">
        <v>76</v>
      </c>
      <c r="H83" t="s">
        <v>42</v>
      </c>
      <c r="I83" s="1">
        <v>46079.388888888891</v>
      </c>
      <c r="J83" s="1">
        <v>46079.402777777781</v>
      </c>
      <c r="K83" s="1">
        <v>46079.426388888889</v>
      </c>
      <c r="L83" s="1">
        <v>46079.4375</v>
      </c>
      <c r="M83" s="1">
        <v>46079.474305555559</v>
      </c>
      <c r="N83" s="1">
        <v>46079.50277777778</v>
      </c>
      <c r="O83">
        <v>4</v>
      </c>
      <c r="P83" t="s">
        <v>37</v>
      </c>
      <c r="Q83" t="s">
        <v>96</v>
      </c>
      <c r="R83" t="s">
        <v>97</v>
      </c>
      <c r="S83" t="s">
        <v>98</v>
      </c>
      <c r="T83">
        <v>3000</v>
      </c>
      <c r="U83" t="s">
        <v>35</v>
      </c>
      <c r="V83" t="s">
        <v>36</v>
      </c>
      <c r="W83">
        <v>1</v>
      </c>
      <c r="X83" t="s">
        <v>37</v>
      </c>
      <c r="Y83">
        <v>4</v>
      </c>
      <c r="Z83" t="s">
        <v>296</v>
      </c>
    </row>
    <row r="84" spans="1:26" hidden="1" x14ac:dyDescent="0.2">
      <c r="A84" t="s">
        <v>297</v>
      </c>
      <c r="B84" t="s">
        <v>298</v>
      </c>
      <c r="C84" s="1">
        <v>46100</v>
      </c>
      <c r="D84" t="s">
        <v>123</v>
      </c>
      <c r="E84">
        <v>35</v>
      </c>
      <c r="F84">
        <v>11</v>
      </c>
      <c r="G84" t="s">
        <v>81</v>
      </c>
      <c r="H84" t="s">
        <v>51</v>
      </c>
      <c r="I84" s="1">
        <v>46100.376388888886</v>
      </c>
      <c r="J84" s="1">
        <v>46100.390972222223</v>
      </c>
      <c r="K84" s="1">
        <v>46100.408333333333</v>
      </c>
      <c r="L84" s="1">
        <v>46100.418055555558</v>
      </c>
      <c r="M84" s="1">
        <v>46100.428472222222</v>
      </c>
      <c r="N84" s="1">
        <v>46100.438888888886</v>
      </c>
      <c r="O84">
        <v>3</v>
      </c>
      <c r="P84" t="s">
        <v>37</v>
      </c>
      <c r="Q84" t="s">
        <v>96</v>
      </c>
      <c r="R84" t="s">
        <v>90</v>
      </c>
      <c r="S84" t="s">
        <v>98</v>
      </c>
      <c r="T84">
        <v>3000</v>
      </c>
      <c r="U84" t="s">
        <v>35</v>
      </c>
      <c r="V84" t="s">
        <v>59</v>
      </c>
      <c r="W84">
        <v>1</v>
      </c>
      <c r="X84" t="s">
        <v>85</v>
      </c>
      <c r="Y84">
        <v>5</v>
      </c>
      <c r="Z84" t="s">
        <v>86</v>
      </c>
    </row>
    <row r="85" spans="1:26" hidden="1" x14ac:dyDescent="0.2">
      <c r="A85" t="s">
        <v>299</v>
      </c>
      <c r="B85" t="s">
        <v>300</v>
      </c>
      <c r="C85" s="1">
        <v>46026</v>
      </c>
      <c r="D85" t="s">
        <v>181</v>
      </c>
      <c r="E85">
        <v>37</v>
      </c>
      <c r="F85">
        <v>7</v>
      </c>
      <c r="G85" t="s">
        <v>50</v>
      </c>
      <c r="H85" t="s">
        <v>51</v>
      </c>
      <c r="I85" s="1">
        <v>46026.315972222219</v>
      </c>
      <c r="J85" s="1">
        <v>46026.324305555558</v>
      </c>
      <c r="K85" s="1">
        <v>46026.333333333336</v>
      </c>
      <c r="L85" s="1">
        <v>46026.34375</v>
      </c>
      <c r="M85" s="1">
        <v>46026.354861111111</v>
      </c>
      <c r="N85" s="1">
        <v>46026.372916666667</v>
      </c>
      <c r="O85">
        <v>7</v>
      </c>
      <c r="P85" t="s">
        <v>238</v>
      </c>
      <c r="Q85" t="s">
        <v>32</v>
      </c>
      <c r="R85" t="s">
        <v>140</v>
      </c>
      <c r="S85" t="s">
        <v>34</v>
      </c>
      <c r="T85">
        <v>5000</v>
      </c>
      <c r="U85" t="s">
        <v>35</v>
      </c>
      <c r="V85" t="s">
        <v>59</v>
      </c>
      <c r="W85">
        <v>2</v>
      </c>
      <c r="X85" t="s">
        <v>60</v>
      </c>
      <c r="Y85">
        <v>4</v>
      </c>
      <c r="Z85" t="s">
        <v>215</v>
      </c>
    </row>
    <row r="86" spans="1:26" x14ac:dyDescent="0.2">
      <c r="A86" t="s">
        <v>301</v>
      </c>
      <c r="B86" t="s">
        <v>302</v>
      </c>
      <c r="C86" s="1">
        <v>46033</v>
      </c>
      <c r="D86" t="s">
        <v>178</v>
      </c>
      <c r="E86">
        <v>14</v>
      </c>
      <c r="F86">
        <v>8.4</v>
      </c>
      <c r="G86" t="s">
        <v>81</v>
      </c>
      <c r="H86" t="s">
        <v>65</v>
      </c>
      <c r="I86" s="1">
        <v>46033.324999999997</v>
      </c>
      <c r="J86" s="1">
        <v>46033.330555555556</v>
      </c>
      <c r="K86" s="1">
        <v>46033.362500000003</v>
      </c>
      <c r="L86" s="1">
        <v>46033.370833333334</v>
      </c>
      <c r="M86" s="1">
        <v>46033.390972222223</v>
      </c>
      <c r="N86" s="1">
        <v>46033.399305555555</v>
      </c>
      <c r="O86">
        <v>1</v>
      </c>
      <c r="P86" t="s">
        <v>52</v>
      </c>
      <c r="Q86" t="s">
        <v>96</v>
      </c>
      <c r="R86" t="s">
        <v>164</v>
      </c>
      <c r="S86" t="s">
        <v>98</v>
      </c>
      <c r="T86">
        <v>3000</v>
      </c>
      <c r="U86" t="s">
        <v>35</v>
      </c>
      <c r="V86" t="s">
        <v>36</v>
      </c>
      <c r="W86">
        <v>1</v>
      </c>
      <c r="X86" t="s">
        <v>37</v>
      </c>
      <c r="Y86">
        <v>2</v>
      </c>
      <c r="Z86" t="s">
        <v>86</v>
      </c>
    </row>
    <row r="87" spans="1:26" hidden="1" x14ac:dyDescent="0.2">
      <c r="A87" t="s">
        <v>303</v>
      </c>
      <c r="B87" t="s">
        <v>304</v>
      </c>
      <c r="C87" s="1">
        <v>46099</v>
      </c>
      <c r="D87" t="s">
        <v>75</v>
      </c>
      <c r="E87">
        <v>14</v>
      </c>
      <c r="F87">
        <v>6.3</v>
      </c>
      <c r="G87" t="s">
        <v>29</v>
      </c>
      <c r="H87" t="s">
        <v>65</v>
      </c>
      <c r="I87" s="1">
        <v>46099.3125</v>
      </c>
      <c r="J87" s="1">
        <v>46099.320833333331</v>
      </c>
      <c r="K87" s="1">
        <v>46099.378472222219</v>
      </c>
      <c r="L87" s="1">
        <v>46099.390972222223</v>
      </c>
      <c r="M87" s="1">
        <v>46099.405555555553</v>
      </c>
      <c r="N87" s="1">
        <v>46099.412499999999</v>
      </c>
      <c r="O87">
        <v>5</v>
      </c>
      <c r="P87" t="s">
        <v>37</v>
      </c>
      <c r="Q87" t="s">
        <v>32</v>
      </c>
      <c r="R87" t="s">
        <v>120</v>
      </c>
      <c r="S87" t="s">
        <v>34</v>
      </c>
      <c r="T87">
        <v>5000</v>
      </c>
      <c r="U87" t="s">
        <v>35</v>
      </c>
      <c r="V87" t="s">
        <v>36</v>
      </c>
      <c r="W87">
        <v>1</v>
      </c>
      <c r="X87" t="s">
        <v>37</v>
      </c>
      <c r="Y87">
        <v>4</v>
      </c>
      <c r="Z87" t="s">
        <v>131</v>
      </c>
    </row>
    <row r="88" spans="1:26" x14ac:dyDescent="0.2">
      <c r="A88" t="s">
        <v>305</v>
      </c>
      <c r="B88" t="s">
        <v>306</v>
      </c>
      <c r="C88" s="1">
        <v>46025</v>
      </c>
      <c r="D88" t="s">
        <v>220</v>
      </c>
      <c r="E88">
        <v>29</v>
      </c>
      <c r="F88">
        <v>11.8</v>
      </c>
      <c r="G88" t="s">
        <v>76</v>
      </c>
      <c r="H88" t="s">
        <v>30</v>
      </c>
      <c r="I88" s="1">
        <v>46025.25277777778</v>
      </c>
      <c r="J88" s="1">
        <v>46025.263888888891</v>
      </c>
      <c r="K88" s="1">
        <v>46025.276388888888</v>
      </c>
      <c r="L88" s="1">
        <v>46025.287499999999</v>
      </c>
      <c r="M88" s="1">
        <v>46025.304861111108</v>
      </c>
      <c r="N88" s="1">
        <v>46025.336111111108</v>
      </c>
      <c r="O88">
        <v>1</v>
      </c>
      <c r="P88" t="s">
        <v>37</v>
      </c>
      <c r="Q88" t="s">
        <v>43</v>
      </c>
      <c r="R88" t="s">
        <v>90</v>
      </c>
      <c r="S88" t="s">
        <v>45</v>
      </c>
      <c r="T88">
        <v>2500</v>
      </c>
      <c r="U88" t="s">
        <v>35</v>
      </c>
      <c r="V88" t="s">
        <v>36</v>
      </c>
      <c r="W88">
        <v>1</v>
      </c>
      <c r="X88" t="s">
        <v>37</v>
      </c>
      <c r="Y88">
        <v>1</v>
      </c>
      <c r="Z88" t="s">
        <v>131</v>
      </c>
    </row>
    <row r="89" spans="1:26" hidden="1" x14ac:dyDescent="0.2">
      <c r="A89" t="s">
        <v>307</v>
      </c>
      <c r="B89" t="s">
        <v>308</v>
      </c>
      <c r="C89" s="1">
        <v>46105</v>
      </c>
      <c r="D89" t="s">
        <v>126</v>
      </c>
      <c r="E89">
        <v>16</v>
      </c>
      <c r="F89">
        <v>10.5</v>
      </c>
      <c r="G89" t="s">
        <v>29</v>
      </c>
      <c r="H89" t="s">
        <v>30</v>
      </c>
      <c r="I89" s="1">
        <v>46105.387499999997</v>
      </c>
      <c r="J89" s="1">
        <v>46105.400694444441</v>
      </c>
      <c r="K89" s="1">
        <v>46105.410416666666</v>
      </c>
      <c r="L89" s="1">
        <v>46105.420138888891</v>
      </c>
      <c r="M89" s="1">
        <v>46105.435416666667</v>
      </c>
      <c r="N89" s="1">
        <v>46105.44027777778</v>
      </c>
      <c r="O89">
        <v>7</v>
      </c>
      <c r="P89" t="s">
        <v>238</v>
      </c>
      <c r="Q89" t="s">
        <v>43</v>
      </c>
      <c r="R89" t="s">
        <v>200</v>
      </c>
      <c r="S89" t="s">
        <v>45</v>
      </c>
      <c r="T89">
        <v>2500</v>
      </c>
      <c r="U89" t="s">
        <v>35</v>
      </c>
      <c r="V89" t="s">
        <v>36</v>
      </c>
      <c r="W89">
        <v>1</v>
      </c>
      <c r="X89" t="s">
        <v>37</v>
      </c>
      <c r="Y89">
        <v>4</v>
      </c>
      <c r="Z89" t="s">
        <v>46</v>
      </c>
    </row>
    <row r="90" spans="1:26" hidden="1" x14ac:dyDescent="0.2">
      <c r="A90" t="s">
        <v>309</v>
      </c>
      <c r="B90" t="s">
        <v>310</v>
      </c>
      <c r="C90" s="1">
        <v>46083</v>
      </c>
      <c r="D90" t="s">
        <v>49</v>
      </c>
      <c r="E90">
        <v>23</v>
      </c>
      <c r="F90">
        <v>6.9</v>
      </c>
      <c r="G90" t="s">
        <v>29</v>
      </c>
      <c r="H90" t="s">
        <v>42</v>
      </c>
      <c r="I90" s="1">
        <v>46083.365972222222</v>
      </c>
      <c r="J90" s="1">
        <v>46083.376388888886</v>
      </c>
      <c r="K90" s="1">
        <v>46083.406944444447</v>
      </c>
      <c r="L90" s="1">
        <v>46083.412499999999</v>
      </c>
      <c r="M90" s="1">
        <v>46083.435416666667</v>
      </c>
      <c r="N90" s="1">
        <v>46083.457638888889</v>
      </c>
      <c r="O90">
        <v>4</v>
      </c>
      <c r="P90" t="s">
        <v>37</v>
      </c>
      <c r="Q90" t="s">
        <v>32</v>
      </c>
      <c r="R90" t="s">
        <v>120</v>
      </c>
      <c r="S90" t="s">
        <v>34</v>
      </c>
      <c r="T90">
        <v>5000</v>
      </c>
      <c r="U90" t="s">
        <v>35</v>
      </c>
      <c r="V90" t="s">
        <v>36</v>
      </c>
      <c r="W90">
        <v>1</v>
      </c>
      <c r="X90" t="s">
        <v>37</v>
      </c>
      <c r="Y90">
        <v>5</v>
      </c>
      <c r="Z90" t="s">
        <v>72</v>
      </c>
    </row>
    <row r="91" spans="1:26" hidden="1" x14ac:dyDescent="0.2">
      <c r="A91" t="s">
        <v>311</v>
      </c>
      <c r="B91" t="s">
        <v>312</v>
      </c>
      <c r="C91" s="1">
        <v>46070</v>
      </c>
      <c r="D91" t="s">
        <v>171</v>
      </c>
      <c r="E91">
        <v>10</v>
      </c>
      <c r="F91">
        <v>9.8000000000000007</v>
      </c>
      <c r="G91" t="s">
        <v>29</v>
      </c>
      <c r="H91" t="s">
        <v>157</v>
      </c>
      <c r="I91" s="1">
        <v>46070.356944444444</v>
      </c>
      <c r="J91" s="1">
        <v>46070.363888888889</v>
      </c>
      <c r="K91" s="1">
        <v>46070.418749999997</v>
      </c>
      <c r="L91" s="1">
        <v>46070.428472222222</v>
      </c>
      <c r="M91" s="1">
        <v>46070.449305555558</v>
      </c>
      <c r="N91" s="1">
        <v>46070.456944444442</v>
      </c>
      <c r="O91">
        <v>1</v>
      </c>
      <c r="P91" t="s">
        <v>37</v>
      </c>
      <c r="Q91" t="s">
        <v>69</v>
      </c>
      <c r="R91" t="s">
        <v>251</v>
      </c>
      <c r="S91" t="s">
        <v>71</v>
      </c>
      <c r="T91">
        <v>2000</v>
      </c>
      <c r="U91" t="s">
        <v>35</v>
      </c>
      <c r="V91" t="s">
        <v>36</v>
      </c>
      <c r="W91">
        <v>1</v>
      </c>
      <c r="X91" t="s">
        <v>37</v>
      </c>
      <c r="Y91">
        <v>5</v>
      </c>
      <c r="Z91" t="s">
        <v>296</v>
      </c>
    </row>
    <row r="92" spans="1:26" x14ac:dyDescent="0.2">
      <c r="A92" t="s">
        <v>313</v>
      </c>
      <c r="B92" t="s">
        <v>314</v>
      </c>
      <c r="C92" s="1">
        <v>46067</v>
      </c>
      <c r="D92" t="s">
        <v>225</v>
      </c>
      <c r="E92">
        <v>32</v>
      </c>
      <c r="F92">
        <v>6.2</v>
      </c>
      <c r="G92" t="s">
        <v>29</v>
      </c>
      <c r="H92" t="s">
        <v>51</v>
      </c>
      <c r="I92" s="1">
        <v>46067.368750000001</v>
      </c>
      <c r="J92" s="1">
        <v>46067.386111111111</v>
      </c>
      <c r="K92" s="1">
        <v>46067.428472222222</v>
      </c>
      <c r="L92" s="1">
        <v>46067.439583333333</v>
      </c>
      <c r="M92" s="1">
        <v>46067.46875</v>
      </c>
      <c r="N92" s="1">
        <v>46067.479166666664</v>
      </c>
      <c r="O92">
        <v>1</v>
      </c>
      <c r="P92" t="s">
        <v>31</v>
      </c>
      <c r="Q92" t="s">
        <v>32</v>
      </c>
      <c r="R92" t="s">
        <v>66</v>
      </c>
      <c r="S92" t="s">
        <v>34</v>
      </c>
      <c r="T92">
        <v>5000</v>
      </c>
      <c r="U92" t="s">
        <v>35</v>
      </c>
      <c r="V92" t="s">
        <v>36</v>
      </c>
      <c r="W92">
        <v>1</v>
      </c>
      <c r="X92" t="s">
        <v>37</v>
      </c>
      <c r="Y92">
        <v>2</v>
      </c>
      <c r="Z92" t="s">
        <v>54</v>
      </c>
    </row>
    <row r="93" spans="1:26" hidden="1" x14ac:dyDescent="0.2">
      <c r="A93" t="s">
        <v>315</v>
      </c>
      <c r="B93" t="s">
        <v>316</v>
      </c>
      <c r="C93" s="1">
        <v>46069</v>
      </c>
      <c r="D93" t="s">
        <v>242</v>
      </c>
      <c r="E93">
        <v>7</v>
      </c>
      <c r="F93">
        <v>8.8000000000000007</v>
      </c>
      <c r="G93" t="s">
        <v>50</v>
      </c>
      <c r="H93" t="s">
        <v>167</v>
      </c>
      <c r="I93" s="1">
        <v>46069.315972222219</v>
      </c>
      <c r="J93" s="1">
        <v>46069.32916666667</v>
      </c>
      <c r="K93" s="1">
        <v>46069.342361111114</v>
      </c>
      <c r="L93" s="1">
        <v>46069.348611111112</v>
      </c>
      <c r="M93" s="1">
        <v>46069.378472222219</v>
      </c>
      <c r="N93" s="1">
        <v>46069.397916666669</v>
      </c>
      <c r="O93">
        <v>4</v>
      </c>
      <c r="P93" t="s">
        <v>37</v>
      </c>
      <c r="Q93" t="s">
        <v>43</v>
      </c>
      <c r="R93" t="s">
        <v>44</v>
      </c>
      <c r="S93" t="s">
        <v>45</v>
      </c>
      <c r="T93">
        <v>2500</v>
      </c>
      <c r="U93" t="s">
        <v>35</v>
      </c>
      <c r="V93" t="s">
        <v>59</v>
      </c>
      <c r="W93">
        <v>1</v>
      </c>
      <c r="X93" t="s">
        <v>60</v>
      </c>
      <c r="Y93">
        <v>3</v>
      </c>
      <c r="Z93" t="s">
        <v>131</v>
      </c>
    </row>
    <row r="94" spans="1:26" hidden="1" x14ac:dyDescent="0.2">
      <c r="A94" t="s">
        <v>317</v>
      </c>
      <c r="B94" t="s">
        <v>318</v>
      </c>
      <c r="C94" s="1">
        <v>46094</v>
      </c>
      <c r="D94" t="s">
        <v>28</v>
      </c>
      <c r="E94">
        <v>33</v>
      </c>
      <c r="F94">
        <v>5.7</v>
      </c>
      <c r="G94" t="s">
        <v>81</v>
      </c>
      <c r="H94" t="s">
        <v>167</v>
      </c>
      <c r="I94" s="1">
        <v>46094.372916666667</v>
      </c>
      <c r="J94" s="1">
        <v>46094.386805555558</v>
      </c>
      <c r="K94" s="1">
        <v>46094.411111111112</v>
      </c>
      <c r="L94" s="1">
        <v>46094.416666666664</v>
      </c>
      <c r="M94" s="1">
        <v>46094.429166666669</v>
      </c>
      <c r="N94" s="1">
        <v>46094.435416666667</v>
      </c>
      <c r="O94">
        <v>4</v>
      </c>
      <c r="P94" t="s">
        <v>52</v>
      </c>
      <c r="Q94" t="s">
        <v>96</v>
      </c>
      <c r="R94" t="s">
        <v>214</v>
      </c>
      <c r="S94" t="s">
        <v>98</v>
      </c>
      <c r="T94">
        <v>3000</v>
      </c>
      <c r="U94" t="s">
        <v>35</v>
      </c>
      <c r="V94" t="s">
        <v>36</v>
      </c>
      <c r="W94">
        <v>1</v>
      </c>
      <c r="X94" t="s">
        <v>37</v>
      </c>
      <c r="Y94">
        <v>5</v>
      </c>
      <c r="Z94" t="s">
        <v>46</v>
      </c>
    </row>
    <row r="95" spans="1:26" hidden="1" x14ac:dyDescent="0.2">
      <c r="A95" t="s">
        <v>319</v>
      </c>
      <c r="B95" t="s">
        <v>320</v>
      </c>
      <c r="C95" s="1">
        <v>46108</v>
      </c>
      <c r="D95" t="s">
        <v>242</v>
      </c>
      <c r="E95">
        <v>24</v>
      </c>
      <c r="F95">
        <v>10.8</v>
      </c>
      <c r="G95" t="s">
        <v>57</v>
      </c>
      <c r="H95" t="s">
        <v>42</v>
      </c>
      <c r="I95" s="1">
        <v>46108.313888888886</v>
      </c>
      <c r="J95" s="1">
        <v>46108.328472222223</v>
      </c>
      <c r="K95" s="1">
        <v>46108.354861111111</v>
      </c>
      <c r="L95" s="1">
        <v>46108.36041666667</v>
      </c>
      <c r="M95" s="1">
        <v>46108.375694444447</v>
      </c>
      <c r="N95" s="1">
        <v>46108.384722222225</v>
      </c>
      <c r="O95">
        <v>2</v>
      </c>
      <c r="P95" t="s">
        <v>37</v>
      </c>
      <c r="Q95" t="s">
        <v>32</v>
      </c>
      <c r="R95" t="s">
        <v>33</v>
      </c>
      <c r="S95" t="s">
        <v>34</v>
      </c>
      <c r="T95">
        <v>5000</v>
      </c>
      <c r="U95" t="s">
        <v>35</v>
      </c>
      <c r="V95" t="s">
        <v>36</v>
      </c>
      <c r="W95">
        <v>1</v>
      </c>
      <c r="X95" t="s">
        <v>37</v>
      </c>
      <c r="Y95">
        <v>4</v>
      </c>
      <c r="Z95" t="s">
        <v>61</v>
      </c>
    </row>
    <row r="96" spans="1:26" hidden="1" x14ac:dyDescent="0.2">
      <c r="A96" t="s">
        <v>321</v>
      </c>
      <c r="B96" t="s">
        <v>322</v>
      </c>
      <c r="C96" s="1">
        <v>46039</v>
      </c>
      <c r="D96" t="s">
        <v>80</v>
      </c>
      <c r="E96">
        <v>24</v>
      </c>
      <c r="F96">
        <v>7.2</v>
      </c>
      <c r="G96" t="s">
        <v>50</v>
      </c>
      <c r="H96" t="s">
        <v>65</v>
      </c>
      <c r="I96" s="1">
        <v>46039.322916666664</v>
      </c>
      <c r="J96" s="1">
        <v>46039.343055555553</v>
      </c>
      <c r="K96" s="1">
        <v>46039.386111111111</v>
      </c>
      <c r="L96" s="1">
        <v>46039.390972222223</v>
      </c>
      <c r="M96" s="1">
        <v>46039.40347222222</v>
      </c>
      <c r="N96" s="1">
        <v>46039.42083333333</v>
      </c>
      <c r="O96">
        <v>6</v>
      </c>
      <c r="P96" t="s">
        <v>115</v>
      </c>
      <c r="Q96" t="s">
        <v>32</v>
      </c>
      <c r="R96" t="s">
        <v>77</v>
      </c>
      <c r="S96" t="s">
        <v>34</v>
      </c>
      <c r="T96">
        <v>5000</v>
      </c>
      <c r="U96" t="s">
        <v>35</v>
      </c>
      <c r="V96" t="s">
        <v>36</v>
      </c>
      <c r="W96">
        <v>1</v>
      </c>
      <c r="X96" t="s">
        <v>37</v>
      </c>
      <c r="Y96">
        <v>5</v>
      </c>
      <c r="Z96" t="s">
        <v>61</v>
      </c>
    </row>
    <row r="97" spans="1:26" hidden="1" x14ac:dyDescent="0.2">
      <c r="A97" t="s">
        <v>323</v>
      </c>
      <c r="B97" t="s">
        <v>324</v>
      </c>
      <c r="C97" s="1">
        <v>46104</v>
      </c>
      <c r="D97" t="s">
        <v>254</v>
      </c>
      <c r="E97">
        <v>13</v>
      </c>
      <c r="F97">
        <v>7.5</v>
      </c>
      <c r="G97" t="s">
        <v>29</v>
      </c>
      <c r="H97" t="s">
        <v>42</v>
      </c>
      <c r="I97" s="1">
        <v>46104.271527777775</v>
      </c>
      <c r="J97" s="1">
        <v>46104.286111111112</v>
      </c>
      <c r="K97" s="1">
        <v>46104.306250000001</v>
      </c>
      <c r="L97" s="1">
        <v>46104.315972222219</v>
      </c>
      <c r="M97" s="1">
        <v>46104.329861111109</v>
      </c>
      <c r="N97" s="1">
        <v>46104.340277777781</v>
      </c>
      <c r="O97">
        <v>3</v>
      </c>
      <c r="P97" t="s">
        <v>37</v>
      </c>
      <c r="Q97" t="s">
        <v>82</v>
      </c>
      <c r="R97" t="s">
        <v>239</v>
      </c>
      <c r="S97" t="s">
        <v>84</v>
      </c>
      <c r="T97">
        <v>4000</v>
      </c>
      <c r="U97" t="s">
        <v>35</v>
      </c>
      <c r="V97" t="s">
        <v>59</v>
      </c>
      <c r="W97">
        <v>3</v>
      </c>
      <c r="X97" t="s">
        <v>116</v>
      </c>
      <c r="Y97">
        <v>3</v>
      </c>
      <c r="Z97" t="s">
        <v>134</v>
      </c>
    </row>
    <row r="98" spans="1:26" hidden="1" x14ac:dyDescent="0.2">
      <c r="A98" t="s">
        <v>325</v>
      </c>
      <c r="B98" t="s">
        <v>326</v>
      </c>
      <c r="C98" s="1">
        <v>46058</v>
      </c>
      <c r="D98" t="s">
        <v>123</v>
      </c>
      <c r="E98">
        <v>39</v>
      </c>
      <c r="F98">
        <v>4.7</v>
      </c>
      <c r="G98" t="s">
        <v>57</v>
      </c>
      <c r="H98" t="s">
        <v>65</v>
      </c>
      <c r="I98" s="1">
        <v>46058.352777777778</v>
      </c>
      <c r="J98" s="1">
        <v>46058.359027777777</v>
      </c>
      <c r="K98" s="1">
        <v>46058.380555555559</v>
      </c>
      <c r="L98" s="1">
        <v>46058.390972222223</v>
      </c>
      <c r="M98" s="1">
        <v>46058.42291666667</v>
      </c>
      <c r="N98" s="1">
        <v>46058.427777777775</v>
      </c>
      <c r="O98">
        <v>7</v>
      </c>
      <c r="P98" t="s">
        <v>37</v>
      </c>
      <c r="Q98" t="s">
        <v>96</v>
      </c>
      <c r="R98" t="s">
        <v>130</v>
      </c>
      <c r="S98" t="s">
        <v>98</v>
      </c>
      <c r="T98">
        <v>3000</v>
      </c>
      <c r="U98" t="s">
        <v>35</v>
      </c>
      <c r="V98" t="s">
        <v>59</v>
      </c>
      <c r="W98">
        <v>3</v>
      </c>
      <c r="X98" t="s">
        <v>60</v>
      </c>
      <c r="Y98">
        <v>3</v>
      </c>
      <c r="Z98" t="s">
        <v>215</v>
      </c>
    </row>
    <row r="99" spans="1:26" hidden="1" x14ac:dyDescent="0.2">
      <c r="A99" t="s">
        <v>327</v>
      </c>
      <c r="B99" t="s">
        <v>328</v>
      </c>
      <c r="C99" s="1">
        <v>46102</v>
      </c>
      <c r="D99" t="s">
        <v>105</v>
      </c>
      <c r="E99">
        <v>39</v>
      </c>
      <c r="F99">
        <v>6.3</v>
      </c>
      <c r="G99" t="s">
        <v>76</v>
      </c>
      <c r="H99" t="s">
        <v>157</v>
      </c>
      <c r="I99" s="1">
        <v>46102.293055555558</v>
      </c>
      <c r="J99" s="1">
        <v>46102.313888888886</v>
      </c>
      <c r="K99" s="1">
        <v>46102.356249999997</v>
      </c>
      <c r="L99" s="1">
        <v>46102.365972222222</v>
      </c>
      <c r="M99" s="1">
        <v>46102.393055555556</v>
      </c>
      <c r="N99" s="1">
        <v>46102.399305555555</v>
      </c>
      <c r="O99">
        <v>6</v>
      </c>
      <c r="P99" t="s">
        <v>115</v>
      </c>
      <c r="Q99" t="s">
        <v>32</v>
      </c>
      <c r="R99" t="s">
        <v>53</v>
      </c>
      <c r="S99" t="s">
        <v>34</v>
      </c>
      <c r="T99">
        <v>5000</v>
      </c>
      <c r="U99" t="s">
        <v>35</v>
      </c>
      <c r="V99" t="s">
        <v>36</v>
      </c>
      <c r="W99">
        <v>1</v>
      </c>
      <c r="X99" t="s">
        <v>37</v>
      </c>
      <c r="Y99">
        <v>4</v>
      </c>
      <c r="Z99" t="s">
        <v>296</v>
      </c>
    </row>
    <row r="100" spans="1:26" hidden="1" x14ac:dyDescent="0.2">
      <c r="A100" t="s">
        <v>329</v>
      </c>
      <c r="B100" t="s">
        <v>330</v>
      </c>
      <c r="C100" s="1">
        <v>46063</v>
      </c>
      <c r="D100" t="s">
        <v>233</v>
      </c>
      <c r="E100">
        <v>13</v>
      </c>
      <c r="F100">
        <v>10.1</v>
      </c>
      <c r="G100" t="s">
        <v>81</v>
      </c>
      <c r="H100" t="s">
        <v>65</v>
      </c>
      <c r="I100" s="1">
        <v>46063.268750000003</v>
      </c>
      <c r="J100" s="1">
        <v>46063.279166666667</v>
      </c>
      <c r="K100" s="1">
        <v>46063.306944444441</v>
      </c>
      <c r="L100" s="1">
        <v>46063.320138888892</v>
      </c>
      <c r="M100" s="1">
        <v>46063.331944444442</v>
      </c>
      <c r="N100" s="1">
        <v>46063.347222222219</v>
      </c>
      <c r="O100">
        <v>4</v>
      </c>
      <c r="P100" t="s">
        <v>238</v>
      </c>
      <c r="Q100" t="s">
        <v>96</v>
      </c>
      <c r="R100" t="s">
        <v>97</v>
      </c>
      <c r="S100" t="s">
        <v>98</v>
      </c>
      <c r="T100">
        <v>3000</v>
      </c>
      <c r="U100" t="s">
        <v>35</v>
      </c>
      <c r="V100" t="s">
        <v>59</v>
      </c>
      <c r="W100">
        <v>4</v>
      </c>
      <c r="X100" t="s">
        <v>85</v>
      </c>
      <c r="Y100">
        <v>5</v>
      </c>
      <c r="Z100" t="s">
        <v>86</v>
      </c>
    </row>
    <row r="101" spans="1:26" hidden="1" x14ac:dyDescent="0.2">
      <c r="A101" t="s">
        <v>331</v>
      </c>
      <c r="B101" t="s">
        <v>332</v>
      </c>
      <c r="C101" s="1">
        <v>46064</v>
      </c>
      <c r="D101" t="s">
        <v>171</v>
      </c>
      <c r="E101">
        <v>17</v>
      </c>
      <c r="F101">
        <v>10.1</v>
      </c>
      <c r="G101" t="s">
        <v>50</v>
      </c>
      <c r="H101" t="s">
        <v>65</v>
      </c>
      <c r="I101" s="1">
        <v>46064.332638888889</v>
      </c>
      <c r="J101" s="1">
        <v>46064.34652777778</v>
      </c>
      <c r="K101" s="1">
        <v>46064.380555555559</v>
      </c>
      <c r="L101" s="1">
        <v>46064.394444444442</v>
      </c>
      <c r="M101" s="1">
        <v>46064.402083333334</v>
      </c>
      <c r="N101" s="1">
        <v>46064.40902777778</v>
      </c>
      <c r="O101">
        <v>4</v>
      </c>
      <c r="P101" t="s">
        <v>37</v>
      </c>
      <c r="Q101" t="s">
        <v>69</v>
      </c>
      <c r="R101" t="s">
        <v>251</v>
      </c>
      <c r="S101" t="s">
        <v>71</v>
      </c>
      <c r="T101">
        <v>2000</v>
      </c>
      <c r="U101" t="s">
        <v>91</v>
      </c>
      <c r="V101" t="s">
        <v>36</v>
      </c>
      <c r="W101">
        <v>1</v>
      </c>
      <c r="X101" t="s">
        <v>37</v>
      </c>
      <c r="Y101">
        <v>4</v>
      </c>
      <c r="Z101" t="s">
        <v>102</v>
      </c>
    </row>
    <row r="102" spans="1:26" x14ac:dyDescent="0.2">
      <c r="A102" t="s">
        <v>333</v>
      </c>
      <c r="B102" t="s">
        <v>334</v>
      </c>
      <c r="C102" s="1">
        <v>46086</v>
      </c>
      <c r="D102" t="s">
        <v>80</v>
      </c>
      <c r="E102">
        <v>39</v>
      </c>
      <c r="F102">
        <v>4.0999999999999996</v>
      </c>
      <c r="G102" t="s">
        <v>29</v>
      </c>
      <c r="H102" t="s">
        <v>157</v>
      </c>
      <c r="I102" s="1">
        <v>46086.273611111108</v>
      </c>
      <c r="J102" s="1">
        <v>46086.282638888886</v>
      </c>
      <c r="K102" s="1">
        <v>46086.321527777778</v>
      </c>
      <c r="L102" s="1">
        <v>46086.333333333336</v>
      </c>
      <c r="M102" s="1">
        <v>46086.356249999997</v>
      </c>
      <c r="N102" s="1">
        <v>46086.361111111109</v>
      </c>
      <c r="O102">
        <v>4</v>
      </c>
      <c r="P102" t="s">
        <v>31</v>
      </c>
      <c r="Q102" t="s">
        <v>43</v>
      </c>
      <c r="R102" t="s">
        <v>58</v>
      </c>
      <c r="S102" t="s">
        <v>45</v>
      </c>
      <c r="T102">
        <v>2500</v>
      </c>
      <c r="U102" t="s">
        <v>35</v>
      </c>
      <c r="V102" t="s">
        <v>36</v>
      </c>
      <c r="W102">
        <v>1</v>
      </c>
      <c r="X102" t="s">
        <v>37</v>
      </c>
      <c r="Y102">
        <v>2</v>
      </c>
      <c r="Z102" t="s">
        <v>131</v>
      </c>
    </row>
    <row r="103" spans="1:26" x14ac:dyDescent="0.2">
      <c r="A103" t="s">
        <v>335</v>
      </c>
      <c r="B103" t="s">
        <v>336</v>
      </c>
      <c r="C103" s="1">
        <v>46093</v>
      </c>
      <c r="D103" t="s">
        <v>49</v>
      </c>
      <c r="E103">
        <v>13</v>
      </c>
      <c r="F103">
        <v>11.8</v>
      </c>
      <c r="G103" t="s">
        <v>50</v>
      </c>
      <c r="H103" t="s">
        <v>167</v>
      </c>
      <c r="I103" s="1">
        <v>46093.390972222223</v>
      </c>
      <c r="J103" s="1">
        <v>46093.401388888888</v>
      </c>
      <c r="K103" s="1">
        <v>46093.457638888889</v>
      </c>
      <c r="L103" s="1">
        <v>46093.46875</v>
      </c>
      <c r="M103" s="1">
        <v>46093.509027777778</v>
      </c>
      <c r="N103" s="1">
        <v>46093.518750000003</v>
      </c>
      <c r="O103">
        <v>2</v>
      </c>
      <c r="P103" t="s">
        <v>37</v>
      </c>
      <c r="Q103" t="s">
        <v>69</v>
      </c>
      <c r="R103" t="s">
        <v>111</v>
      </c>
      <c r="S103" t="s">
        <v>71</v>
      </c>
      <c r="T103">
        <v>2000</v>
      </c>
      <c r="U103" t="s">
        <v>35</v>
      </c>
      <c r="V103" t="s">
        <v>36</v>
      </c>
      <c r="W103">
        <v>1</v>
      </c>
      <c r="X103" t="s">
        <v>37</v>
      </c>
      <c r="Y103">
        <v>1</v>
      </c>
      <c r="Z103" t="s">
        <v>38</v>
      </c>
    </row>
    <row r="104" spans="1:26" hidden="1" x14ac:dyDescent="0.2">
      <c r="A104" t="s">
        <v>337</v>
      </c>
      <c r="B104" t="s">
        <v>338</v>
      </c>
      <c r="C104" s="1">
        <v>46083</v>
      </c>
      <c r="D104" t="s">
        <v>285</v>
      </c>
      <c r="E104">
        <v>37</v>
      </c>
      <c r="F104">
        <v>5.0999999999999996</v>
      </c>
      <c r="G104" t="s">
        <v>81</v>
      </c>
      <c r="H104" t="s">
        <v>167</v>
      </c>
      <c r="I104" s="1">
        <v>46083.27847222222</v>
      </c>
      <c r="J104" s="1">
        <v>46083.290277777778</v>
      </c>
      <c r="K104" s="1">
        <v>46083.351388888892</v>
      </c>
      <c r="L104" s="1">
        <v>46083.361111111109</v>
      </c>
      <c r="M104" s="1">
        <v>46083.393750000003</v>
      </c>
      <c r="N104" s="1">
        <v>46083.411805555559</v>
      </c>
      <c r="O104">
        <v>5</v>
      </c>
      <c r="P104" t="s">
        <v>37</v>
      </c>
      <c r="Q104" t="s">
        <v>43</v>
      </c>
      <c r="R104" t="s">
        <v>158</v>
      </c>
      <c r="S104" t="s">
        <v>45</v>
      </c>
      <c r="T104">
        <v>2500</v>
      </c>
      <c r="U104" t="s">
        <v>35</v>
      </c>
      <c r="V104" t="s">
        <v>36</v>
      </c>
      <c r="W104">
        <v>1</v>
      </c>
      <c r="X104" t="s">
        <v>37</v>
      </c>
      <c r="Y104">
        <v>4</v>
      </c>
      <c r="Z104" t="s">
        <v>46</v>
      </c>
    </row>
    <row r="105" spans="1:26" hidden="1" x14ac:dyDescent="0.2">
      <c r="A105" t="s">
        <v>339</v>
      </c>
      <c r="B105" t="s">
        <v>340</v>
      </c>
      <c r="C105" s="1">
        <v>46070</v>
      </c>
      <c r="D105" t="s">
        <v>289</v>
      </c>
      <c r="E105">
        <v>24</v>
      </c>
      <c r="F105">
        <v>10.4</v>
      </c>
      <c r="G105" t="s">
        <v>29</v>
      </c>
      <c r="H105" t="s">
        <v>65</v>
      </c>
      <c r="I105" s="1">
        <v>46070.334027777775</v>
      </c>
      <c r="J105" s="1">
        <v>46070.343055555553</v>
      </c>
      <c r="K105" s="1">
        <v>46070.401388888888</v>
      </c>
      <c r="L105" s="1">
        <v>46070.409722222219</v>
      </c>
      <c r="M105" s="1">
        <v>46070.448611111111</v>
      </c>
      <c r="N105" s="1">
        <v>46070.45416666667</v>
      </c>
      <c r="O105">
        <v>5</v>
      </c>
      <c r="P105" t="s">
        <v>37</v>
      </c>
      <c r="Q105" t="s">
        <v>32</v>
      </c>
      <c r="R105" t="s">
        <v>140</v>
      </c>
      <c r="S105" t="s">
        <v>34</v>
      </c>
      <c r="T105">
        <v>5000</v>
      </c>
      <c r="U105" t="s">
        <v>35</v>
      </c>
      <c r="V105" t="s">
        <v>36</v>
      </c>
      <c r="W105">
        <v>1</v>
      </c>
      <c r="X105" t="s">
        <v>37</v>
      </c>
      <c r="Y105">
        <v>5</v>
      </c>
      <c r="Z105" t="s">
        <v>168</v>
      </c>
    </row>
    <row r="106" spans="1:26" hidden="1" x14ac:dyDescent="0.2">
      <c r="A106" t="s">
        <v>341</v>
      </c>
      <c r="B106" t="s">
        <v>342</v>
      </c>
      <c r="C106" s="1">
        <v>46110</v>
      </c>
      <c r="D106" t="s">
        <v>41</v>
      </c>
      <c r="E106">
        <v>17</v>
      </c>
      <c r="F106">
        <v>4.2</v>
      </c>
      <c r="G106" t="s">
        <v>76</v>
      </c>
      <c r="H106" t="s">
        <v>157</v>
      </c>
      <c r="I106" s="1">
        <v>46110.276388888888</v>
      </c>
      <c r="J106" s="1">
        <v>46110.288888888892</v>
      </c>
      <c r="K106" s="1">
        <v>46110.313888888886</v>
      </c>
      <c r="L106" s="1">
        <v>46110.326388888891</v>
      </c>
      <c r="M106" s="1">
        <v>46110.355555555558</v>
      </c>
      <c r="N106" s="1">
        <v>46110.386111111111</v>
      </c>
      <c r="O106">
        <v>4</v>
      </c>
      <c r="P106" t="s">
        <v>37</v>
      </c>
      <c r="Q106" t="s">
        <v>32</v>
      </c>
      <c r="R106" t="s">
        <v>77</v>
      </c>
      <c r="S106" t="s">
        <v>34</v>
      </c>
      <c r="T106">
        <v>5000</v>
      </c>
      <c r="U106" t="s">
        <v>35</v>
      </c>
      <c r="V106" t="s">
        <v>36</v>
      </c>
      <c r="W106">
        <v>1</v>
      </c>
      <c r="X106" t="s">
        <v>37</v>
      </c>
      <c r="Y106">
        <v>3</v>
      </c>
      <c r="Z106" t="s">
        <v>54</v>
      </c>
    </row>
    <row r="107" spans="1:26" hidden="1" x14ac:dyDescent="0.2">
      <c r="A107" t="s">
        <v>343</v>
      </c>
      <c r="B107" t="s">
        <v>344</v>
      </c>
      <c r="C107" s="1">
        <v>46064</v>
      </c>
      <c r="D107" t="s">
        <v>94</v>
      </c>
      <c r="E107">
        <v>29</v>
      </c>
      <c r="F107">
        <v>6.5</v>
      </c>
      <c r="G107" t="s">
        <v>57</v>
      </c>
      <c r="H107" t="s">
        <v>157</v>
      </c>
      <c r="I107" s="1">
        <v>46064.411805555559</v>
      </c>
      <c r="J107" s="1">
        <v>46064.427083333336</v>
      </c>
      <c r="K107" s="1">
        <v>46064.463888888888</v>
      </c>
      <c r="L107" s="1">
        <v>46064.474999999999</v>
      </c>
      <c r="M107" s="1">
        <v>46064.511805555558</v>
      </c>
      <c r="N107" s="1">
        <v>46064.526388888888</v>
      </c>
      <c r="O107">
        <v>5</v>
      </c>
      <c r="P107" t="s">
        <v>37</v>
      </c>
      <c r="Q107" t="s">
        <v>43</v>
      </c>
      <c r="R107" t="s">
        <v>44</v>
      </c>
      <c r="S107" t="s">
        <v>45</v>
      </c>
      <c r="T107">
        <v>2500</v>
      </c>
      <c r="U107" t="s">
        <v>91</v>
      </c>
      <c r="V107" t="s">
        <v>36</v>
      </c>
      <c r="W107">
        <v>1</v>
      </c>
      <c r="X107" t="s">
        <v>37</v>
      </c>
      <c r="Y107">
        <v>4</v>
      </c>
      <c r="Z107" t="s">
        <v>161</v>
      </c>
    </row>
    <row r="108" spans="1:26" hidden="1" x14ac:dyDescent="0.2">
      <c r="A108" t="s">
        <v>345</v>
      </c>
      <c r="B108" t="s">
        <v>346</v>
      </c>
      <c r="C108" s="1">
        <v>46049</v>
      </c>
      <c r="D108" t="s">
        <v>114</v>
      </c>
      <c r="E108">
        <v>35</v>
      </c>
      <c r="F108">
        <v>6.8</v>
      </c>
      <c r="G108" t="s">
        <v>76</v>
      </c>
      <c r="H108" t="s">
        <v>167</v>
      </c>
      <c r="I108" s="1">
        <v>46049.271527777775</v>
      </c>
      <c r="J108" s="1">
        <v>46049.287499999999</v>
      </c>
      <c r="K108" s="1">
        <v>46049.342361111114</v>
      </c>
      <c r="L108" s="1">
        <v>46049.354166666664</v>
      </c>
      <c r="M108" s="1">
        <v>46049.378472222219</v>
      </c>
      <c r="N108" s="1">
        <v>46049.397222222222</v>
      </c>
      <c r="O108">
        <v>7</v>
      </c>
      <c r="P108" t="s">
        <v>37</v>
      </c>
      <c r="Q108" t="s">
        <v>43</v>
      </c>
      <c r="R108" t="s">
        <v>58</v>
      </c>
      <c r="S108" t="s">
        <v>45</v>
      </c>
      <c r="T108">
        <v>2500</v>
      </c>
      <c r="U108" t="s">
        <v>35</v>
      </c>
      <c r="V108" t="s">
        <v>36</v>
      </c>
      <c r="W108">
        <v>1</v>
      </c>
      <c r="X108" t="s">
        <v>37</v>
      </c>
      <c r="Y108">
        <v>5</v>
      </c>
      <c r="Z108" t="s">
        <v>99</v>
      </c>
    </row>
    <row r="109" spans="1:26" hidden="1" x14ac:dyDescent="0.2">
      <c r="A109" t="s">
        <v>347</v>
      </c>
      <c r="B109" t="s">
        <v>348</v>
      </c>
      <c r="C109" s="1">
        <v>46106</v>
      </c>
      <c r="D109" t="s">
        <v>49</v>
      </c>
      <c r="E109">
        <v>17</v>
      </c>
      <c r="F109">
        <v>10.6</v>
      </c>
      <c r="G109" t="s">
        <v>76</v>
      </c>
      <c r="H109" t="s">
        <v>65</v>
      </c>
      <c r="I109" s="1">
        <v>46106.373611111114</v>
      </c>
      <c r="J109" s="1">
        <v>46106.382638888892</v>
      </c>
      <c r="K109" s="1">
        <v>46106.401388888888</v>
      </c>
      <c r="L109" s="1">
        <v>46106.406944444447</v>
      </c>
      <c r="M109" s="1">
        <v>46106.440972222219</v>
      </c>
      <c r="N109" s="1">
        <v>46106.470138888886</v>
      </c>
      <c r="O109">
        <v>2</v>
      </c>
      <c r="P109" t="s">
        <v>52</v>
      </c>
      <c r="Q109" t="s">
        <v>43</v>
      </c>
      <c r="R109" t="s">
        <v>158</v>
      </c>
      <c r="S109" t="s">
        <v>45</v>
      </c>
      <c r="T109">
        <v>2500</v>
      </c>
      <c r="U109" t="s">
        <v>35</v>
      </c>
      <c r="V109" t="s">
        <v>36</v>
      </c>
      <c r="W109">
        <v>1</v>
      </c>
      <c r="X109" t="s">
        <v>37</v>
      </c>
      <c r="Y109">
        <v>3</v>
      </c>
      <c r="Z109" t="s">
        <v>117</v>
      </c>
    </row>
    <row r="110" spans="1:26" hidden="1" x14ac:dyDescent="0.2">
      <c r="A110" t="s">
        <v>349</v>
      </c>
      <c r="B110" t="s">
        <v>350</v>
      </c>
      <c r="C110" s="1">
        <v>46065</v>
      </c>
      <c r="D110" t="s">
        <v>114</v>
      </c>
      <c r="E110">
        <v>13</v>
      </c>
      <c r="F110">
        <v>4</v>
      </c>
      <c r="G110" t="s">
        <v>81</v>
      </c>
      <c r="H110" t="s">
        <v>95</v>
      </c>
      <c r="I110" s="1">
        <v>46065.322222222225</v>
      </c>
      <c r="J110" s="1">
        <v>46065.339583333334</v>
      </c>
      <c r="K110" s="1">
        <v>46065.388194444444</v>
      </c>
      <c r="L110" s="1">
        <v>46065.402083333334</v>
      </c>
      <c r="M110" s="1">
        <v>46065.4375</v>
      </c>
      <c r="N110" s="1">
        <v>46065.449305555558</v>
      </c>
      <c r="O110">
        <v>7</v>
      </c>
      <c r="P110" t="s">
        <v>37</v>
      </c>
      <c r="Q110" t="s">
        <v>43</v>
      </c>
      <c r="R110" t="s">
        <v>90</v>
      </c>
      <c r="S110" t="s">
        <v>45</v>
      </c>
      <c r="T110">
        <v>2500</v>
      </c>
      <c r="U110" t="s">
        <v>35</v>
      </c>
      <c r="V110" t="s">
        <v>36</v>
      </c>
      <c r="W110">
        <v>1</v>
      </c>
      <c r="X110" t="s">
        <v>37</v>
      </c>
      <c r="Y110">
        <v>5</v>
      </c>
      <c r="Z110" t="s">
        <v>117</v>
      </c>
    </row>
    <row r="111" spans="1:26" hidden="1" x14ac:dyDescent="0.2">
      <c r="A111" t="s">
        <v>351</v>
      </c>
      <c r="B111" t="s">
        <v>352</v>
      </c>
      <c r="C111" s="1">
        <v>46096</v>
      </c>
      <c r="D111" t="s">
        <v>41</v>
      </c>
      <c r="E111">
        <v>16</v>
      </c>
      <c r="F111">
        <v>7.3</v>
      </c>
      <c r="G111" t="s">
        <v>57</v>
      </c>
      <c r="H111" t="s">
        <v>51</v>
      </c>
      <c r="I111" s="1">
        <v>46096.398611111108</v>
      </c>
      <c r="J111" s="1">
        <v>46096.410416666666</v>
      </c>
      <c r="K111" s="1">
        <v>46096.461111111108</v>
      </c>
      <c r="L111" s="1">
        <v>46096.468055555553</v>
      </c>
      <c r="M111" s="1">
        <v>46096.507638888892</v>
      </c>
      <c r="N111" s="1">
        <v>46096.523611111108</v>
      </c>
      <c r="O111">
        <v>1</v>
      </c>
      <c r="P111" t="s">
        <v>31</v>
      </c>
      <c r="Q111" t="s">
        <v>69</v>
      </c>
      <c r="R111" t="s">
        <v>111</v>
      </c>
      <c r="S111" t="s">
        <v>71</v>
      </c>
      <c r="T111">
        <v>2000</v>
      </c>
      <c r="U111" t="s">
        <v>35</v>
      </c>
      <c r="V111" t="s">
        <v>59</v>
      </c>
      <c r="W111">
        <v>3</v>
      </c>
      <c r="X111" t="s">
        <v>353</v>
      </c>
      <c r="Y111">
        <v>4</v>
      </c>
      <c r="Z111" t="s">
        <v>134</v>
      </c>
    </row>
    <row r="112" spans="1:26" hidden="1" x14ac:dyDescent="0.2">
      <c r="A112" t="s">
        <v>354</v>
      </c>
      <c r="B112" t="s">
        <v>355</v>
      </c>
      <c r="C112" s="1">
        <v>46090</v>
      </c>
      <c r="D112" t="s">
        <v>186</v>
      </c>
      <c r="E112">
        <v>37</v>
      </c>
      <c r="F112">
        <v>7.7</v>
      </c>
      <c r="G112" t="s">
        <v>57</v>
      </c>
      <c r="H112" t="s">
        <v>42</v>
      </c>
      <c r="I112" s="1">
        <v>46090.269444444442</v>
      </c>
      <c r="J112" s="1">
        <v>46090.279861111114</v>
      </c>
      <c r="K112" s="1">
        <v>46090.300694444442</v>
      </c>
      <c r="L112" s="1">
        <v>46090.313888888886</v>
      </c>
      <c r="M112" s="1">
        <v>46090.349305555559</v>
      </c>
      <c r="N112" s="1">
        <v>46090.363888888889</v>
      </c>
      <c r="O112">
        <v>6</v>
      </c>
      <c r="P112" t="s">
        <v>52</v>
      </c>
      <c r="Q112" t="s">
        <v>82</v>
      </c>
      <c r="R112" t="s">
        <v>239</v>
      </c>
      <c r="S112" t="s">
        <v>84</v>
      </c>
      <c r="T112">
        <v>4000</v>
      </c>
      <c r="U112" t="s">
        <v>35</v>
      </c>
      <c r="V112" t="s">
        <v>36</v>
      </c>
      <c r="W112">
        <v>1</v>
      </c>
      <c r="X112" t="s">
        <v>37</v>
      </c>
      <c r="Y112">
        <v>5</v>
      </c>
      <c r="Z112" t="s">
        <v>54</v>
      </c>
    </row>
    <row r="113" spans="1:26" hidden="1" x14ac:dyDescent="0.2">
      <c r="A113" t="s">
        <v>356</v>
      </c>
      <c r="B113" t="s">
        <v>357</v>
      </c>
      <c r="C113" s="1">
        <v>46101</v>
      </c>
      <c r="D113" t="s">
        <v>230</v>
      </c>
      <c r="E113">
        <v>37</v>
      </c>
      <c r="F113">
        <v>6.6</v>
      </c>
      <c r="G113" t="s">
        <v>50</v>
      </c>
      <c r="H113" t="s">
        <v>30</v>
      </c>
      <c r="I113" s="1">
        <v>46101.26666666667</v>
      </c>
      <c r="J113" s="1">
        <v>46101.273611111108</v>
      </c>
      <c r="K113" s="1">
        <v>46101.292361111111</v>
      </c>
      <c r="L113" s="1">
        <v>46101.306250000001</v>
      </c>
      <c r="M113" s="1">
        <v>46101.32708333333</v>
      </c>
      <c r="N113" s="1">
        <v>46101.34097222222</v>
      </c>
      <c r="O113">
        <v>1</v>
      </c>
      <c r="P113" t="s">
        <v>106</v>
      </c>
      <c r="Q113" t="s">
        <v>43</v>
      </c>
      <c r="R113" t="s">
        <v>200</v>
      </c>
      <c r="S113" t="s">
        <v>45</v>
      </c>
      <c r="T113">
        <v>2500</v>
      </c>
      <c r="U113" t="s">
        <v>35</v>
      </c>
      <c r="V113" t="s">
        <v>36</v>
      </c>
      <c r="W113">
        <v>1</v>
      </c>
      <c r="X113" t="s">
        <v>37</v>
      </c>
      <c r="Y113">
        <v>4</v>
      </c>
      <c r="Z113" t="s">
        <v>215</v>
      </c>
    </row>
    <row r="114" spans="1:26" hidden="1" x14ac:dyDescent="0.2">
      <c r="A114" t="s">
        <v>358</v>
      </c>
      <c r="B114" t="s">
        <v>359</v>
      </c>
      <c r="C114" s="1">
        <v>46024</v>
      </c>
      <c r="D114" t="s">
        <v>49</v>
      </c>
      <c r="E114">
        <v>8</v>
      </c>
      <c r="F114">
        <v>9.3000000000000007</v>
      </c>
      <c r="G114" t="s">
        <v>50</v>
      </c>
      <c r="H114" t="s">
        <v>167</v>
      </c>
      <c r="I114" s="1">
        <v>46024.277777777781</v>
      </c>
      <c r="J114" s="1">
        <v>46024.289583333331</v>
      </c>
      <c r="K114" s="1">
        <v>46024.34097222222</v>
      </c>
      <c r="L114" s="1">
        <v>46024.350694444445</v>
      </c>
      <c r="M114" s="1">
        <v>46024.388194444444</v>
      </c>
      <c r="N114" s="1">
        <v>46024.396527777775</v>
      </c>
      <c r="O114">
        <v>6</v>
      </c>
      <c r="P114" t="s">
        <v>37</v>
      </c>
      <c r="Q114" t="s">
        <v>96</v>
      </c>
      <c r="R114" t="s">
        <v>164</v>
      </c>
      <c r="S114" t="s">
        <v>98</v>
      </c>
      <c r="T114">
        <v>3000</v>
      </c>
      <c r="U114" t="s">
        <v>35</v>
      </c>
      <c r="V114" t="s">
        <v>36</v>
      </c>
      <c r="W114">
        <v>1</v>
      </c>
      <c r="X114" t="s">
        <v>37</v>
      </c>
      <c r="Y114">
        <v>3</v>
      </c>
      <c r="Z114" t="s">
        <v>296</v>
      </c>
    </row>
    <row r="115" spans="1:26" hidden="1" x14ac:dyDescent="0.2">
      <c r="A115" t="s">
        <v>360</v>
      </c>
      <c r="B115" t="s">
        <v>361</v>
      </c>
      <c r="C115" s="1">
        <v>46042</v>
      </c>
      <c r="D115" t="s">
        <v>225</v>
      </c>
      <c r="E115">
        <v>31</v>
      </c>
      <c r="F115">
        <v>9.6</v>
      </c>
      <c r="G115" t="s">
        <v>50</v>
      </c>
      <c r="H115" t="s">
        <v>42</v>
      </c>
      <c r="I115" s="1">
        <v>46042.345138888886</v>
      </c>
      <c r="J115" s="1">
        <v>46042.365972222222</v>
      </c>
      <c r="K115" s="1">
        <v>46042.39166666667</v>
      </c>
      <c r="L115" s="1">
        <v>46042.400000000001</v>
      </c>
      <c r="M115" s="1">
        <v>46042.436805555553</v>
      </c>
      <c r="N115" s="1">
        <v>46042.466666666667</v>
      </c>
      <c r="O115">
        <v>7</v>
      </c>
      <c r="P115" t="s">
        <v>37</v>
      </c>
      <c r="Q115" t="s">
        <v>69</v>
      </c>
      <c r="R115" t="s">
        <v>251</v>
      </c>
      <c r="S115" t="s">
        <v>71</v>
      </c>
      <c r="T115">
        <v>2000</v>
      </c>
      <c r="U115" t="s">
        <v>35</v>
      </c>
      <c r="V115" t="s">
        <v>36</v>
      </c>
      <c r="W115">
        <v>1</v>
      </c>
      <c r="X115" t="s">
        <v>37</v>
      </c>
      <c r="Y115">
        <v>4</v>
      </c>
      <c r="Z115" t="s">
        <v>86</v>
      </c>
    </row>
    <row r="116" spans="1:26" hidden="1" x14ac:dyDescent="0.2">
      <c r="A116" t="s">
        <v>362</v>
      </c>
      <c r="B116" t="s">
        <v>363</v>
      </c>
      <c r="C116" s="1">
        <v>46037</v>
      </c>
      <c r="D116" t="s">
        <v>110</v>
      </c>
      <c r="E116">
        <v>39</v>
      </c>
      <c r="F116">
        <v>5.2</v>
      </c>
      <c r="G116" t="s">
        <v>76</v>
      </c>
      <c r="H116" t="s">
        <v>42</v>
      </c>
      <c r="I116" s="1">
        <v>46037.342361111114</v>
      </c>
      <c r="J116" s="1">
        <v>46037.355555555558</v>
      </c>
      <c r="K116" s="1">
        <v>46037.37222222222</v>
      </c>
      <c r="L116" s="1">
        <v>46037.379861111112</v>
      </c>
      <c r="M116" s="1">
        <v>46037.418055555558</v>
      </c>
      <c r="N116" s="1">
        <v>46037.447222222225</v>
      </c>
      <c r="O116">
        <v>4</v>
      </c>
      <c r="P116" t="s">
        <v>31</v>
      </c>
      <c r="Q116" t="s">
        <v>69</v>
      </c>
      <c r="R116" t="s">
        <v>146</v>
      </c>
      <c r="S116" t="s">
        <v>71</v>
      </c>
      <c r="T116">
        <v>2000</v>
      </c>
      <c r="U116" t="s">
        <v>35</v>
      </c>
      <c r="V116" t="s">
        <v>36</v>
      </c>
      <c r="W116">
        <v>1</v>
      </c>
      <c r="X116" t="s">
        <v>37</v>
      </c>
      <c r="Y116">
        <v>3</v>
      </c>
      <c r="Z116" t="s">
        <v>168</v>
      </c>
    </row>
    <row r="117" spans="1:26" hidden="1" x14ac:dyDescent="0.2">
      <c r="A117" t="s">
        <v>364</v>
      </c>
      <c r="B117" t="s">
        <v>365</v>
      </c>
      <c r="C117" s="1">
        <v>46095</v>
      </c>
      <c r="D117" t="s">
        <v>110</v>
      </c>
      <c r="E117">
        <v>24</v>
      </c>
      <c r="F117">
        <v>9.8000000000000007</v>
      </c>
      <c r="G117" t="s">
        <v>50</v>
      </c>
      <c r="H117" t="s">
        <v>167</v>
      </c>
      <c r="I117" s="1">
        <v>46095.395138888889</v>
      </c>
      <c r="J117" s="1">
        <v>46095.398611111108</v>
      </c>
      <c r="K117" s="1">
        <v>46095.424305555556</v>
      </c>
      <c r="L117" s="1">
        <v>46095.429166666669</v>
      </c>
      <c r="M117" s="1">
        <v>46095.4375</v>
      </c>
      <c r="N117" s="1">
        <v>46095.459722222222</v>
      </c>
      <c r="O117">
        <v>3</v>
      </c>
      <c r="P117" t="s">
        <v>37</v>
      </c>
      <c r="Q117" t="s">
        <v>69</v>
      </c>
      <c r="R117" t="s">
        <v>70</v>
      </c>
      <c r="S117" t="s">
        <v>71</v>
      </c>
      <c r="T117">
        <v>2000</v>
      </c>
      <c r="U117" t="s">
        <v>35</v>
      </c>
      <c r="V117" t="s">
        <v>36</v>
      </c>
      <c r="W117">
        <v>1</v>
      </c>
      <c r="X117" t="s">
        <v>37</v>
      </c>
      <c r="Y117">
        <v>5</v>
      </c>
      <c r="Z117" t="s">
        <v>86</v>
      </c>
    </row>
    <row r="118" spans="1:26" hidden="1" x14ac:dyDescent="0.2">
      <c r="A118" t="s">
        <v>366</v>
      </c>
      <c r="B118" t="s">
        <v>367</v>
      </c>
      <c r="C118" s="1">
        <v>46027</v>
      </c>
      <c r="D118" t="s">
        <v>149</v>
      </c>
      <c r="E118">
        <v>13</v>
      </c>
      <c r="F118">
        <v>10.1</v>
      </c>
      <c r="G118" t="s">
        <v>50</v>
      </c>
      <c r="H118" t="s">
        <v>167</v>
      </c>
      <c r="I118" s="1">
        <v>46027.408333333333</v>
      </c>
      <c r="J118" s="1">
        <v>46027.420138888891</v>
      </c>
      <c r="K118" s="1">
        <v>46027.466666666667</v>
      </c>
      <c r="L118" s="1">
        <v>46027.478472222225</v>
      </c>
      <c r="M118" s="1">
        <v>46027.502083333333</v>
      </c>
      <c r="N118" s="1">
        <v>46027.509027777778</v>
      </c>
      <c r="O118">
        <v>6</v>
      </c>
      <c r="P118" t="s">
        <v>37</v>
      </c>
      <c r="Q118" t="s">
        <v>43</v>
      </c>
      <c r="R118" t="s">
        <v>158</v>
      </c>
      <c r="S118" t="s">
        <v>45</v>
      </c>
      <c r="T118">
        <v>2500</v>
      </c>
      <c r="U118" t="s">
        <v>35</v>
      </c>
      <c r="V118" t="s">
        <v>36</v>
      </c>
      <c r="W118">
        <v>1</v>
      </c>
      <c r="X118" t="s">
        <v>37</v>
      </c>
      <c r="Y118">
        <v>5</v>
      </c>
      <c r="Z118" t="s">
        <v>117</v>
      </c>
    </row>
    <row r="119" spans="1:26" hidden="1" x14ac:dyDescent="0.2">
      <c r="A119" t="s">
        <v>368</v>
      </c>
      <c r="B119" t="s">
        <v>369</v>
      </c>
      <c r="C119" s="1">
        <v>46091</v>
      </c>
      <c r="D119" t="s">
        <v>220</v>
      </c>
      <c r="E119">
        <v>19</v>
      </c>
      <c r="F119">
        <v>10.7</v>
      </c>
      <c r="G119" t="s">
        <v>29</v>
      </c>
      <c r="H119" t="s">
        <v>167</v>
      </c>
      <c r="I119" s="1">
        <v>46091.331944444442</v>
      </c>
      <c r="J119" s="1">
        <v>46091.35</v>
      </c>
      <c r="K119" s="1">
        <v>46091.404861111114</v>
      </c>
      <c r="L119" s="1">
        <v>46091.417361111111</v>
      </c>
      <c r="M119" s="1">
        <v>46091.447916666664</v>
      </c>
      <c r="N119" s="1">
        <v>46091.468055555553</v>
      </c>
      <c r="O119">
        <v>7</v>
      </c>
      <c r="P119" t="s">
        <v>115</v>
      </c>
      <c r="Q119" t="s">
        <v>69</v>
      </c>
      <c r="R119" t="s">
        <v>146</v>
      </c>
      <c r="S119" t="s">
        <v>71</v>
      </c>
      <c r="T119">
        <v>2000</v>
      </c>
      <c r="U119" t="s">
        <v>35</v>
      </c>
      <c r="V119" t="s">
        <v>36</v>
      </c>
      <c r="W119">
        <v>1</v>
      </c>
      <c r="X119" t="s">
        <v>37</v>
      </c>
      <c r="Y119">
        <v>5</v>
      </c>
      <c r="Z119" t="s">
        <v>38</v>
      </c>
    </row>
    <row r="120" spans="1:26" hidden="1" x14ac:dyDescent="0.2">
      <c r="A120" t="s">
        <v>370</v>
      </c>
      <c r="B120" t="s">
        <v>371</v>
      </c>
      <c r="C120" s="1">
        <v>46027</v>
      </c>
      <c r="D120" t="s">
        <v>154</v>
      </c>
      <c r="E120">
        <v>6</v>
      </c>
      <c r="F120">
        <v>5.9</v>
      </c>
      <c r="G120" t="s">
        <v>29</v>
      </c>
      <c r="H120" t="s">
        <v>51</v>
      </c>
      <c r="I120" s="1">
        <v>46027.355555555558</v>
      </c>
      <c r="J120" s="1">
        <v>46027.359722222223</v>
      </c>
      <c r="K120" s="1">
        <v>46027.40625</v>
      </c>
      <c r="L120" s="1">
        <v>46027.410416666666</v>
      </c>
      <c r="M120" s="1">
        <v>46027.427777777775</v>
      </c>
      <c r="N120" s="1">
        <v>46027.432638888888</v>
      </c>
      <c r="O120">
        <v>4</v>
      </c>
      <c r="P120" t="s">
        <v>37</v>
      </c>
      <c r="Q120" t="s">
        <v>43</v>
      </c>
      <c r="R120" t="s">
        <v>44</v>
      </c>
      <c r="S120" t="s">
        <v>45</v>
      </c>
      <c r="T120">
        <v>2500</v>
      </c>
      <c r="U120" t="s">
        <v>35</v>
      </c>
      <c r="V120" t="s">
        <v>36</v>
      </c>
      <c r="W120">
        <v>1</v>
      </c>
      <c r="X120" t="s">
        <v>37</v>
      </c>
      <c r="Y120">
        <v>5</v>
      </c>
      <c r="Z120" t="s">
        <v>296</v>
      </c>
    </row>
    <row r="121" spans="1:26" hidden="1" x14ac:dyDescent="0.2">
      <c r="A121" t="s">
        <v>372</v>
      </c>
      <c r="B121" t="s">
        <v>373</v>
      </c>
      <c r="C121" s="1">
        <v>46060</v>
      </c>
      <c r="D121" t="s">
        <v>41</v>
      </c>
      <c r="E121">
        <v>25</v>
      </c>
      <c r="F121">
        <v>5.9</v>
      </c>
      <c r="G121" t="s">
        <v>57</v>
      </c>
      <c r="H121" t="s">
        <v>30</v>
      </c>
      <c r="I121" s="1">
        <v>46060.342361111114</v>
      </c>
      <c r="J121" s="1">
        <v>46060.350694444445</v>
      </c>
      <c r="K121" s="1">
        <v>46060.393750000003</v>
      </c>
      <c r="L121" s="1">
        <v>46060.40347222222</v>
      </c>
      <c r="M121" s="1">
        <v>46060.422222222223</v>
      </c>
      <c r="N121" s="1">
        <v>46060.427777777775</v>
      </c>
      <c r="O121">
        <v>5</v>
      </c>
      <c r="P121" t="s">
        <v>37</v>
      </c>
      <c r="Q121" t="s">
        <v>69</v>
      </c>
      <c r="R121" t="s">
        <v>251</v>
      </c>
      <c r="S121" t="s">
        <v>71</v>
      </c>
      <c r="T121">
        <v>2000</v>
      </c>
      <c r="U121" t="s">
        <v>35</v>
      </c>
      <c r="V121" t="s">
        <v>59</v>
      </c>
      <c r="W121">
        <v>4</v>
      </c>
      <c r="X121" t="s">
        <v>374</v>
      </c>
      <c r="Y121">
        <v>4</v>
      </c>
      <c r="Z121" t="s">
        <v>99</v>
      </c>
    </row>
    <row r="122" spans="1:26" x14ac:dyDescent="0.2">
      <c r="A122" t="s">
        <v>375</v>
      </c>
      <c r="B122" t="s">
        <v>376</v>
      </c>
      <c r="C122" s="1">
        <v>46108</v>
      </c>
      <c r="D122" t="s">
        <v>220</v>
      </c>
      <c r="E122">
        <v>31</v>
      </c>
      <c r="F122">
        <v>7.3</v>
      </c>
      <c r="G122" t="s">
        <v>76</v>
      </c>
      <c r="H122" t="s">
        <v>157</v>
      </c>
      <c r="I122" s="1">
        <v>46108.282638888886</v>
      </c>
      <c r="J122" s="1">
        <v>46108.302777777775</v>
      </c>
      <c r="K122" s="1">
        <v>46108.356944444444</v>
      </c>
      <c r="L122" s="1">
        <v>46108.370833333334</v>
      </c>
      <c r="M122" s="1">
        <v>46108.388194444444</v>
      </c>
      <c r="N122" s="1">
        <v>46108.401388888888</v>
      </c>
      <c r="O122">
        <v>3</v>
      </c>
      <c r="P122" t="s">
        <v>37</v>
      </c>
      <c r="Q122" t="s">
        <v>69</v>
      </c>
      <c r="R122" t="s">
        <v>251</v>
      </c>
      <c r="S122" t="s">
        <v>71</v>
      </c>
      <c r="T122">
        <v>2000</v>
      </c>
      <c r="U122" t="s">
        <v>35</v>
      </c>
      <c r="V122" t="s">
        <v>36</v>
      </c>
      <c r="W122">
        <v>1</v>
      </c>
      <c r="X122" t="s">
        <v>37</v>
      </c>
      <c r="Y122">
        <v>2</v>
      </c>
      <c r="Z122" t="s">
        <v>168</v>
      </c>
    </row>
    <row r="123" spans="1:26" x14ac:dyDescent="0.2">
      <c r="A123" t="s">
        <v>377</v>
      </c>
      <c r="B123" t="s">
        <v>378</v>
      </c>
      <c r="C123" s="1">
        <v>46094</v>
      </c>
      <c r="D123" t="s">
        <v>285</v>
      </c>
      <c r="E123">
        <v>20</v>
      </c>
      <c r="F123">
        <v>6</v>
      </c>
      <c r="G123" t="s">
        <v>76</v>
      </c>
      <c r="H123" t="s">
        <v>30</v>
      </c>
      <c r="I123" s="1">
        <v>46094.263888888891</v>
      </c>
      <c r="J123" s="1">
        <v>46094.277083333334</v>
      </c>
      <c r="K123" s="1">
        <v>46094.316666666666</v>
      </c>
      <c r="L123" s="1">
        <v>46094.321527777778</v>
      </c>
      <c r="M123" s="1">
        <v>46094.352083333331</v>
      </c>
      <c r="N123" s="1">
        <v>46094.363888888889</v>
      </c>
      <c r="O123">
        <v>1</v>
      </c>
      <c r="P123" t="s">
        <v>52</v>
      </c>
      <c r="Q123" t="s">
        <v>82</v>
      </c>
      <c r="R123" t="s">
        <v>214</v>
      </c>
      <c r="S123" t="s">
        <v>84</v>
      </c>
      <c r="T123">
        <v>4000</v>
      </c>
      <c r="U123" t="s">
        <v>35</v>
      </c>
      <c r="V123" t="s">
        <v>36</v>
      </c>
      <c r="W123">
        <v>1</v>
      </c>
      <c r="X123" t="s">
        <v>37</v>
      </c>
      <c r="Y123">
        <v>2</v>
      </c>
      <c r="Z123" t="s">
        <v>61</v>
      </c>
    </row>
    <row r="124" spans="1:26" hidden="1" x14ac:dyDescent="0.2">
      <c r="A124" t="s">
        <v>379</v>
      </c>
      <c r="B124" t="s">
        <v>380</v>
      </c>
      <c r="C124" s="1">
        <v>46108</v>
      </c>
      <c r="D124" t="s">
        <v>75</v>
      </c>
      <c r="E124">
        <v>18</v>
      </c>
      <c r="F124">
        <v>11</v>
      </c>
      <c r="G124" t="s">
        <v>76</v>
      </c>
      <c r="H124" t="s">
        <v>167</v>
      </c>
      <c r="I124" s="1">
        <v>46108.411111111112</v>
      </c>
      <c r="J124" s="1">
        <v>46108.414583333331</v>
      </c>
      <c r="K124" s="1">
        <v>46108.44027777778</v>
      </c>
      <c r="L124" s="1">
        <v>46108.447916666664</v>
      </c>
      <c r="M124" s="1">
        <v>46108.487500000003</v>
      </c>
      <c r="N124" s="1">
        <v>46108.495833333334</v>
      </c>
      <c r="O124">
        <v>6</v>
      </c>
      <c r="P124" t="s">
        <v>37</v>
      </c>
      <c r="Q124" t="s">
        <v>82</v>
      </c>
      <c r="R124" t="s">
        <v>214</v>
      </c>
      <c r="S124" t="s">
        <v>84</v>
      </c>
      <c r="T124">
        <v>4000</v>
      </c>
      <c r="U124" t="s">
        <v>35</v>
      </c>
      <c r="V124" t="s">
        <v>36</v>
      </c>
      <c r="W124">
        <v>1</v>
      </c>
      <c r="X124" t="s">
        <v>37</v>
      </c>
      <c r="Y124">
        <v>4</v>
      </c>
      <c r="Z124" t="s">
        <v>54</v>
      </c>
    </row>
    <row r="125" spans="1:26" hidden="1" x14ac:dyDescent="0.2">
      <c r="A125" t="s">
        <v>381</v>
      </c>
      <c r="B125" t="s">
        <v>382</v>
      </c>
      <c r="C125" s="1">
        <v>46053</v>
      </c>
      <c r="D125" t="s">
        <v>75</v>
      </c>
      <c r="E125">
        <v>29</v>
      </c>
      <c r="F125">
        <v>7.7</v>
      </c>
      <c r="G125" t="s">
        <v>76</v>
      </c>
      <c r="H125" t="s">
        <v>167</v>
      </c>
      <c r="I125" s="1">
        <v>46053.29583333333</v>
      </c>
      <c r="J125" s="1">
        <v>46053.306944444441</v>
      </c>
      <c r="K125" s="1">
        <v>46053.359027777777</v>
      </c>
      <c r="L125" s="1">
        <v>46053.372916666667</v>
      </c>
      <c r="M125" s="1">
        <v>46053.4</v>
      </c>
      <c r="N125" s="1">
        <v>46053.407638888886</v>
      </c>
      <c r="O125">
        <v>7</v>
      </c>
      <c r="P125" t="s">
        <v>37</v>
      </c>
      <c r="Q125" t="s">
        <v>96</v>
      </c>
      <c r="R125" t="s">
        <v>214</v>
      </c>
      <c r="S125" t="s">
        <v>98</v>
      </c>
      <c r="T125">
        <v>3000</v>
      </c>
      <c r="U125" t="s">
        <v>35</v>
      </c>
      <c r="V125" t="s">
        <v>59</v>
      </c>
      <c r="W125">
        <v>2</v>
      </c>
      <c r="X125" t="s">
        <v>353</v>
      </c>
      <c r="Y125">
        <v>4</v>
      </c>
      <c r="Z125" t="s">
        <v>102</v>
      </c>
    </row>
    <row r="126" spans="1:26" hidden="1" x14ac:dyDescent="0.2">
      <c r="A126" t="s">
        <v>383</v>
      </c>
      <c r="B126" t="s">
        <v>384</v>
      </c>
      <c r="C126" s="1">
        <v>46051</v>
      </c>
      <c r="D126" t="s">
        <v>233</v>
      </c>
      <c r="E126">
        <v>21</v>
      </c>
      <c r="F126">
        <v>8.4</v>
      </c>
      <c r="G126" t="s">
        <v>81</v>
      </c>
      <c r="H126" t="s">
        <v>65</v>
      </c>
      <c r="I126" s="1">
        <v>46051.37777777778</v>
      </c>
      <c r="J126" s="1">
        <v>46051.390277777777</v>
      </c>
      <c r="K126" s="1">
        <v>46051.42291666667</v>
      </c>
      <c r="L126" s="1">
        <v>46051.429166666669</v>
      </c>
      <c r="M126" s="1">
        <v>46051.444444444445</v>
      </c>
      <c r="N126" s="1">
        <v>46051.462500000001</v>
      </c>
      <c r="O126">
        <v>2</v>
      </c>
      <c r="P126" t="s">
        <v>37</v>
      </c>
      <c r="Q126" t="s">
        <v>82</v>
      </c>
      <c r="R126" t="s">
        <v>286</v>
      </c>
      <c r="S126" t="s">
        <v>84</v>
      </c>
      <c r="T126">
        <v>4000</v>
      </c>
      <c r="U126" t="s">
        <v>35</v>
      </c>
      <c r="V126" t="s">
        <v>36</v>
      </c>
      <c r="W126">
        <v>1</v>
      </c>
      <c r="X126" t="s">
        <v>37</v>
      </c>
      <c r="Y126">
        <v>5</v>
      </c>
      <c r="Z126" t="s">
        <v>134</v>
      </c>
    </row>
    <row r="127" spans="1:26" x14ac:dyDescent="0.2">
      <c r="A127" t="s">
        <v>385</v>
      </c>
      <c r="B127" t="s">
        <v>386</v>
      </c>
      <c r="C127" s="1">
        <v>46055</v>
      </c>
      <c r="D127" t="s">
        <v>137</v>
      </c>
      <c r="E127">
        <v>34</v>
      </c>
      <c r="F127">
        <v>5.3</v>
      </c>
      <c r="G127" t="s">
        <v>76</v>
      </c>
      <c r="H127" t="s">
        <v>95</v>
      </c>
      <c r="I127" s="1">
        <v>46055.274305555555</v>
      </c>
      <c r="J127" s="1">
        <v>46055.293749999997</v>
      </c>
      <c r="K127" s="1">
        <v>46055.348611111112</v>
      </c>
      <c r="L127" s="1">
        <v>46055.362500000003</v>
      </c>
      <c r="M127" s="1">
        <v>46055.377083333333</v>
      </c>
      <c r="N127" s="1">
        <v>46055.404166666667</v>
      </c>
      <c r="O127">
        <v>6</v>
      </c>
      <c r="P127" t="s">
        <v>37</v>
      </c>
      <c r="Q127" t="s">
        <v>43</v>
      </c>
      <c r="R127" t="s">
        <v>200</v>
      </c>
      <c r="S127" t="s">
        <v>45</v>
      </c>
      <c r="T127">
        <v>2500</v>
      </c>
      <c r="U127" t="s">
        <v>35</v>
      </c>
      <c r="V127" t="s">
        <v>59</v>
      </c>
      <c r="W127">
        <v>1</v>
      </c>
      <c r="X127" t="s">
        <v>60</v>
      </c>
      <c r="Y127">
        <v>1</v>
      </c>
      <c r="Z127" t="s">
        <v>102</v>
      </c>
    </row>
    <row r="128" spans="1:26" hidden="1" x14ac:dyDescent="0.2">
      <c r="A128" t="s">
        <v>387</v>
      </c>
      <c r="B128" t="s">
        <v>388</v>
      </c>
      <c r="C128" s="1">
        <v>46040</v>
      </c>
      <c r="D128" t="s">
        <v>64</v>
      </c>
      <c r="E128">
        <v>14</v>
      </c>
      <c r="F128">
        <v>4.0999999999999996</v>
      </c>
      <c r="G128" t="s">
        <v>81</v>
      </c>
      <c r="H128" t="s">
        <v>157</v>
      </c>
      <c r="I128" s="1">
        <v>46040.315972222219</v>
      </c>
      <c r="J128" s="1">
        <v>46040.320138888892</v>
      </c>
      <c r="K128" s="1">
        <v>46040.381944444445</v>
      </c>
      <c r="L128" s="1">
        <v>46040.395833333336</v>
      </c>
      <c r="M128" s="1">
        <v>46040.431944444441</v>
      </c>
      <c r="N128" s="1">
        <v>46040.456944444442</v>
      </c>
      <c r="O128">
        <v>1</v>
      </c>
      <c r="P128" t="s">
        <v>31</v>
      </c>
      <c r="Q128" t="s">
        <v>82</v>
      </c>
      <c r="R128" t="s">
        <v>286</v>
      </c>
      <c r="S128" t="s">
        <v>84</v>
      </c>
      <c r="T128">
        <v>4000</v>
      </c>
      <c r="U128" t="s">
        <v>35</v>
      </c>
      <c r="V128" t="s">
        <v>36</v>
      </c>
      <c r="W128">
        <v>1</v>
      </c>
      <c r="X128" t="s">
        <v>37</v>
      </c>
      <c r="Y128">
        <v>5</v>
      </c>
      <c r="Z128" t="s">
        <v>131</v>
      </c>
    </row>
    <row r="129" spans="1:26" hidden="1" x14ac:dyDescent="0.2">
      <c r="A129" t="s">
        <v>389</v>
      </c>
      <c r="B129" t="s">
        <v>390</v>
      </c>
      <c r="C129" s="1">
        <v>46025</v>
      </c>
      <c r="D129" t="s">
        <v>285</v>
      </c>
      <c r="E129">
        <v>11</v>
      </c>
      <c r="F129">
        <v>11.3</v>
      </c>
      <c r="G129" t="s">
        <v>81</v>
      </c>
      <c r="H129" t="s">
        <v>95</v>
      </c>
      <c r="I129" s="1">
        <v>46025.292361111111</v>
      </c>
      <c r="J129" s="1">
        <v>46025.3</v>
      </c>
      <c r="K129" s="1">
        <v>46025.361805555556</v>
      </c>
      <c r="L129" s="1">
        <v>46025.370833333334</v>
      </c>
      <c r="M129" s="1">
        <v>46025.393055555556</v>
      </c>
      <c r="N129" s="1">
        <v>46025.408333333333</v>
      </c>
      <c r="O129">
        <v>7</v>
      </c>
      <c r="P129" t="s">
        <v>37</v>
      </c>
      <c r="Q129" t="s">
        <v>43</v>
      </c>
      <c r="R129" t="s">
        <v>158</v>
      </c>
      <c r="S129" t="s">
        <v>45</v>
      </c>
      <c r="T129">
        <v>2500</v>
      </c>
      <c r="U129" t="s">
        <v>35</v>
      </c>
      <c r="V129" t="s">
        <v>36</v>
      </c>
      <c r="W129">
        <v>1</v>
      </c>
      <c r="X129" t="s">
        <v>37</v>
      </c>
      <c r="Y129">
        <v>4</v>
      </c>
      <c r="Z129" t="s">
        <v>38</v>
      </c>
    </row>
    <row r="130" spans="1:26" hidden="1" x14ac:dyDescent="0.2">
      <c r="A130" t="s">
        <v>391</v>
      </c>
      <c r="B130" t="s">
        <v>392</v>
      </c>
      <c r="C130" s="1">
        <v>46061</v>
      </c>
      <c r="D130" t="s">
        <v>94</v>
      </c>
      <c r="E130">
        <v>10</v>
      </c>
      <c r="F130">
        <v>7.2</v>
      </c>
      <c r="G130" t="s">
        <v>50</v>
      </c>
      <c r="H130" t="s">
        <v>65</v>
      </c>
      <c r="I130" s="1">
        <v>46061.334027777775</v>
      </c>
      <c r="J130" s="1">
        <v>46061.338194444441</v>
      </c>
      <c r="K130" s="1">
        <v>46061.345833333333</v>
      </c>
      <c r="L130" s="1">
        <v>46061.352777777778</v>
      </c>
      <c r="M130" s="1">
        <v>46061.363194444442</v>
      </c>
      <c r="N130" s="1">
        <v>46061.388194444444</v>
      </c>
      <c r="O130">
        <v>7</v>
      </c>
      <c r="P130" t="s">
        <v>37</v>
      </c>
      <c r="Q130" t="s">
        <v>32</v>
      </c>
      <c r="R130" t="s">
        <v>107</v>
      </c>
      <c r="S130" t="s">
        <v>34</v>
      </c>
      <c r="T130">
        <v>5000</v>
      </c>
      <c r="U130" t="s">
        <v>35</v>
      </c>
      <c r="V130" t="s">
        <v>36</v>
      </c>
      <c r="W130">
        <v>1</v>
      </c>
      <c r="X130" t="s">
        <v>37</v>
      </c>
      <c r="Y130">
        <v>5</v>
      </c>
      <c r="Z130" t="s">
        <v>117</v>
      </c>
    </row>
    <row r="131" spans="1:26" hidden="1" x14ac:dyDescent="0.2">
      <c r="A131" t="s">
        <v>393</v>
      </c>
      <c r="B131" t="s">
        <v>394</v>
      </c>
      <c r="C131" s="1">
        <v>46028</v>
      </c>
      <c r="D131" t="s">
        <v>41</v>
      </c>
      <c r="E131">
        <v>35</v>
      </c>
      <c r="F131">
        <v>6.2</v>
      </c>
      <c r="G131" t="s">
        <v>29</v>
      </c>
      <c r="H131" t="s">
        <v>30</v>
      </c>
      <c r="I131" s="1">
        <v>46028.413888888892</v>
      </c>
      <c r="J131" s="1">
        <v>46028.42291666667</v>
      </c>
      <c r="K131" s="1">
        <v>46028.477777777778</v>
      </c>
      <c r="L131" s="1">
        <v>46028.481944444444</v>
      </c>
      <c r="M131" s="1">
        <v>46028.496527777781</v>
      </c>
      <c r="N131" s="1">
        <v>46028.513888888891</v>
      </c>
      <c r="O131">
        <v>1</v>
      </c>
      <c r="P131" t="s">
        <v>37</v>
      </c>
      <c r="Q131" t="s">
        <v>82</v>
      </c>
      <c r="R131" t="s">
        <v>239</v>
      </c>
      <c r="S131" t="s">
        <v>84</v>
      </c>
      <c r="T131">
        <v>4000</v>
      </c>
      <c r="U131" t="s">
        <v>35</v>
      </c>
      <c r="V131" t="s">
        <v>36</v>
      </c>
      <c r="W131">
        <v>1</v>
      </c>
      <c r="X131" t="s">
        <v>37</v>
      </c>
      <c r="Y131">
        <v>5</v>
      </c>
      <c r="Z131" t="s">
        <v>168</v>
      </c>
    </row>
    <row r="132" spans="1:26" hidden="1" x14ac:dyDescent="0.2">
      <c r="A132" t="s">
        <v>395</v>
      </c>
      <c r="B132" t="s">
        <v>396</v>
      </c>
      <c r="C132" s="1">
        <v>46061</v>
      </c>
      <c r="D132" t="s">
        <v>126</v>
      </c>
      <c r="E132">
        <v>29</v>
      </c>
      <c r="F132">
        <v>9.4</v>
      </c>
      <c r="G132" t="s">
        <v>81</v>
      </c>
      <c r="H132" t="s">
        <v>167</v>
      </c>
      <c r="I132" s="1">
        <v>46061.318055555559</v>
      </c>
      <c r="J132" s="1">
        <v>46061.338194444441</v>
      </c>
      <c r="K132" s="1">
        <v>46061.356944444444</v>
      </c>
      <c r="L132" s="1">
        <v>46061.361805555556</v>
      </c>
      <c r="M132" s="1">
        <v>46061.390972222223</v>
      </c>
      <c r="N132" s="1">
        <v>46061.409722222219</v>
      </c>
      <c r="O132">
        <v>1</v>
      </c>
      <c r="P132" t="s">
        <v>106</v>
      </c>
      <c r="Q132" t="s">
        <v>69</v>
      </c>
      <c r="R132" t="s">
        <v>146</v>
      </c>
      <c r="S132" t="s">
        <v>71</v>
      </c>
      <c r="T132">
        <v>2000</v>
      </c>
      <c r="U132" t="s">
        <v>35</v>
      </c>
      <c r="V132" t="s">
        <v>36</v>
      </c>
      <c r="W132">
        <v>1</v>
      </c>
      <c r="X132" t="s">
        <v>37</v>
      </c>
      <c r="Y132">
        <v>5</v>
      </c>
      <c r="Z132" t="s">
        <v>215</v>
      </c>
    </row>
    <row r="133" spans="1:26" hidden="1" x14ac:dyDescent="0.2">
      <c r="A133" t="s">
        <v>397</v>
      </c>
      <c r="B133" t="s">
        <v>398</v>
      </c>
      <c r="C133" s="1">
        <v>46064</v>
      </c>
      <c r="D133" t="s">
        <v>178</v>
      </c>
      <c r="E133">
        <v>36</v>
      </c>
      <c r="F133">
        <v>5.8</v>
      </c>
      <c r="G133" t="s">
        <v>81</v>
      </c>
      <c r="H133" t="s">
        <v>157</v>
      </c>
      <c r="I133" s="1">
        <v>46064.326388888891</v>
      </c>
      <c r="J133" s="1">
        <v>46064.333333333336</v>
      </c>
      <c r="K133" s="1">
        <v>46064.39166666667</v>
      </c>
      <c r="L133" s="1">
        <v>46064.40347222222</v>
      </c>
      <c r="M133" s="1">
        <v>46064.413888888892</v>
      </c>
      <c r="N133" s="1">
        <v>46064.444444444445</v>
      </c>
      <c r="O133">
        <v>3</v>
      </c>
      <c r="P133" t="s">
        <v>37</v>
      </c>
      <c r="Q133" t="s">
        <v>96</v>
      </c>
      <c r="R133" t="s">
        <v>97</v>
      </c>
      <c r="S133" t="s">
        <v>98</v>
      </c>
      <c r="T133">
        <v>3000</v>
      </c>
      <c r="U133" t="s">
        <v>35</v>
      </c>
      <c r="V133" t="s">
        <v>36</v>
      </c>
      <c r="W133">
        <v>1</v>
      </c>
      <c r="X133" t="s">
        <v>37</v>
      </c>
      <c r="Y133">
        <v>3</v>
      </c>
      <c r="Z133" t="s">
        <v>38</v>
      </c>
    </row>
    <row r="134" spans="1:26" x14ac:dyDescent="0.2">
      <c r="A134" t="s">
        <v>399</v>
      </c>
      <c r="B134" t="s">
        <v>400</v>
      </c>
      <c r="C134" s="1">
        <v>46042</v>
      </c>
      <c r="D134" t="s">
        <v>233</v>
      </c>
      <c r="E134">
        <v>28</v>
      </c>
      <c r="F134">
        <v>4.9000000000000004</v>
      </c>
      <c r="G134" t="s">
        <v>29</v>
      </c>
      <c r="H134" t="s">
        <v>167</v>
      </c>
      <c r="I134" s="1">
        <v>46042.328472222223</v>
      </c>
      <c r="J134" s="1">
        <v>46042.339583333334</v>
      </c>
      <c r="K134" s="1">
        <v>46042.370138888888</v>
      </c>
      <c r="L134" s="1">
        <v>46042.375694444447</v>
      </c>
      <c r="M134" s="1">
        <v>46042.388194444444</v>
      </c>
      <c r="N134" s="1">
        <v>46042.395138888889</v>
      </c>
      <c r="O134">
        <v>2</v>
      </c>
      <c r="P134" t="s">
        <v>37</v>
      </c>
      <c r="Q134" t="s">
        <v>43</v>
      </c>
      <c r="R134" t="s">
        <v>58</v>
      </c>
      <c r="S134" t="s">
        <v>45</v>
      </c>
      <c r="T134">
        <v>2500</v>
      </c>
      <c r="U134" t="s">
        <v>35</v>
      </c>
      <c r="V134" t="s">
        <v>36</v>
      </c>
      <c r="W134">
        <v>1</v>
      </c>
      <c r="X134" t="s">
        <v>37</v>
      </c>
      <c r="Y134">
        <v>2</v>
      </c>
      <c r="Z134" t="s">
        <v>117</v>
      </c>
    </row>
    <row r="135" spans="1:26" hidden="1" x14ac:dyDescent="0.2">
      <c r="A135" t="s">
        <v>401</v>
      </c>
      <c r="B135" t="s">
        <v>402</v>
      </c>
      <c r="C135" s="1">
        <v>46093</v>
      </c>
      <c r="D135" t="s">
        <v>89</v>
      </c>
      <c r="E135">
        <v>29</v>
      </c>
      <c r="F135">
        <v>4.0999999999999996</v>
      </c>
      <c r="G135" t="s">
        <v>50</v>
      </c>
      <c r="H135" t="s">
        <v>157</v>
      </c>
      <c r="I135" s="1">
        <v>46093.388194444444</v>
      </c>
      <c r="J135" s="1">
        <v>46093.393055555556</v>
      </c>
      <c r="K135" s="1">
        <v>46093.449305555558</v>
      </c>
      <c r="L135" s="1">
        <v>46093.457638888889</v>
      </c>
      <c r="M135" s="1">
        <v>46093.489583333336</v>
      </c>
      <c r="N135" s="1">
        <v>46093.515972222223</v>
      </c>
      <c r="O135">
        <v>2</v>
      </c>
      <c r="P135" t="s">
        <v>37</v>
      </c>
      <c r="Q135" t="s">
        <v>69</v>
      </c>
      <c r="R135" t="s">
        <v>251</v>
      </c>
      <c r="S135" t="s">
        <v>71</v>
      </c>
      <c r="T135">
        <v>2000</v>
      </c>
      <c r="U135" t="s">
        <v>35</v>
      </c>
      <c r="V135" t="s">
        <v>36</v>
      </c>
      <c r="W135">
        <v>1</v>
      </c>
      <c r="X135" t="s">
        <v>37</v>
      </c>
      <c r="Y135">
        <v>3</v>
      </c>
      <c r="Z135" t="s">
        <v>296</v>
      </c>
    </row>
    <row r="136" spans="1:26" hidden="1" x14ac:dyDescent="0.2">
      <c r="A136" t="s">
        <v>403</v>
      </c>
      <c r="B136" t="s">
        <v>404</v>
      </c>
      <c r="C136" s="1">
        <v>46044</v>
      </c>
      <c r="D136" t="s">
        <v>181</v>
      </c>
      <c r="E136">
        <v>24</v>
      </c>
      <c r="F136">
        <v>7.9</v>
      </c>
      <c r="G136" t="s">
        <v>29</v>
      </c>
      <c r="H136" t="s">
        <v>167</v>
      </c>
      <c r="I136" s="1">
        <v>46044.294444444444</v>
      </c>
      <c r="J136" s="1">
        <v>46044.302777777775</v>
      </c>
      <c r="K136" s="1">
        <v>46044.365277777775</v>
      </c>
      <c r="L136" s="1">
        <v>46044.379166666666</v>
      </c>
      <c r="M136" s="1">
        <v>46044.412499999999</v>
      </c>
      <c r="N136" s="1">
        <v>46044.443055555559</v>
      </c>
      <c r="O136">
        <v>2</v>
      </c>
      <c r="P136" t="s">
        <v>37</v>
      </c>
      <c r="Q136" t="s">
        <v>96</v>
      </c>
      <c r="R136" t="s">
        <v>97</v>
      </c>
      <c r="S136" t="s">
        <v>98</v>
      </c>
      <c r="T136">
        <v>3000</v>
      </c>
      <c r="U136" t="s">
        <v>35</v>
      </c>
      <c r="V136" t="s">
        <v>36</v>
      </c>
      <c r="W136">
        <v>1</v>
      </c>
      <c r="X136" t="s">
        <v>37</v>
      </c>
      <c r="Y136">
        <v>4</v>
      </c>
      <c r="Z136" t="s">
        <v>46</v>
      </c>
    </row>
    <row r="137" spans="1:26" hidden="1" x14ac:dyDescent="0.2">
      <c r="A137" t="s">
        <v>405</v>
      </c>
      <c r="B137" t="s">
        <v>406</v>
      </c>
      <c r="C137" s="1">
        <v>46071</v>
      </c>
      <c r="D137" t="s">
        <v>154</v>
      </c>
      <c r="E137">
        <v>26</v>
      </c>
      <c r="F137">
        <v>7.4</v>
      </c>
      <c r="G137" t="s">
        <v>81</v>
      </c>
      <c r="H137" t="s">
        <v>95</v>
      </c>
      <c r="I137" s="1">
        <v>46071.302777777775</v>
      </c>
      <c r="J137" s="1">
        <v>46071.313194444447</v>
      </c>
      <c r="K137" s="1">
        <v>46071.373611111114</v>
      </c>
      <c r="L137" s="1">
        <v>46071.381249999999</v>
      </c>
      <c r="M137" s="1">
        <v>46071.40902777778</v>
      </c>
      <c r="N137" s="1">
        <v>46071.426388888889</v>
      </c>
      <c r="O137">
        <v>2</v>
      </c>
      <c r="P137" t="s">
        <v>37</v>
      </c>
      <c r="Q137" t="s">
        <v>96</v>
      </c>
      <c r="R137" t="s">
        <v>97</v>
      </c>
      <c r="S137" t="s">
        <v>98</v>
      </c>
      <c r="T137">
        <v>3000</v>
      </c>
      <c r="U137" t="s">
        <v>91</v>
      </c>
      <c r="V137" t="s">
        <v>36</v>
      </c>
      <c r="W137">
        <v>1</v>
      </c>
      <c r="X137" t="s">
        <v>37</v>
      </c>
      <c r="Y137">
        <v>5</v>
      </c>
      <c r="Z137" t="s">
        <v>72</v>
      </c>
    </row>
    <row r="138" spans="1:26" hidden="1" x14ac:dyDescent="0.2">
      <c r="A138" t="s">
        <v>407</v>
      </c>
      <c r="B138" t="s">
        <v>408</v>
      </c>
      <c r="C138" s="1">
        <v>46054</v>
      </c>
      <c r="D138" t="s">
        <v>289</v>
      </c>
      <c r="E138">
        <v>30</v>
      </c>
      <c r="F138">
        <v>6.9</v>
      </c>
      <c r="G138" t="s">
        <v>81</v>
      </c>
      <c r="H138" t="s">
        <v>95</v>
      </c>
      <c r="I138" s="1">
        <v>46054.354861111111</v>
      </c>
      <c r="J138" s="1">
        <v>46054.370138888888</v>
      </c>
      <c r="K138" s="1">
        <v>46054.393055555556</v>
      </c>
      <c r="L138" s="1">
        <v>46054.396527777775</v>
      </c>
      <c r="M138" s="1">
        <v>46054.435416666667</v>
      </c>
      <c r="N138" s="1">
        <v>46054.459027777775</v>
      </c>
      <c r="O138">
        <v>6</v>
      </c>
      <c r="P138" t="s">
        <v>129</v>
      </c>
      <c r="Q138" t="s">
        <v>43</v>
      </c>
      <c r="R138" t="s">
        <v>58</v>
      </c>
      <c r="S138" t="s">
        <v>45</v>
      </c>
      <c r="T138">
        <v>2500</v>
      </c>
      <c r="U138" t="s">
        <v>35</v>
      </c>
      <c r="V138" t="s">
        <v>36</v>
      </c>
      <c r="W138">
        <v>1</v>
      </c>
      <c r="X138" t="s">
        <v>37</v>
      </c>
      <c r="Y138">
        <v>5</v>
      </c>
      <c r="Z138" t="s">
        <v>61</v>
      </c>
    </row>
    <row r="139" spans="1:26" x14ac:dyDescent="0.2">
      <c r="A139" t="s">
        <v>409</v>
      </c>
      <c r="B139" t="s">
        <v>410</v>
      </c>
      <c r="C139" s="1">
        <v>46109</v>
      </c>
      <c r="D139" t="s">
        <v>186</v>
      </c>
      <c r="E139">
        <v>24</v>
      </c>
      <c r="F139">
        <v>5.9</v>
      </c>
      <c r="G139" t="s">
        <v>57</v>
      </c>
      <c r="H139" t="s">
        <v>30</v>
      </c>
      <c r="I139" s="1">
        <v>46109.324999999997</v>
      </c>
      <c r="J139" s="1">
        <v>46109.345833333333</v>
      </c>
      <c r="K139" s="1">
        <v>46109.386111111111</v>
      </c>
      <c r="L139" s="1">
        <v>46109.390972222223</v>
      </c>
      <c r="M139" s="1">
        <v>46109.417361111111</v>
      </c>
      <c r="N139" s="1">
        <v>46109.447222222225</v>
      </c>
      <c r="O139">
        <v>4</v>
      </c>
      <c r="P139" t="s">
        <v>37</v>
      </c>
      <c r="Q139" t="s">
        <v>82</v>
      </c>
      <c r="R139" t="s">
        <v>211</v>
      </c>
      <c r="S139" t="s">
        <v>84</v>
      </c>
      <c r="T139">
        <v>4000</v>
      </c>
      <c r="U139" t="s">
        <v>35</v>
      </c>
      <c r="V139" t="s">
        <v>59</v>
      </c>
      <c r="W139">
        <v>4</v>
      </c>
      <c r="X139" t="s">
        <v>374</v>
      </c>
      <c r="Y139">
        <v>1</v>
      </c>
      <c r="Z139" t="s">
        <v>99</v>
      </c>
    </row>
    <row r="140" spans="1:26" hidden="1" x14ac:dyDescent="0.2">
      <c r="A140" t="s">
        <v>411</v>
      </c>
      <c r="B140" t="s">
        <v>412</v>
      </c>
      <c r="C140" s="1">
        <v>46099</v>
      </c>
      <c r="D140" t="s">
        <v>105</v>
      </c>
      <c r="E140">
        <v>20</v>
      </c>
      <c r="F140">
        <v>9.3000000000000007</v>
      </c>
      <c r="G140" t="s">
        <v>76</v>
      </c>
      <c r="H140" t="s">
        <v>95</v>
      </c>
      <c r="I140" s="1">
        <v>46099.364583333336</v>
      </c>
      <c r="J140" s="1">
        <v>46099.381249999999</v>
      </c>
      <c r="K140" s="1">
        <v>46099.39166666667</v>
      </c>
      <c r="L140" s="1">
        <v>46099.40347222222</v>
      </c>
      <c r="M140" s="1">
        <v>46099.443749999999</v>
      </c>
      <c r="N140" s="1">
        <v>46099.461805555555</v>
      </c>
      <c r="O140">
        <v>7</v>
      </c>
      <c r="P140" t="s">
        <v>37</v>
      </c>
      <c r="Q140" t="s">
        <v>32</v>
      </c>
      <c r="R140" t="s">
        <v>77</v>
      </c>
      <c r="S140" t="s">
        <v>34</v>
      </c>
      <c r="T140">
        <v>5000</v>
      </c>
      <c r="U140" t="s">
        <v>35</v>
      </c>
      <c r="V140" t="s">
        <v>36</v>
      </c>
      <c r="W140">
        <v>1</v>
      </c>
      <c r="X140" t="s">
        <v>37</v>
      </c>
      <c r="Y140">
        <v>4</v>
      </c>
      <c r="Z140" t="s">
        <v>131</v>
      </c>
    </row>
    <row r="141" spans="1:26" hidden="1" x14ac:dyDescent="0.2">
      <c r="A141" t="s">
        <v>413</v>
      </c>
      <c r="B141" t="s">
        <v>414</v>
      </c>
      <c r="C141" s="1">
        <v>46097</v>
      </c>
      <c r="D141" t="s">
        <v>114</v>
      </c>
      <c r="E141">
        <v>33</v>
      </c>
      <c r="F141">
        <v>7</v>
      </c>
      <c r="G141" t="s">
        <v>50</v>
      </c>
      <c r="H141" t="s">
        <v>42</v>
      </c>
      <c r="I141" s="1">
        <v>46097.370138888888</v>
      </c>
      <c r="J141" s="1">
        <v>46097.386111111111</v>
      </c>
      <c r="K141" s="1">
        <v>46097.4375</v>
      </c>
      <c r="L141" s="1">
        <v>46097.443749999999</v>
      </c>
      <c r="M141" s="1">
        <v>46097.46597222222</v>
      </c>
      <c r="N141" s="1">
        <v>46097.470138888886</v>
      </c>
      <c r="O141">
        <v>4</v>
      </c>
      <c r="P141" t="s">
        <v>115</v>
      </c>
      <c r="Q141" t="s">
        <v>69</v>
      </c>
      <c r="R141" t="s">
        <v>146</v>
      </c>
      <c r="S141" t="s">
        <v>71</v>
      </c>
      <c r="T141">
        <v>2000</v>
      </c>
      <c r="U141" t="s">
        <v>91</v>
      </c>
      <c r="V141" t="s">
        <v>36</v>
      </c>
      <c r="W141">
        <v>1</v>
      </c>
      <c r="X141" t="s">
        <v>37</v>
      </c>
      <c r="Y141">
        <v>5</v>
      </c>
      <c r="Z141" t="s">
        <v>38</v>
      </c>
    </row>
    <row r="142" spans="1:26" hidden="1" x14ac:dyDescent="0.2">
      <c r="A142" t="s">
        <v>415</v>
      </c>
      <c r="B142" t="s">
        <v>416</v>
      </c>
      <c r="C142" s="1">
        <v>46067</v>
      </c>
      <c r="D142" t="s">
        <v>149</v>
      </c>
      <c r="E142">
        <v>18</v>
      </c>
      <c r="F142">
        <v>8.1999999999999993</v>
      </c>
      <c r="G142" t="s">
        <v>76</v>
      </c>
      <c r="H142" t="s">
        <v>157</v>
      </c>
      <c r="I142" s="1">
        <v>46067.26666666667</v>
      </c>
      <c r="J142" s="1">
        <v>46067.279861111114</v>
      </c>
      <c r="K142" s="1">
        <v>46067.326388888891</v>
      </c>
      <c r="L142" s="1">
        <v>46067.336805555555</v>
      </c>
      <c r="M142" s="1">
        <v>46067.34652777778</v>
      </c>
      <c r="N142" s="1">
        <v>46067.363194444442</v>
      </c>
      <c r="O142">
        <v>1</v>
      </c>
      <c r="P142" t="s">
        <v>37</v>
      </c>
      <c r="Q142" t="s">
        <v>96</v>
      </c>
      <c r="R142" t="s">
        <v>97</v>
      </c>
      <c r="S142" t="s">
        <v>98</v>
      </c>
      <c r="T142">
        <v>3000</v>
      </c>
      <c r="U142" t="s">
        <v>35</v>
      </c>
      <c r="V142" t="s">
        <v>59</v>
      </c>
      <c r="W142">
        <v>1</v>
      </c>
      <c r="X142" t="s">
        <v>60</v>
      </c>
      <c r="Y142">
        <v>5</v>
      </c>
      <c r="Z142" t="s">
        <v>86</v>
      </c>
    </row>
    <row r="143" spans="1:26" hidden="1" x14ac:dyDescent="0.2">
      <c r="A143" t="s">
        <v>417</v>
      </c>
      <c r="B143" t="s">
        <v>418</v>
      </c>
      <c r="C143" s="1">
        <v>46089</v>
      </c>
      <c r="D143" t="s">
        <v>126</v>
      </c>
      <c r="E143">
        <v>26</v>
      </c>
      <c r="F143">
        <v>8.5</v>
      </c>
      <c r="G143" t="s">
        <v>50</v>
      </c>
      <c r="H143" t="s">
        <v>95</v>
      </c>
      <c r="I143" s="1">
        <v>46089.39166666667</v>
      </c>
      <c r="J143" s="1">
        <v>46089.40347222222</v>
      </c>
      <c r="K143" s="1">
        <v>46089.46597222222</v>
      </c>
      <c r="L143" s="1">
        <v>46089.472916666666</v>
      </c>
      <c r="M143" s="1">
        <v>46089.487500000003</v>
      </c>
      <c r="N143" s="1">
        <v>46089.518750000003</v>
      </c>
      <c r="O143">
        <v>6</v>
      </c>
      <c r="P143" t="s">
        <v>37</v>
      </c>
      <c r="Q143" t="s">
        <v>69</v>
      </c>
      <c r="R143" t="s">
        <v>146</v>
      </c>
      <c r="S143" t="s">
        <v>71</v>
      </c>
      <c r="T143">
        <v>2000</v>
      </c>
      <c r="U143" t="s">
        <v>35</v>
      </c>
      <c r="V143" t="s">
        <v>36</v>
      </c>
      <c r="W143">
        <v>1</v>
      </c>
      <c r="X143" t="s">
        <v>37</v>
      </c>
      <c r="Y143">
        <v>3</v>
      </c>
      <c r="Z143" t="s">
        <v>215</v>
      </c>
    </row>
    <row r="144" spans="1:26" hidden="1" x14ac:dyDescent="0.2">
      <c r="A144" t="s">
        <v>419</v>
      </c>
      <c r="B144" t="s">
        <v>420</v>
      </c>
      <c r="C144" s="1">
        <v>46072</v>
      </c>
      <c r="D144" t="s">
        <v>178</v>
      </c>
      <c r="E144">
        <v>22</v>
      </c>
      <c r="F144">
        <v>10</v>
      </c>
      <c r="G144" t="s">
        <v>29</v>
      </c>
      <c r="H144" t="s">
        <v>65</v>
      </c>
      <c r="I144" s="1">
        <v>46072.268055555556</v>
      </c>
      <c r="J144" s="1">
        <v>46072.288888888892</v>
      </c>
      <c r="K144" s="1">
        <v>46072.343055555553</v>
      </c>
      <c r="L144" s="1">
        <v>46072.35</v>
      </c>
      <c r="M144" s="1">
        <v>46072.372916666667</v>
      </c>
      <c r="N144" s="1">
        <v>46072.390277777777</v>
      </c>
      <c r="O144">
        <v>2</v>
      </c>
      <c r="P144" t="s">
        <v>37</v>
      </c>
      <c r="Q144" t="s">
        <v>82</v>
      </c>
      <c r="R144" t="s">
        <v>83</v>
      </c>
      <c r="S144" t="s">
        <v>84</v>
      </c>
      <c r="T144">
        <v>4000</v>
      </c>
      <c r="U144" t="s">
        <v>35</v>
      </c>
      <c r="V144" t="s">
        <v>59</v>
      </c>
      <c r="W144">
        <v>3</v>
      </c>
      <c r="X144" t="s">
        <v>374</v>
      </c>
      <c r="Y144">
        <v>4</v>
      </c>
      <c r="Z144" t="s">
        <v>168</v>
      </c>
    </row>
    <row r="145" spans="1:26" hidden="1" x14ac:dyDescent="0.2">
      <c r="A145" t="s">
        <v>421</v>
      </c>
      <c r="B145" t="s">
        <v>422</v>
      </c>
      <c r="C145" s="1">
        <v>46037</v>
      </c>
      <c r="D145" t="s">
        <v>242</v>
      </c>
      <c r="E145">
        <v>16</v>
      </c>
      <c r="F145">
        <v>10.5</v>
      </c>
      <c r="G145" t="s">
        <v>76</v>
      </c>
      <c r="H145" t="s">
        <v>65</v>
      </c>
      <c r="I145" s="1">
        <v>46037.354861111111</v>
      </c>
      <c r="J145" s="1">
        <v>46037.359722222223</v>
      </c>
      <c r="K145" s="1">
        <v>46037.378472222219</v>
      </c>
      <c r="L145" s="1">
        <v>46037.388888888891</v>
      </c>
      <c r="M145" s="1">
        <v>46037.400694444441</v>
      </c>
      <c r="N145" s="1">
        <v>46037.414583333331</v>
      </c>
      <c r="O145">
        <v>3</v>
      </c>
      <c r="P145" t="s">
        <v>129</v>
      </c>
      <c r="Q145" t="s">
        <v>96</v>
      </c>
      <c r="R145" t="s">
        <v>97</v>
      </c>
      <c r="S145" t="s">
        <v>98</v>
      </c>
      <c r="T145">
        <v>3000</v>
      </c>
      <c r="U145" t="s">
        <v>35</v>
      </c>
      <c r="V145" t="s">
        <v>36</v>
      </c>
      <c r="W145">
        <v>1</v>
      </c>
      <c r="X145" t="s">
        <v>37</v>
      </c>
      <c r="Y145">
        <v>4</v>
      </c>
      <c r="Z145" t="s">
        <v>296</v>
      </c>
    </row>
    <row r="146" spans="1:26" x14ac:dyDescent="0.2">
      <c r="A146" t="s">
        <v>423</v>
      </c>
      <c r="B146" t="s">
        <v>424</v>
      </c>
      <c r="C146" s="1">
        <v>46072</v>
      </c>
      <c r="D146" t="s">
        <v>181</v>
      </c>
      <c r="E146">
        <v>39</v>
      </c>
      <c r="F146">
        <v>9.5</v>
      </c>
      <c r="G146" t="s">
        <v>57</v>
      </c>
      <c r="H146" t="s">
        <v>65</v>
      </c>
      <c r="I146" s="1">
        <v>46072.279166666667</v>
      </c>
      <c r="J146" s="1">
        <v>46072.293055555558</v>
      </c>
      <c r="K146" s="1">
        <v>46072.324999999997</v>
      </c>
      <c r="L146" s="1">
        <v>46072.331250000003</v>
      </c>
      <c r="M146" s="1">
        <v>46072.345833333333</v>
      </c>
      <c r="N146" s="1">
        <v>46072.363194444442</v>
      </c>
      <c r="O146">
        <v>7</v>
      </c>
      <c r="P146" t="s">
        <v>37</v>
      </c>
      <c r="Q146" t="s">
        <v>82</v>
      </c>
      <c r="R146" t="s">
        <v>214</v>
      </c>
      <c r="S146" t="s">
        <v>84</v>
      </c>
      <c r="T146">
        <v>4000</v>
      </c>
      <c r="U146" t="s">
        <v>35</v>
      </c>
      <c r="V146" t="s">
        <v>36</v>
      </c>
      <c r="W146">
        <v>1</v>
      </c>
      <c r="X146" t="s">
        <v>37</v>
      </c>
      <c r="Y146">
        <v>1</v>
      </c>
      <c r="Z146" t="s">
        <v>296</v>
      </c>
    </row>
    <row r="147" spans="1:26" hidden="1" x14ac:dyDescent="0.2">
      <c r="A147" t="s">
        <v>425</v>
      </c>
      <c r="B147" t="s">
        <v>426</v>
      </c>
      <c r="C147" s="1">
        <v>46072</v>
      </c>
      <c r="D147" t="s">
        <v>75</v>
      </c>
      <c r="E147">
        <v>31</v>
      </c>
      <c r="F147">
        <v>9.5</v>
      </c>
      <c r="G147" t="s">
        <v>50</v>
      </c>
      <c r="H147" t="s">
        <v>30</v>
      </c>
      <c r="I147" s="1">
        <v>46072.399305555555</v>
      </c>
      <c r="J147" s="1">
        <v>46072.412499999999</v>
      </c>
      <c r="K147" s="1">
        <v>46072.462500000001</v>
      </c>
      <c r="L147" s="1">
        <v>46072.469444444447</v>
      </c>
      <c r="M147" s="1">
        <v>46072.479861111111</v>
      </c>
      <c r="N147" s="1">
        <v>46072.508333333331</v>
      </c>
      <c r="O147">
        <v>1</v>
      </c>
      <c r="P147" t="s">
        <v>37</v>
      </c>
      <c r="Q147" t="s">
        <v>69</v>
      </c>
      <c r="R147" t="s">
        <v>70</v>
      </c>
      <c r="S147" t="s">
        <v>71</v>
      </c>
      <c r="T147">
        <v>2000</v>
      </c>
      <c r="U147" t="s">
        <v>35</v>
      </c>
      <c r="V147" t="s">
        <v>36</v>
      </c>
      <c r="W147">
        <v>1</v>
      </c>
      <c r="X147" t="s">
        <v>37</v>
      </c>
      <c r="Y147">
        <v>3</v>
      </c>
      <c r="Z147" t="s">
        <v>161</v>
      </c>
    </row>
    <row r="148" spans="1:26" hidden="1" x14ac:dyDescent="0.2">
      <c r="A148" t="s">
        <v>427</v>
      </c>
      <c r="B148" t="s">
        <v>428</v>
      </c>
      <c r="C148" s="1">
        <v>46081</v>
      </c>
      <c r="D148" t="s">
        <v>254</v>
      </c>
      <c r="E148">
        <v>37</v>
      </c>
      <c r="F148">
        <v>4.9000000000000004</v>
      </c>
      <c r="G148" t="s">
        <v>29</v>
      </c>
      <c r="H148" t="s">
        <v>167</v>
      </c>
      <c r="I148" s="1">
        <v>46081.387499999997</v>
      </c>
      <c r="J148" s="1">
        <v>46081.402777777781</v>
      </c>
      <c r="K148" s="1">
        <v>46081.441666666666</v>
      </c>
      <c r="L148" s="1">
        <v>46081.445833333331</v>
      </c>
      <c r="M148" s="1">
        <v>46081.486111111109</v>
      </c>
      <c r="N148" s="1">
        <v>46081.509027777778</v>
      </c>
      <c r="O148">
        <v>5</v>
      </c>
      <c r="P148" t="s">
        <v>115</v>
      </c>
      <c r="Q148" t="s">
        <v>43</v>
      </c>
      <c r="R148" t="s">
        <v>44</v>
      </c>
      <c r="S148" t="s">
        <v>45</v>
      </c>
      <c r="T148">
        <v>2500</v>
      </c>
      <c r="U148" t="s">
        <v>35</v>
      </c>
      <c r="V148" t="s">
        <v>59</v>
      </c>
      <c r="W148">
        <v>2</v>
      </c>
      <c r="X148" t="s">
        <v>353</v>
      </c>
      <c r="Y148">
        <v>5</v>
      </c>
      <c r="Z148" t="s">
        <v>102</v>
      </c>
    </row>
    <row r="149" spans="1:26" hidden="1" x14ac:dyDescent="0.2">
      <c r="A149" t="s">
        <v>429</v>
      </c>
      <c r="B149" t="s">
        <v>430</v>
      </c>
      <c r="C149" s="1">
        <v>46056</v>
      </c>
      <c r="D149" t="s">
        <v>242</v>
      </c>
      <c r="E149">
        <v>12</v>
      </c>
      <c r="F149">
        <v>10.199999999999999</v>
      </c>
      <c r="G149" t="s">
        <v>57</v>
      </c>
      <c r="H149" t="s">
        <v>95</v>
      </c>
      <c r="I149" s="1">
        <v>46056.393750000003</v>
      </c>
      <c r="J149" s="1">
        <v>46056.413194444445</v>
      </c>
      <c r="K149" s="1">
        <v>46056.472222222219</v>
      </c>
      <c r="L149" s="1">
        <v>46056.48333333333</v>
      </c>
      <c r="M149" s="1">
        <v>46056.521527777775</v>
      </c>
      <c r="N149" s="1">
        <v>46056.552083333336</v>
      </c>
      <c r="O149">
        <v>6</v>
      </c>
      <c r="P149" t="s">
        <v>37</v>
      </c>
      <c r="Q149" t="s">
        <v>32</v>
      </c>
      <c r="R149" t="s">
        <v>53</v>
      </c>
      <c r="S149" t="s">
        <v>34</v>
      </c>
      <c r="T149">
        <v>5000</v>
      </c>
      <c r="U149" t="s">
        <v>35</v>
      </c>
      <c r="V149" t="s">
        <v>36</v>
      </c>
      <c r="W149">
        <v>1</v>
      </c>
      <c r="X149" t="s">
        <v>37</v>
      </c>
      <c r="Y149">
        <v>5</v>
      </c>
      <c r="Z149" t="s">
        <v>61</v>
      </c>
    </row>
    <row r="150" spans="1:26" hidden="1" x14ac:dyDescent="0.2">
      <c r="A150" t="s">
        <v>431</v>
      </c>
      <c r="B150" t="s">
        <v>432</v>
      </c>
      <c r="C150" s="1">
        <v>46095</v>
      </c>
      <c r="D150" t="s">
        <v>242</v>
      </c>
      <c r="E150">
        <v>39</v>
      </c>
      <c r="F150">
        <v>5.3</v>
      </c>
      <c r="G150" t="s">
        <v>76</v>
      </c>
      <c r="H150" t="s">
        <v>167</v>
      </c>
      <c r="I150" s="1">
        <v>46095.351388888892</v>
      </c>
      <c r="J150" s="1">
        <v>46095.36041666667</v>
      </c>
      <c r="K150" s="1">
        <v>46095.412499999999</v>
      </c>
      <c r="L150" s="1">
        <v>46095.418055555558</v>
      </c>
      <c r="M150" s="1">
        <v>46095.430555555555</v>
      </c>
      <c r="N150" s="1">
        <v>46095.45208333333</v>
      </c>
      <c r="O150">
        <v>1</v>
      </c>
      <c r="P150" t="s">
        <v>37</v>
      </c>
      <c r="Q150" t="s">
        <v>69</v>
      </c>
      <c r="R150" t="s">
        <v>251</v>
      </c>
      <c r="S150" t="s">
        <v>71</v>
      </c>
      <c r="T150">
        <v>2000</v>
      </c>
      <c r="U150" t="s">
        <v>35</v>
      </c>
      <c r="V150" t="s">
        <v>36</v>
      </c>
      <c r="W150">
        <v>1</v>
      </c>
      <c r="X150" t="s">
        <v>37</v>
      </c>
      <c r="Y150">
        <v>5</v>
      </c>
      <c r="Z150" t="s">
        <v>54</v>
      </c>
    </row>
    <row r="151" spans="1:26" hidden="1" x14ac:dyDescent="0.2">
      <c r="A151" t="s">
        <v>433</v>
      </c>
      <c r="B151" t="s">
        <v>434</v>
      </c>
      <c r="C151" s="1">
        <v>46064</v>
      </c>
      <c r="D151" t="s">
        <v>64</v>
      </c>
      <c r="E151">
        <v>30</v>
      </c>
      <c r="F151">
        <v>7.9</v>
      </c>
      <c r="G151" t="s">
        <v>81</v>
      </c>
      <c r="H151" t="s">
        <v>30</v>
      </c>
      <c r="I151" s="1">
        <v>46064.297222222223</v>
      </c>
      <c r="J151" s="1">
        <v>46064.314583333333</v>
      </c>
      <c r="K151" s="1">
        <v>46064.35833333333</v>
      </c>
      <c r="L151" s="1">
        <v>46064.370138888888</v>
      </c>
      <c r="M151" s="1">
        <v>46064.396527777775</v>
      </c>
      <c r="N151" s="1">
        <v>46064.402777777781</v>
      </c>
      <c r="O151">
        <v>6</v>
      </c>
      <c r="P151" t="s">
        <v>37</v>
      </c>
      <c r="Q151" t="s">
        <v>82</v>
      </c>
      <c r="R151" t="s">
        <v>239</v>
      </c>
      <c r="S151" t="s">
        <v>84</v>
      </c>
      <c r="T151">
        <v>4000</v>
      </c>
      <c r="U151" t="s">
        <v>35</v>
      </c>
      <c r="V151" t="s">
        <v>36</v>
      </c>
      <c r="W151">
        <v>1</v>
      </c>
      <c r="X151" t="s">
        <v>37</v>
      </c>
      <c r="Y151">
        <v>5</v>
      </c>
      <c r="Z151" t="s">
        <v>38</v>
      </c>
    </row>
    <row r="152" spans="1:26" hidden="1" x14ac:dyDescent="0.2">
      <c r="A152" t="s">
        <v>435</v>
      </c>
      <c r="B152" t="s">
        <v>436</v>
      </c>
      <c r="C152" s="1">
        <v>46081</v>
      </c>
      <c r="D152" t="s">
        <v>186</v>
      </c>
      <c r="E152">
        <v>5</v>
      </c>
      <c r="F152">
        <v>11</v>
      </c>
      <c r="G152" t="s">
        <v>29</v>
      </c>
      <c r="H152" t="s">
        <v>30</v>
      </c>
      <c r="I152" s="1">
        <v>46081.331250000003</v>
      </c>
      <c r="J152" s="1">
        <v>46081.348611111112</v>
      </c>
      <c r="K152" s="1">
        <v>46081.386805555558</v>
      </c>
      <c r="L152" s="1">
        <v>46081.39166666667</v>
      </c>
      <c r="M152" s="1">
        <v>46081.433333333334</v>
      </c>
      <c r="N152" s="1">
        <v>46081.460416666669</v>
      </c>
      <c r="O152">
        <v>4</v>
      </c>
      <c r="P152" t="s">
        <v>115</v>
      </c>
      <c r="Q152" t="s">
        <v>96</v>
      </c>
      <c r="R152" t="s">
        <v>130</v>
      </c>
      <c r="S152" t="s">
        <v>98</v>
      </c>
      <c r="T152">
        <v>3000</v>
      </c>
      <c r="U152" t="s">
        <v>35</v>
      </c>
      <c r="V152" t="s">
        <v>36</v>
      </c>
      <c r="W152">
        <v>1</v>
      </c>
      <c r="X152" t="s">
        <v>37</v>
      </c>
      <c r="Y152">
        <v>4</v>
      </c>
      <c r="Z152" t="s">
        <v>161</v>
      </c>
    </row>
    <row r="153" spans="1:26" hidden="1" x14ac:dyDescent="0.2">
      <c r="A153" t="s">
        <v>437</v>
      </c>
      <c r="B153" t="s">
        <v>438</v>
      </c>
      <c r="C153" s="1">
        <v>46093</v>
      </c>
      <c r="D153" t="s">
        <v>254</v>
      </c>
      <c r="E153">
        <v>36</v>
      </c>
      <c r="F153">
        <v>10.3</v>
      </c>
      <c r="G153" t="s">
        <v>29</v>
      </c>
      <c r="H153" t="s">
        <v>51</v>
      </c>
      <c r="I153" s="1">
        <v>46093.267361111109</v>
      </c>
      <c r="J153" s="1">
        <v>46093.284722222219</v>
      </c>
      <c r="K153" s="1">
        <v>46093.331944444442</v>
      </c>
      <c r="L153" s="1">
        <v>46093.335416666669</v>
      </c>
      <c r="M153" s="1">
        <v>46093.347222222219</v>
      </c>
      <c r="N153" s="1">
        <v>46093.357638888891</v>
      </c>
      <c r="O153">
        <v>4</v>
      </c>
      <c r="P153" t="s">
        <v>37</v>
      </c>
      <c r="Q153" t="s">
        <v>82</v>
      </c>
      <c r="R153" t="s">
        <v>77</v>
      </c>
      <c r="S153" t="s">
        <v>84</v>
      </c>
      <c r="T153">
        <v>4000</v>
      </c>
      <c r="U153" t="s">
        <v>91</v>
      </c>
      <c r="V153" t="s">
        <v>36</v>
      </c>
      <c r="W153">
        <v>1</v>
      </c>
      <c r="X153" t="s">
        <v>37</v>
      </c>
      <c r="Y153">
        <v>5</v>
      </c>
      <c r="Z153" t="s">
        <v>86</v>
      </c>
    </row>
    <row r="154" spans="1:26" x14ac:dyDescent="0.2">
      <c r="A154" t="s">
        <v>439</v>
      </c>
      <c r="B154" t="s">
        <v>440</v>
      </c>
      <c r="C154" s="1">
        <v>46106</v>
      </c>
      <c r="D154" t="s">
        <v>149</v>
      </c>
      <c r="E154">
        <v>22</v>
      </c>
      <c r="F154">
        <v>4.7</v>
      </c>
      <c r="G154" t="s">
        <v>76</v>
      </c>
      <c r="H154" t="s">
        <v>167</v>
      </c>
      <c r="I154" s="1">
        <v>46106.26458333333</v>
      </c>
      <c r="J154" s="1">
        <v>46106.275694444441</v>
      </c>
      <c r="K154" s="1">
        <v>46106.297222222223</v>
      </c>
      <c r="L154" s="1">
        <v>46106.301388888889</v>
      </c>
      <c r="M154" s="1">
        <v>46106.325694444444</v>
      </c>
      <c r="N154" s="1">
        <v>46106.356944444444</v>
      </c>
      <c r="O154">
        <v>3</v>
      </c>
      <c r="P154" t="s">
        <v>37</v>
      </c>
      <c r="Q154" t="s">
        <v>82</v>
      </c>
      <c r="R154" t="s">
        <v>239</v>
      </c>
      <c r="S154" t="s">
        <v>84</v>
      </c>
      <c r="T154">
        <v>4000</v>
      </c>
      <c r="U154" t="s">
        <v>35</v>
      </c>
      <c r="V154" t="s">
        <v>36</v>
      </c>
      <c r="W154">
        <v>1</v>
      </c>
      <c r="X154" t="s">
        <v>37</v>
      </c>
      <c r="Y154">
        <v>2</v>
      </c>
      <c r="Z154" t="s">
        <v>117</v>
      </c>
    </row>
    <row r="155" spans="1:26" x14ac:dyDescent="0.2">
      <c r="A155" t="s">
        <v>441</v>
      </c>
      <c r="B155" t="s">
        <v>442</v>
      </c>
      <c r="C155" s="1">
        <v>46050</v>
      </c>
      <c r="D155" t="s">
        <v>186</v>
      </c>
      <c r="E155">
        <v>19</v>
      </c>
      <c r="F155">
        <v>8.1999999999999993</v>
      </c>
      <c r="G155" t="s">
        <v>50</v>
      </c>
      <c r="H155" t="s">
        <v>51</v>
      </c>
      <c r="I155" s="1">
        <v>46050.251388888886</v>
      </c>
      <c r="J155" s="1">
        <v>46050.270138888889</v>
      </c>
      <c r="K155" s="1">
        <v>46050.306944444441</v>
      </c>
      <c r="L155" s="1">
        <v>46050.3125</v>
      </c>
      <c r="M155" s="1">
        <v>46050.338194444441</v>
      </c>
      <c r="N155" s="1">
        <v>46050.347222222219</v>
      </c>
      <c r="O155">
        <v>4</v>
      </c>
      <c r="P155" t="s">
        <v>115</v>
      </c>
      <c r="Q155" t="s">
        <v>32</v>
      </c>
      <c r="R155" t="s">
        <v>278</v>
      </c>
      <c r="S155" t="s">
        <v>34</v>
      </c>
      <c r="T155">
        <v>5000</v>
      </c>
      <c r="U155" t="s">
        <v>35</v>
      </c>
      <c r="V155" t="s">
        <v>36</v>
      </c>
      <c r="W155">
        <v>1</v>
      </c>
      <c r="X155" t="s">
        <v>37</v>
      </c>
      <c r="Y155">
        <v>2</v>
      </c>
      <c r="Z155" t="s">
        <v>99</v>
      </c>
    </row>
    <row r="156" spans="1:26" hidden="1" x14ac:dyDescent="0.2">
      <c r="A156" t="s">
        <v>443</v>
      </c>
      <c r="B156" t="s">
        <v>444</v>
      </c>
      <c r="C156" s="1">
        <v>46040</v>
      </c>
      <c r="D156" t="s">
        <v>220</v>
      </c>
      <c r="E156">
        <v>14</v>
      </c>
      <c r="F156">
        <v>4.5</v>
      </c>
      <c r="G156" t="s">
        <v>81</v>
      </c>
      <c r="H156" t="s">
        <v>51</v>
      </c>
      <c r="I156" s="1">
        <v>46040.35833333333</v>
      </c>
      <c r="J156" s="1">
        <v>46040.375694444447</v>
      </c>
      <c r="K156" s="1">
        <v>46040.397222222222</v>
      </c>
      <c r="L156" s="1">
        <v>46040.410416666666</v>
      </c>
      <c r="M156" s="1">
        <v>46040.432638888888</v>
      </c>
      <c r="N156" s="1">
        <v>46040.445138888892</v>
      </c>
      <c r="O156">
        <v>6</v>
      </c>
      <c r="P156" t="s">
        <v>37</v>
      </c>
      <c r="Q156" t="s">
        <v>82</v>
      </c>
      <c r="R156" t="s">
        <v>211</v>
      </c>
      <c r="S156" t="s">
        <v>84</v>
      </c>
      <c r="T156">
        <v>4000</v>
      </c>
      <c r="U156" t="s">
        <v>35</v>
      </c>
      <c r="V156" t="s">
        <v>36</v>
      </c>
      <c r="W156">
        <v>1</v>
      </c>
      <c r="X156" t="s">
        <v>37</v>
      </c>
      <c r="Y156">
        <v>4</v>
      </c>
      <c r="Z156" t="s">
        <v>54</v>
      </c>
    </row>
    <row r="157" spans="1:26" hidden="1" x14ac:dyDescent="0.2">
      <c r="A157" t="s">
        <v>445</v>
      </c>
      <c r="B157" t="s">
        <v>446</v>
      </c>
      <c r="C157" s="1">
        <v>46035</v>
      </c>
      <c r="D157" t="s">
        <v>123</v>
      </c>
      <c r="E157">
        <v>27</v>
      </c>
      <c r="F157">
        <v>11.7</v>
      </c>
      <c r="G157" t="s">
        <v>76</v>
      </c>
      <c r="H157" t="s">
        <v>42</v>
      </c>
      <c r="I157" s="1">
        <v>46035.274305555555</v>
      </c>
      <c r="J157" s="1">
        <v>46035.282638888886</v>
      </c>
      <c r="K157" s="1">
        <v>46035.313888888886</v>
      </c>
      <c r="L157" s="1">
        <v>46035.318749999999</v>
      </c>
      <c r="M157" s="1">
        <v>46035.336111111108</v>
      </c>
      <c r="N157" s="1">
        <v>46035.363888888889</v>
      </c>
      <c r="O157">
        <v>5</v>
      </c>
      <c r="P157" t="s">
        <v>37</v>
      </c>
      <c r="Q157" t="s">
        <v>32</v>
      </c>
      <c r="R157" t="s">
        <v>140</v>
      </c>
      <c r="S157" t="s">
        <v>34</v>
      </c>
      <c r="T157">
        <v>5000</v>
      </c>
      <c r="U157" t="s">
        <v>35</v>
      </c>
      <c r="V157" t="s">
        <v>36</v>
      </c>
      <c r="W157">
        <v>1</v>
      </c>
      <c r="X157" t="s">
        <v>37</v>
      </c>
      <c r="Y157">
        <v>5</v>
      </c>
      <c r="Z157" t="s">
        <v>46</v>
      </c>
    </row>
    <row r="158" spans="1:26" hidden="1" x14ac:dyDescent="0.2">
      <c r="A158" t="s">
        <v>447</v>
      </c>
      <c r="B158" t="s">
        <v>448</v>
      </c>
      <c r="C158" s="1">
        <v>46061</v>
      </c>
      <c r="D158" t="s">
        <v>267</v>
      </c>
      <c r="E158">
        <v>30</v>
      </c>
      <c r="F158">
        <v>6.4</v>
      </c>
      <c r="G158" t="s">
        <v>29</v>
      </c>
      <c r="H158" t="s">
        <v>42</v>
      </c>
      <c r="I158" s="1">
        <v>46061.40902777778</v>
      </c>
      <c r="J158" s="1">
        <v>46061.429861111108</v>
      </c>
      <c r="K158" s="1">
        <v>46061.457638888889</v>
      </c>
      <c r="L158" s="1">
        <v>46061.47152777778</v>
      </c>
      <c r="M158" s="1">
        <v>46061.495138888888</v>
      </c>
      <c r="N158" s="1">
        <v>46061.503472222219</v>
      </c>
      <c r="O158">
        <v>2</v>
      </c>
      <c r="P158" t="s">
        <v>37</v>
      </c>
      <c r="Q158" t="s">
        <v>69</v>
      </c>
      <c r="R158" t="s">
        <v>146</v>
      </c>
      <c r="S158" t="s">
        <v>71</v>
      </c>
      <c r="T158">
        <v>2000</v>
      </c>
      <c r="U158" t="s">
        <v>35</v>
      </c>
      <c r="V158" t="s">
        <v>36</v>
      </c>
      <c r="W158">
        <v>1</v>
      </c>
      <c r="X158" t="s">
        <v>37</v>
      </c>
      <c r="Y158">
        <v>5</v>
      </c>
      <c r="Z158" t="s">
        <v>99</v>
      </c>
    </row>
    <row r="159" spans="1:26" hidden="1" x14ac:dyDescent="0.2">
      <c r="A159" t="s">
        <v>449</v>
      </c>
      <c r="B159" t="s">
        <v>450</v>
      </c>
      <c r="C159" s="1">
        <v>46039</v>
      </c>
      <c r="D159" t="s">
        <v>220</v>
      </c>
      <c r="E159">
        <v>28</v>
      </c>
      <c r="F159">
        <v>8.4</v>
      </c>
      <c r="G159" t="s">
        <v>57</v>
      </c>
      <c r="H159" t="s">
        <v>42</v>
      </c>
      <c r="I159" s="1">
        <v>46039.333333333336</v>
      </c>
      <c r="J159" s="1">
        <v>46039.353472222225</v>
      </c>
      <c r="K159" s="1">
        <v>46039.366666666669</v>
      </c>
      <c r="L159" s="1">
        <v>46039.370138888888</v>
      </c>
      <c r="M159" s="1">
        <v>46039.402777777781</v>
      </c>
      <c r="N159" s="1">
        <v>46039.40902777778</v>
      </c>
      <c r="O159">
        <v>1</v>
      </c>
      <c r="P159" t="s">
        <v>238</v>
      </c>
      <c r="Q159" t="s">
        <v>69</v>
      </c>
      <c r="R159" t="s">
        <v>70</v>
      </c>
      <c r="S159" t="s">
        <v>71</v>
      </c>
      <c r="T159">
        <v>2000</v>
      </c>
      <c r="U159" t="s">
        <v>91</v>
      </c>
      <c r="V159" t="s">
        <v>59</v>
      </c>
      <c r="W159">
        <v>4</v>
      </c>
      <c r="X159" t="s">
        <v>374</v>
      </c>
      <c r="Y159">
        <v>4</v>
      </c>
      <c r="Z159" t="s">
        <v>38</v>
      </c>
    </row>
    <row r="160" spans="1:26" hidden="1" x14ac:dyDescent="0.2">
      <c r="A160" t="s">
        <v>451</v>
      </c>
      <c r="B160" t="s">
        <v>452</v>
      </c>
      <c r="C160" s="1">
        <v>46076</v>
      </c>
      <c r="D160" t="s">
        <v>181</v>
      </c>
      <c r="E160">
        <v>39</v>
      </c>
      <c r="F160">
        <v>8.3000000000000007</v>
      </c>
      <c r="G160" t="s">
        <v>57</v>
      </c>
      <c r="H160" t="s">
        <v>167</v>
      </c>
      <c r="I160" s="1">
        <v>46076.26458333333</v>
      </c>
      <c r="J160" s="1">
        <v>46076.274305555555</v>
      </c>
      <c r="K160" s="1">
        <v>46076.288194444445</v>
      </c>
      <c r="L160" s="1">
        <v>46076.29583333333</v>
      </c>
      <c r="M160" s="1">
        <v>46076.309027777781</v>
      </c>
      <c r="N160" s="1">
        <v>46076.336111111108</v>
      </c>
      <c r="O160">
        <v>3</v>
      </c>
      <c r="P160" t="s">
        <v>37</v>
      </c>
      <c r="Q160" t="s">
        <v>43</v>
      </c>
      <c r="R160" t="s">
        <v>90</v>
      </c>
      <c r="S160" t="s">
        <v>45</v>
      </c>
      <c r="T160">
        <v>2500</v>
      </c>
      <c r="U160" t="s">
        <v>35</v>
      </c>
      <c r="V160" t="s">
        <v>59</v>
      </c>
      <c r="W160">
        <v>1</v>
      </c>
      <c r="X160" t="s">
        <v>353</v>
      </c>
      <c r="Y160">
        <v>5</v>
      </c>
      <c r="Z160" t="s">
        <v>38</v>
      </c>
    </row>
    <row r="161" spans="1:26" hidden="1" x14ac:dyDescent="0.2">
      <c r="A161" t="s">
        <v>453</v>
      </c>
      <c r="B161" t="s">
        <v>454</v>
      </c>
      <c r="C161" s="1">
        <v>46030</v>
      </c>
      <c r="D161" t="s">
        <v>41</v>
      </c>
      <c r="E161">
        <v>12</v>
      </c>
      <c r="F161">
        <v>7.6</v>
      </c>
      <c r="G161" t="s">
        <v>81</v>
      </c>
      <c r="H161" t="s">
        <v>51</v>
      </c>
      <c r="I161" s="1">
        <v>46030.304861111108</v>
      </c>
      <c r="J161" s="1">
        <v>46030.322916666664</v>
      </c>
      <c r="K161" s="1">
        <v>46030.345138888886</v>
      </c>
      <c r="L161" s="1">
        <v>46030.350694444445</v>
      </c>
      <c r="M161" s="1">
        <v>46030.357638888891</v>
      </c>
      <c r="N161" s="1">
        <v>46030.366666666669</v>
      </c>
      <c r="O161">
        <v>6</v>
      </c>
      <c r="P161" t="s">
        <v>115</v>
      </c>
      <c r="Q161" t="s">
        <v>32</v>
      </c>
      <c r="R161" t="s">
        <v>140</v>
      </c>
      <c r="S161" t="s">
        <v>34</v>
      </c>
      <c r="T161">
        <v>5000</v>
      </c>
      <c r="U161" t="s">
        <v>91</v>
      </c>
      <c r="V161" t="s">
        <v>36</v>
      </c>
      <c r="W161">
        <v>1</v>
      </c>
      <c r="X161" t="s">
        <v>37</v>
      </c>
      <c r="Y161">
        <v>5</v>
      </c>
      <c r="Z161" t="s">
        <v>38</v>
      </c>
    </row>
    <row r="162" spans="1:26" hidden="1" x14ac:dyDescent="0.2">
      <c r="A162" t="s">
        <v>455</v>
      </c>
      <c r="B162" t="s">
        <v>456</v>
      </c>
      <c r="C162" s="1">
        <v>46044</v>
      </c>
      <c r="D162" t="s">
        <v>242</v>
      </c>
      <c r="E162">
        <v>22</v>
      </c>
      <c r="F162">
        <v>9.9</v>
      </c>
      <c r="G162" t="s">
        <v>29</v>
      </c>
      <c r="H162" t="s">
        <v>42</v>
      </c>
      <c r="I162" s="1">
        <v>46044.409722222219</v>
      </c>
      <c r="J162" s="1">
        <v>46044.413194444445</v>
      </c>
      <c r="K162" s="1">
        <v>46044.449305555558</v>
      </c>
      <c r="L162" s="1">
        <v>46044.461805555555</v>
      </c>
      <c r="M162" s="1">
        <v>46044.480555555558</v>
      </c>
      <c r="N162" s="1">
        <v>46044.506944444445</v>
      </c>
      <c r="O162">
        <v>1</v>
      </c>
      <c r="P162" t="s">
        <v>31</v>
      </c>
      <c r="Q162" t="s">
        <v>82</v>
      </c>
      <c r="R162" t="s">
        <v>211</v>
      </c>
      <c r="S162" t="s">
        <v>84</v>
      </c>
      <c r="T162">
        <v>4000</v>
      </c>
      <c r="U162" t="s">
        <v>35</v>
      </c>
      <c r="V162" t="s">
        <v>36</v>
      </c>
      <c r="W162">
        <v>1</v>
      </c>
      <c r="X162" t="s">
        <v>37</v>
      </c>
      <c r="Y162">
        <v>4</v>
      </c>
      <c r="Z162" t="s">
        <v>102</v>
      </c>
    </row>
    <row r="163" spans="1:26" hidden="1" x14ac:dyDescent="0.2">
      <c r="A163" t="s">
        <v>457</v>
      </c>
      <c r="B163" t="s">
        <v>458</v>
      </c>
      <c r="C163" s="1">
        <v>46095</v>
      </c>
      <c r="D163" t="s">
        <v>126</v>
      </c>
      <c r="E163">
        <v>21</v>
      </c>
      <c r="F163">
        <v>10.199999999999999</v>
      </c>
      <c r="G163" t="s">
        <v>81</v>
      </c>
      <c r="H163" t="s">
        <v>30</v>
      </c>
      <c r="I163" s="1">
        <v>46095.378472222219</v>
      </c>
      <c r="J163" s="1">
        <v>46095.384027777778</v>
      </c>
      <c r="K163" s="1">
        <v>46095.411111111112</v>
      </c>
      <c r="L163" s="1">
        <v>46095.414583333331</v>
      </c>
      <c r="M163" s="1">
        <v>46095.42291666667</v>
      </c>
      <c r="N163" s="1">
        <v>46095.426388888889</v>
      </c>
      <c r="O163">
        <v>2</v>
      </c>
      <c r="P163" t="s">
        <v>129</v>
      </c>
      <c r="Q163" t="s">
        <v>96</v>
      </c>
      <c r="R163" t="s">
        <v>164</v>
      </c>
      <c r="S163" t="s">
        <v>98</v>
      </c>
      <c r="T163">
        <v>3000</v>
      </c>
      <c r="U163" t="s">
        <v>35</v>
      </c>
      <c r="V163" t="s">
        <v>36</v>
      </c>
      <c r="W163">
        <v>1</v>
      </c>
      <c r="X163" t="s">
        <v>37</v>
      </c>
      <c r="Y163">
        <v>5</v>
      </c>
      <c r="Z163" t="s">
        <v>46</v>
      </c>
    </row>
    <row r="164" spans="1:26" hidden="1" x14ac:dyDescent="0.2">
      <c r="A164" t="s">
        <v>459</v>
      </c>
      <c r="B164" t="s">
        <v>460</v>
      </c>
      <c r="C164" s="1">
        <v>46093</v>
      </c>
      <c r="D164" t="s">
        <v>154</v>
      </c>
      <c r="E164">
        <v>25</v>
      </c>
      <c r="F164">
        <v>6</v>
      </c>
      <c r="G164" t="s">
        <v>76</v>
      </c>
      <c r="H164" t="s">
        <v>167</v>
      </c>
      <c r="I164" s="1">
        <v>46093.396527777775</v>
      </c>
      <c r="J164" s="1">
        <v>46093.401388888888</v>
      </c>
      <c r="K164" s="1">
        <v>46093.459027777775</v>
      </c>
      <c r="L164" s="1">
        <v>46093.470138888886</v>
      </c>
      <c r="M164" s="1">
        <v>46093.481944444444</v>
      </c>
      <c r="N164" s="1">
        <v>46093.507638888892</v>
      </c>
      <c r="O164">
        <v>6</v>
      </c>
      <c r="P164" t="s">
        <v>37</v>
      </c>
      <c r="Q164" t="s">
        <v>43</v>
      </c>
      <c r="R164" t="s">
        <v>158</v>
      </c>
      <c r="S164" t="s">
        <v>45</v>
      </c>
      <c r="T164">
        <v>2500</v>
      </c>
      <c r="U164" t="s">
        <v>35</v>
      </c>
      <c r="V164" t="s">
        <v>36</v>
      </c>
      <c r="W164">
        <v>1</v>
      </c>
      <c r="X164" t="s">
        <v>37</v>
      </c>
      <c r="Y164">
        <v>5</v>
      </c>
      <c r="Z164" t="s">
        <v>168</v>
      </c>
    </row>
    <row r="165" spans="1:26" hidden="1" x14ac:dyDescent="0.2">
      <c r="A165" t="s">
        <v>461</v>
      </c>
      <c r="B165" t="s">
        <v>462</v>
      </c>
      <c r="C165" s="1">
        <v>46082</v>
      </c>
      <c r="D165" t="s">
        <v>230</v>
      </c>
      <c r="E165">
        <v>25</v>
      </c>
      <c r="F165">
        <v>4.7</v>
      </c>
      <c r="G165" t="s">
        <v>50</v>
      </c>
      <c r="H165" t="s">
        <v>51</v>
      </c>
      <c r="I165" s="1">
        <v>46082.31527777778</v>
      </c>
      <c r="J165" s="1">
        <v>46082.322916666664</v>
      </c>
      <c r="K165" s="1">
        <v>46082.355555555558</v>
      </c>
      <c r="L165" s="1">
        <v>46082.365277777775</v>
      </c>
      <c r="M165" s="1">
        <v>46082.404861111114</v>
      </c>
      <c r="N165" s="1">
        <v>46082.435416666667</v>
      </c>
      <c r="O165">
        <v>2</v>
      </c>
      <c r="P165" t="s">
        <v>37</v>
      </c>
      <c r="Q165" t="s">
        <v>96</v>
      </c>
      <c r="R165" t="s">
        <v>214</v>
      </c>
      <c r="S165" t="s">
        <v>98</v>
      </c>
      <c r="T165">
        <v>3000</v>
      </c>
      <c r="U165" t="s">
        <v>35</v>
      </c>
      <c r="V165" t="s">
        <v>36</v>
      </c>
      <c r="W165">
        <v>1</v>
      </c>
      <c r="X165" t="s">
        <v>37</v>
      </c>
      <c r="Y165">
        <v>5</v>
      </c>
      <c r="Z165" t="s">
        <v>54</v>
      </c>
    </row>
    <row r="166" spans="1:26" hidden="1" x14ac:dyDescent="0.2">
      <c r="A166" t="s">
        <v>463</v>
      </c>
      <c r="B166" t="s">
        <v>464</v>
      </c>
      <c r="C166" s="1">
        <v>46054</v>
      </c>
      <c r="D166" t="s">
        <v>123</v>
      </c>
      <c r="E166">
        <v>6</v>
      </c>
      <c r="F166">
        <v>5.9</v>
      </c>
      <c r="G166" t="s">
        <v>76</v>
      </c>
      <c r="H166" t="s">
        <v>30</v>
      </c>
      <c r="I166" s="1">
        <v>46054.398611111108</v>
      </c>
      <c r="J166" s="1">
        <v>46054.417361111111</v>
      </c>
      <c r="K166" s="1">
        <v>46054.425000000003</v>
      </c>
      <c r="L166" s="1">
        <v>46054.435416666667</v>
      </c>
      <c r="M166" s="1">
        <v>46054.442361111112</v>
      </c>
      <c r="N166" s="1">
        <v>46054.462500000001</v>
      </c>
      <c r="O166">
        <v>7</v>
      </c>
      <c r="P166" t="s">
        <v>37</v>
      </c>
      <c r="Q166" t="s">
        <v>32</v>
      </c>
      <c r="R166" t="s">
        <v>140</v>
      </c>
      <c r="S166" t="s">
        <v>34</v>
      </c>
      <c r="T166">
        <v>5000</v>
      </c>
      <c r="U166" t="s">
        <v>35</v>
      </c>
      <c r="V166" t="s">
        <v>36</v>
      </c>
      <c r="W166">
        <v>1</v>
      </c>
      <c r="X166" t="s">
        <v>37</v>
      </c>
      <c r="Y166">
        <v>5</v>
      </c>
      <c r="Z166" t="s">
        <v>168</v>
      </c>
    </row>
    <row r="167" spans="1:26" hidden="1" x14ac:dyDescent="0.2">
      <c r="A167" t="s">
        <v>465</v>
      </c>
      <c r="B167" t="s">
        <v>466</v>
      </c>
      <c r="C167" s="1">
        <v>46030</v>
      </c>
      <c r="D167" t="s">
        <v>123</v>
      </c>
      <c r="E167">
        <v>7</v>
      </c>
      <c r="F167">
        <v>11.4</v>
      </c>
      <c r="G167" t="s">
        <v>81</v>
      </c>
      <c r="H167" t="s">
        <v>157</v>
      </c>
      <c r="I167" s="1">
        <v>46030.374305555553</v>
      </c>
      <c r="J167" s="1">
        <v>46030.385416666664</v>
      </c>
      <c r="K167" s="1">
        <v>46030.432638888888</v>
      </c>
      <c r="L167" s="1">
        <v>46030.4375</v>
      </c>
      <c r="M167" s="1">
        <v>46030.470138888886</v>
      </c>
      <c r="N167" s="1">
        <v>46030.477777777778</v>
      </c>
      <c r="O167">
        <v>5</v>
      </c>
      <c r="P167" t="s">
        <v>115</v>
      </c>
      <c r="Q167" t="s">
        <v>96</v>
      </c>
      <c r="R167" t="s">
        <v>90</v>
      </c>
      <c r="S167" t="s">
        <v>98</v>
      </c>
      <c r="T167">
        <v>3000</v>
      </c>
      <c r="U167" t="s">
        <v>35</v>
      </c>
      <c r="V167" t="s">
        <v>36</v>
      </c>
      <c r="W167">
        <v>1</v>
      </c>
      <c r="X167" t="s">
        <v>37</v>
      </c>
      <c r="Y167">
        <v>4</v>
      </c>
      <c r="Z167" t="s">
        <v>296</v>
      </c>
    </row>
    <row r="168" spans="1:26" hidden="1" x14ac:dyDescent="0.2">
      <c r="A168" t="s">
        <v>467</v>
      </c>
      <c r="B168" t="s">
        <v>468</v>
      </c>
      <c r="C168" s="1">
        <v>46060</v>
      </c>
      <c r="D168" t="s">
        <v>49</v>
      </c>
      <c r="E168">
        <v>25</v>
      </c>
      <c r="F168">
        <v>6.5</v>
      </c>
      <c r="G168" t="s">
        <v>76</v>
      </c>
      <c r="H168" t="s">
        <v>95</v>
      </c>
      <c r="I168" s="1">
        <v>46060.263194444444</v>
      </c>
      <c r="J168" s="1">
        <v>46060.270833333336</v>
      </c>
      <c r="K168" s="1">
        <v>46060.289583333331</v>
      </c>
      <c r="L168" s="1">
        <v>46060.295138888891</v>
      </c>
      <c r="M168" s="1">
        <v>46060.308333333334</v>
      </c>
      <c r="N168" s="1">
        <v>46060.315972222219</v>
      </c>
      <c r="O168">
        <v>2</v>
      </c>
      <c r="P168" t="s">
        <v>37</v>
      </c>
      <c r="Q168" t="s">
        <v>96</v>
      </c>
      <c r="R168" t="s">
        <v>97</v>
      </c>
      <c r="S168" t="s">
        <v>98</v>
      </c>
      <c r="T168">
        <v>3000</v>
      </c>
      <c r="U168" t="s">
        <v>35</v>
      </c>
      <c r="V168" t="s">
        <v>36</v>
      </c>
      <c r="W168">
        <v>1</v>
      </c>
      <c r="X168" t="s">
        <v>37</v>
      </c>
      <c r="Y168">
        <v>4</v>
      </c>
      <c r="Z168" t="s">
        <v>61</v>
      </c>
    </row>
    <row r="169" spans="1:26" x14ac:dyDescent="0.2">
      <c r="A169" t="s">
        <v>469</v>
      </c>
      <c r="B169" t="s">
        <v>470</v>
      </c>
      <c r="C169" s="1">
        <v>46080</v>
      </c>
      <c r="D169" t="s">
        <v>149</v>
      </c>
      <c r="E169">
        <v>12</v>
      </c>
      <c r="F169">
        <v>4.7</v>
      </c>
      <c r="G169" t="s">
        <v>76</v>
      </c>
      <c r="H169" t="s">
        <v>42</v>
      </c>
      <c r="I169" s="1">
        <v>46080.375</v>
      </c>
      <c r="J169" s="1">
        <v>46080.393750000003</v>
      </c>
      <c r="K169" s="1">
        <v>46080.45416666667</v>
      </c>
      <c r="L169" s="1">
        <v>46080.458333333336</v>
      </c>
      <c r="M169" s="1">
        <v>46080.474305555559</v>
      </c>
      <c r="N169" s="1">
        <v>46080.491666666669</v>
      </c>
      <c r="O169">
        <v>2</v>
      </c>
      <c r="P169" t="s">
        <v>106</v>
      </c>
      <c r="Q169" t="s">
        <v>43</v>
      </c>
      <c r="R169" t="s">
        <v>58</v>
      </c>
      <c r="S169" t="s">
        <v>45</v>
      </c>
      <c r="T169">
        <v>2500</v>
      </c>
      <c r="U169" t="s">
        <v>91</v>
      </c>
      <c r="V169" t="s">
        <v>36</v>
      </c>
      <c r="W169">
        <v>1</v>
      </c>
      <c r="X169" t="s">
        <v>37</v>
      </c>
      <c r="Y169">
        <v>1</v>
      </c>
      <c r="Z169" t="s">
        <v>161</v>
      </c>
    </row>
    <row r="170" spans="1:26" hidden="1" x14ac:dyDescent="0.2">
      <c r="A170" t="s">
        <v>471</v>
      </c>
      <c r="B170" t="s">
        <v>472</v>
      </c>
      <c r="C170" s="1">
        <v>46045</v>
      </c>
      <c r="D170" t="s">
        <v>178</v>
      </c>
      <c r="E170">
        <v>40</v>
      </c>
      <c r="F170">
        <v>10</v>
      </c>
      <c r="G170" t="s">
        <v>57</v>
      </c>
      <c r="H170" t="s">
        <v>51</v>
      </c>
      <c r="I170" s="1">
        <v>46045.331944444442</v>
      </c>
      <c r="J170" s="1">
        <v>46045.337500000001</v>
      </c>
      <c r="K170" s="1">
        <v>46045.356249999997</v>
      </c>
      <c r="L170" s="1">
        <v>46045.361805555556</v>
      </c>
      <c r="M170" s="1">
        <v>46045.368750000001</v>
      </c>
      <c r="N170" s="1">
        <v>46045.374305555553</v>
      </c>
      <c r="O170">
        <v>7</v>
      </c>
      <c r="P170" t="s">
        <v>37</v>
      </c>
      <c r="Q170" t="s">
        <v>43</v>
      </c>
      <c r="R170" t="s">
        <v>200</v>
      </c>
      <c r="S170" t="s">
        <v>45</v>
      </c>
      <c r="T170">
        <v>2500</v>
      </c>
      <c r="U170" t="s">
        <v>35</v>
      </c>
      <c r="V170" t="s">
        <v>36</v>
      </c>
      <c r="W170">
        <v>1</v>
      </c>
      <c r="X170" t="s">
        <v>37</v>
      </c>
      <c r="Y170">
        <v>4</v>
      </c>
      <c r="Z170" t="s">
        <v>134</v>
      </c>
    </row>
    <row r="171" spans="1:26" hidden="1" x14ac:dyDescent="0.2">
      <c r="A171" t="s">
        <v>473</v>
      </c>
      <c r="B171" t="s">
        <v>474</v>
      </c>
      <c r="C171" s="1">
        <v>46105</v>
      </c>
      <c r="D171" t="s">
        <v>89</v>
      </c>
      <c r="E171">
        <v>9</v>
      </c>
      <c r="F171">
        <v>4.2</v>
      </c>
      <c r="G171" t="s">
        <v>29</v>
      </c>
      <c r="H171" t="s">
        <v>95</v>
      </c>
      <c r="I171" s="1">
        <v>46105.410416666666</v>
      </c>
      <c r="J171" s="1">
        <v>46105.427777777775</v>
      </c>
      <c r="K171" s="1">
        <v>46105.473611111112</v>
      </c>
      <c r="L171" s="1">
        <v>46105.479861111111</v>
      </c>
      <c r="M171" s="1">
        <v>46105.490277777775</v>
      </c>
      <c r="N171" s="1">
        <v>46105.508333333331</v>
      </c>
      <c r="O171">
        <v>1</v>
      </c>
      <c r="P171" t="s">
        <v>115</v>
      </c>
      <c r="Q171" t="s">
        <v>69</v>
      </c>
      <c r="R171" t="s">
        <v>251</v>
      </c>
      <c r="S171" t="s">
        <v>71</v>
      </c>
      <c r="T171">
        <v>2000</v>
      </c>
      <c r="U171" t="s">
        <v>35</v>
      </c>
      <c r="V171" t="s">
        <v>59</v>
      </c>
      <c r="W171">
        <v>4</v>
      </c>
      <c r="X171" t="s">
        <v>60</v>
      </c>
      <c r="Y171">
        <v>4</v>
      </c>
      <c r="Z171" t="s">
        <v>102</v>
      </c>
    </row>
    <row r="172" spans="1:26" hidden="1" x14ac:dyDescent="0.2">
      <c r="A172" t="s">
        <v>475</v>
      </c>
      <c r="B172" t="s">
        <v>476</v>
      </c>
      <c r="C172" s="1">
        <v>46110</v>
      </c>
      <c r="D172" t="s">
        <v>181</v>
      </c>
      <c r="E172">
        <v>18</v>
      </c>
      <c r="F172">
        <v>11.3</v>
      </c>
      <c r="G172" t="s">
        <v>76</v>
      </c>
      <c r="H172" t="s">
        <v>167</v>
      </c>
      <c r="I172" s="1">
        <v>46110.32916666667</v>
      </c>
      <c r="J172" s="1">
        <v>46110.335416666669</v>
      </c>
      <c r="K172" s="1">
        <v>46110.345138888886</v>
      </c>
      <c r="L172" s="1">
        <v>46110.353472222225</v>
      </c>
      <c r="M172" s="1">
        <v>46110.388888888891</v>
      </c>
      <c r="N172" s="1">
        <v>46110.404861111114</v>
      </c>
      <c r="O172">
        <v>4</v>
      </c>
      <c r="P172" t="s">
        <v>37</v>
      </c>
      <c r="Q172" t="s">
        <v>82</v>
      </c>
      <c r="R172" t="s">
        <v>33</v>
      </c>
      <c r="S172" t="s">
        <v>84</v>
      </c>
      <c r="T172">
        <v>4000</v>
      </c>
      <c r="U172" t="s">
        <v>35</v>
      </c>
      <c r="V172" t="s">
        <v>36</v>
      </c>
      <c r="W172">
        <v>1</v>
      </c>
      <c r="X172" t="s">
        <v>37</v>
      </c>
      <c r="Y172">
        <v>3</v>
      </c>
      <c r="Z172" t="s">
        <v>296</v>
      </c>
    </row>
    <row r="173" spans="1:26" hidden="1" x14ac:dyDescent="0.2">
      <c r="A173" t="s">
        <v>477</v>
      </c>
      <c r="B173" t="s">
        <v>478</v>
      </c>
      <c r="C173" s="1">
        <v>46048</v>
      </c>
      <c r="D173" t="s">
        <v>105</v>
      </c>
      <c r="E173">
        <v>39</v>
      </c>
      <c r="F173">
        <v>10.4</v>
      </c>
      <c r="G173" t="s">
        <v>50</v>
      </c>
      <c r="H173" t="s">
        <v>42</v>
      </c>
      <c r="I173" s="1">
        <v>46048.376388888886</v>
      </c>
      <c r="J173" s="1">
        <v>46048.387499999997</v>
      </c>
      <c r="K173" s="1">
        <v>46048.436805555553</v>
      </c>
      <c r="L173" s="1">
        <v>46048.450694444444</v>
      </c>
      <c r="M173" s="1">
        <v>46048.472916666666</v>
      </c>
      <c r="N173" s="1">
        <v>46048.501388888886</v>
      </c>
      <c r="O173">
        <v>5</v>
      </c>
      <c r="P173" t="s">
        <v>37</v>
      </c>
      <c r="Q173" t="s">
        <v>69</v>
      </c>
      <c r="R173" t="s">
        <v>146</v>
      </c>
      <c r="S173" t="s">
        <v>71</v>
      </c>
      <c r="T173">
        <v>2000</v>
      </c>
      <c r="U173" t="s">
        <v>35</v>
      </c>
      <c r="V173" t="s">
        <v>36</v>
      </c>
      <c r="W173">
        <v>1</v>
      </c>
      <c r="X173" t="s">
        <v>37</v>
      </c>
      <c r="Y173">
        <v>4</v>
      </c>
      <c r="Z173" t="s">
        <v>102</v>
      </c>
    </row>
    <row r="174" spans="1:26" hidden="1" x14ac:dyDescent="0.2">
      <c r="A174" t="s">
        <v>479</v>
      </c>
      <c r="B174" t="s">
        <v>480</v>
      </c>
      <c r="C174" s="1">
        <v>46030</v>
      </c>
      <c r="D174" t="s">
        <v>154</v>
      </c>
      <c r="E174">
        <v>27</v>
      </c>
      <c r="F174">
        <v>10.1</v>
      </c>
      <c r="G174" t="s">
        <v>57</v>
      </c>
      <c r="H174" t="s">
        <v>95</v>
      </c>
      <c r="I174" s="1">
        <v>46030.267361111109</v>
      </c>
      <c r="J174" s="1">
        <v>46030.275694444441</v>
      </c>
      <c r="K174" s="1">
        <v>46030.303472222222</v>
      </c>
      <c r="L174" s="1">
        <v>46030.3125</v>
      </c>
      <c r="M174" s="1">
        <v>46030.343055555553</v>
      </c>
      <c r="N174" s="1">
        <v>46030.348611111112</v>
      </c>
      <c r="O174">
        <v>7</v>
      </c>
      <c r="P174" t="s">
        <v>37</v>
      </c>
      <c r="Q174" t="s">
        <v>43</v>
      </c>
      <c r="R174" t="s">
        <v>44</v>
      </c>
      <c r="S174" t="s">
        <v>45</v>
      </c>
      <c r="T174">
        <v>2500</v>
      </c>
      <c r="U174" t="s">
        <v>35</v>
      </c>
      <c r="V174" t="s">
        <v>59</v>
      </c>
      <c r="W174">
        <v>4</v>
      </c>
      <c r="X174" t="s">
        <v>353</v>
      </c>
      <c r="Y174">
        <v>5</v>
      </c>
      <c r="Z174" t="s">
        <v>46</v>
      </c>
    </row>
    <row r="175" spans="1:26" hidden="1" x14ac:dyDescent="0.2">
      <c r="A175" t="s">
        <v>481</v>
      </c>
      <c r="B175" t="s">
        <v>482</v>
      </c>
      <c r="C175" s="1">
        <v>46045</v>
      </c>
      <c r="D175" t="s">
        <v>41</v>
      </c>
      <c r="E175">
        <v>27</v>
      </c>
      <c r="F175">
        <v>11.3</v>
      </c>
      <c r="G175" t="s">
        <v>29</v>
      </c>
      <c r="H175" t="s">
        <v>30</v>
      </c>
      <c r="I175" s="1">
        <v>46045.374305555553</v>
      </c>
      <c r="J175" s="1">
        <v>46045.385416666664</v>
      </c>
      <c r="K175" s="1">
        <v>46045.442361111112</v>
      </c>
      <c r="L175" s="1">
        <v>46045.448611111111</v>
      </c>
      <c r="M175" s="1">
        <v>46045.480555555558</v>
      </c>
      <c r="N175" s="1">
        <v>46045.492361111108</v>
      </c>
      <c r="O175">
        <v>7</v>
      </c>
      <c r="P175" t="s">
        <v>37</v>
      </c>
      <c r="Q175" t="s">
        <v>69</v>
      </c>
      <c r="R175" t="s">
        <v>251</v>
      </c>
      <c r="S175" t="s">
        <v>71</v>
      </c>
      <c r="T175">
        <v>2000</v>
      </c>
      <c r="U175" t="s">
        <v>35</v>
      </c>
      <c r="V175" t="s">
        <v>36</v>
      </c>
      <c r="W175">
        <v>1</v>
      </c>
      <c r="X175" t="s">
        <v>37</v>
      </c>
      <c r="Y175">
        <v>4</v>
      </c>
      <c r="Z175" t="s">
        <v>72</v>
      </c>
    </row>
    <row r="176" spans="1:26" hidden="1" x14ac:dyDescent="0.2">
      <c r="A176" t="s">
        <v>483</v>
      </c>
      <c r="B176" t="s">
        <v>484</v>
      </c>
      <c r="C176" s="1">
        <v>46034</v>
      </c>
      <c r="D176" t="s">
        <v>110</v>
      </c>
      <c r="E176">
        <v>19</v>
      </c>
      <c r="F176">
        <v>4.2</v>
      </c>
      <c r="G176" t="s">
        <v>50</v>
      </c>
      <c r="H176" t="s">
        <v>51</v>
      </c>
      <c r="I176" s="1">
        <v>46034.308333333334</v>
      </c>
      <c r="J176" s="1">
        <v>46034.324999999997</v>
      </c>
      <c r="K176" s="1">
        <v>46034.349305555559</v>
      </c>
      <c r="L176" s="1">
        <v>46034.355555555558</v>
      </c>
      <c r="M176" s="1">
        <v>46034.377083333333</v>
      </c>
      <c r="N176" s="1">
        <v>46034.388194444444</v>
      </c>
      <c r="O176">
        <v>7</v>
      </c>
      <c r="P176" t="s">
        <v>37</v>
      </c>
      <c r="Q176" t="s">
        <v>82</v>
      </c>
      <c r="R176" t="s">
        <v>77</v>
      </c>
      <c r="S176" t="s">
        <v>84</v>
      </c>
      <c r="T176">
        <v>4000</v>
      </c>
      <c r="U176" t="s">
        <v>35</v>
      </c>
      <c r="V176" t="s">
        <v>36</v>
      </c>
      <c r="W176">
        <v>1</v>
      </c>
      <c r="X176" t="s">
        <v>37</v>
      </c>
      <c r="Y176">
        <v>4</v>
      </c>
      <c r="Z176" t="s">
        <v>86</v>
      </c>
    </row>
    <row r="177" spans="1:26" hidden="1" x14ac:dyDescent="0.2">
      <c r="A177" t="s">
        <v>485</v>
      </c>
      <c r="B177" t="s">
        <v>486</v>
      </c>
      <c r="C177" s="1">
        <v>46037</v>
      </c>
      <c r="D177" t="s">
        <v>230</v>
      </c>
      <c r="E177">
        <v>9</v>
      </c>
      <c r="F177">
        <v>7</v>
      </c>
      <c r="G177" t="s">
        <v>50</v>
      </c>
      <c r="H177" t="s">
        <v>65</v>
      </c>
      <c r="I177" s="1">
        <v>46037.267361111109</v>
      </c>
      <c r="J177" s="1">
        <v>46037.277777777781</v>
      </c>
      <c r="K177" s="1">
        <v>46037.311111111114</v>
      </c>
      <c r="L177" s="1">
        <v>46037.321527777778</v>
      </c>
      <c r="M177" s="1">
        <v>46037.334027777775</v>
      </c>
      <c r="N177" s="1">
        <v>46037.344444444447</v>
      </c>
      <c r="O177">
        <v>6</v>
      </c>
      <c r="P177" t="s">
        <v>37</v>
      </c>
      <c r="Q177" t="s">
        <v>69</v>
      </c>
      <c r="R177" t="s">
        <v>251</v>
      </c>
      <c r="S177" t="s">
        <v>71</v>
      </c>
      <c r="T177">
        <v>2000</v>
      </c>
      <c r="U177" t="s">
        <v>35</v>
      </c>
      <c r="V177" t="s">
        <v>59</v>
      </c>
      <c r="W177">
        <v>3</v>
      </c>
      <c r="X177" t="s">
        <v>85</v>
      </c>
      <c r="Y177">
        <v>5</v>
      </c>
      <c r="Z177" t="s">
        <v>131</v>
      </c>
    </row>
    <row r="178" spans="1:26" hidden="1" x14ac:dyDescent="0.2">
      <c r="A178" t="s">
        <v>487</v>
      </c>
      <c r="B178" t="s">
        <v>488</v>
      </c>
      <c r="C178" s="1">
        <v>46068</v>
      </c>
      <c r="D178" t="s">
        <v>41</v>
      </c>
      <c r="E178">
        <v>29</v>
      </c>
      <c r="F178">
        <v>6.5</v>
      </c>
      <c r="G178" t="s">
        <v>76</v>
      </c>
      <c r="H178" t="s">
        <v>95</v>
      </c>
      <c r="I178" s="1">
        <v>46068.28125</v>
      </c>
      <c r="J178" s="1">
        <v>46068.300694444442</v>
      </c>
      <c r="K178" s="1">
        <v>46068.307638888888</v>
      </c>
      <c r="L178" s="1">
        <v>46068.319444444445</v>
      </c>
      <c r="M178" s="1">
        <v>46068.36041666667</v>
      </c>
      <c r="N178" s="1">
        <v>46068.388888888891</v>
      </c>
      <c r="O178">
        <v>1</v>
      </c>
      <c r="P178" t="s">
        <v>129</v>
      </c>
      <c r="Q178" t="s">
        <v>69</v>
      </c>
      <c r="R178" t="s">
        <v>146</v>
      </c>
      <c r="S178" t="s">
        <v>71</v>
      </c>
      <c r="T178">
        <v>2000</v>
      </c>
      <c r="U178" t="s">
        <v>91</v>
      </c>
      <c r="V178" t="s">
        <v>59</v>
      </c>
      <c r="W178">
        <v>2</v>
      </c>
      <c r="X178" t="s">
        <v>60</v>
      </c>
      <c r="Y178">
        <v>4</v>
      </c>
      <c r="Z178" t="s">
        <v>86</v>
      </c>
    </row>
    <row r="179" spans="1:26" hidden="1" x14ac:dyDescent="0.2">
      <c r="A179" t="s">
        <v>489</v>
      </c>
      <c r="B179" t="s">
        <v>490</v>
      </c>
      <c r="C179" s="1">
        <v>46041</v>
      </c>
      <c r="D179" t="s">
        <v>289</v>
      </c>
      <c r="E179">
        <v>27</v>
      </c>
      <c r="F179">
        <v>11.9</v>
      </c>
      <c r="G179" t="s">
        <v>57</v>
      </c>
      <c r="H179" t="s">
        <v>30</v>
      </c>
      <c r="I179" s="1">
        <v>46041.406944444447</v>
      </c>
      <c r="J179" s="1">
        <v>46041.411805555559</v>
      </c>
      <c r="K179" s="1">
        <v>46041.447916666664</v>
      </c>
      <c r="L179" s="1">
        <v>46041.461111111108</v>
      </c>
      <c r="M179" s="1">
        <v>46041.468055555553</v>
      </c>
      <c r="N179" s="1">
        <v>46041.482638888891</v>
      </c>
      <c r="O179">
        <v>2</v>
      </c>
      <c r="P179" t="s">
        <v>238</v>
      </c>
      <c r="Q179" t="s">
        <v>32</v>
      </c>
      <c r="R179" t="s">
        <v>120</v>
      </c>
      <c r="S179" t="s">
        <v>34</v>
      </c>
      <c r="T179">
        <v>5000</v>
      </c>
      <c r="U179" t="s">
        <v>35</v>
      </c>
      <c r="V179" t="s">
        <v>36</v>
      </c>
      <c r="W179">
        <v>1</v>
      </c>
      <c r="X179" t="s">
        <v>37</v>
      </c>
      <c r="Y179">
        <v>5</v>
      </c>
      <c r="Z179" t="s">
        <v>102</v>
      </c>
    </row>
    <row r="180" spans="1:26" hidden="1" x14ac:dyDescent="0.2">
      <c r="A180" t="s">
        <v>491</v>
      </c>
      <c r="B180" t="s">
        <v>492</v>
      </c>
      <c r="C180" s="1">
        <v>46079</v>
      </c>
      <c r="D180" t="s">
        <v>233</v>
      </c>
      <c r="E180">
        <v>31</v>
      </c>
      <c r="F180">
        <v>7.9</v>
      </c>
      <c r="G180" t="s">
        <v>50</v>
      </c>
      <c r="H180" t="s">
        <v>167</v>
      </c>
      <c r="I180" s="1">
        <v>46079.34652777778</v>
      </c>
      <c r="J180" s="1">
        <v>46079.35833333333</v>
      </c>
      <c r="K180" s="1">
        <v>46079.373611111114</v>
      </c>
      <c r="L180" s="1">
        <v>46079.387499999997</v>
      </c>
      <c r="M180" s="1">
        <v>46079.429166666669</v>
      </c>
      <c r="N180" s="1">
        <v>46079.457638888889</v>
      </c>
      <c r="O180">
        <v>6</v>
      </c>
      <c r="P180" t="s">
        <v>37</v>
      </c>
      <c r="Q180" t="s">
        <v>43</v>
      </c>
      <c r="R180" t="s">
        <v>158</v>
      </c>
      <c r="S180" t="s">
        <v>45</v>
      </c>
      <c r="T180">
        <v>2500</v>
      </c>
      <c r="U180" t="s">
        <v>35</v>
      </c>
      <c r="V180" t="s">
        <v>36</v>
      </c>
      <c r="W180">
        <v>1</v>
      </c>
      <c r="X180" t="s">
        <v>37</v>
      </c>
      <c r="Y180">
        <v>5</v>
      </c>
      <c r="Z180" t="s">
        <v>102</v>
      </c>
    </row>
    <row r="181" spans="1:26" hidden="1" x14ac:dyDescent="0.2">
      <c r="A181" t="s">
        <v>493</v>
      </c>
      <c r="B181" t="s">
        <v>494</v>
      </c>
      <c r="C181" s="1">
        <v>46025</v>
      </c>
      <c r="D181" t="s">
        <v>289</v>
      </c>
      <c r="E181">
        <v>9</v>
      </c>
      <c r="F181">
        <v>6.7</v>
      </c>
      <c r="G181" t="s">
        <v>50</v>
      </c>
      <c r="H181" t="s">
        <v>95</v>
      </c>
      <c r="I181" s="1">
        <v>46025.379861111112</v>
      </c>
      <c r="J181" s="1">
        <v>46025.384722222225</v>
      </c>
      <c r="K181" s="1">
        <v>46025.44027777778</v>
      </c>
      <c r="L181" s="1">
        <v>46025.445138888892</v>
      </c>
      <c r="M181" s="1">
        <v>46025.466666666667</v>
      </c>
      <c r="N181" s="1">
        <v>46025.496527777781</v>
      </c>
      <c r="O181">
        <v>5</v>
      </c>
      <c r="P181" t="s">
        <v>37</v>
      </c>
      <c r="Q181" t="s">
        <v>96</v>
      </c>
      <c r="R181" t="s">
        <v>90</v>
      </c>
      <c r="S181" t="s">
        <v>98</v>
      </c>
      <c r="T181">
        <v>3000</v>
      </c>
      <c r="U181" t="s">
        <v>35</v>
      </c>
      <c r="V181" t="s">
        <v>36</v>
      </c>
      <c r="W181">
        <v>1</v>
      </c>
      <c r="X181" t="s">
        <v>37</v>
      </c>
      <c r="Y181">
        <v>5</v>
      </c>
      <c r="Z181" t="s">
        <v>215</v>
      </c>
    </row>
    <row r="182" spans="1:26" hidden="1" x14ac:dyDescent="0.2">
      <c r="A182" t="s">
        <v>495</v>
      </c>
      <c r="B182" t="s">
        <v>496</v>
      </c>
      <c r="C182" s="1">
        <v>46043</v>
      </c>
      <c r="D182" t="s">
        <v>110</v>
      </c>
      <c r="E182">
        <v>18</v>
      </c>
      <c r="F182">
        <v>11.8</v>
      </c>
      <c r="G182" t="s">
        <v>50</v>
      </c>
      <c r="H182" t="s">
        <v>30</v>
      </c>
      <c r="I182" s="1">
        <v>46043.347916666666</v>
      </c>
      <c r="J182" s="1">
        <v>46043.367361111108</v>
      </c>
      <c r="K182" s="1">
        <v>46043.422222222223</v>
      </c>
      <c r="L182" s="1">
        <v>46043.431250000001</v>
      </c>
      <c r="M182" s="1">
        <v>46043.467361111114</v>
      </c>
      <c r="N182" s="1">
        <v>46043.48333333333</v>
      </c>
      <c r="O182">
        <v>3</v>
      </c>
      <c r="P182" t="s">
        <v>238</v>
      </c>
      <c r="Q182" t="s">
        <v>32</v>
      </c>
      <c r="R182" t="s">
        <v>66</v>
      </c>
      <c r="S182" t="s">
        <v>34</v>
      </c>
      <c r="T182">
        <v>5000</v>
      </c>
      <c r="U182" t="s">
        <v>35</v>
      </c>
      <c r="V182" t="s">
        <v>36</v>
      </c>
      <c r="W182">
        <v>1</v>
      </c>
      <c r="X182" t="s">
        <v>37</v>
      </c>
      <c r="Y182">
        <v>4</v>
      </c>
      <c r="Z182" t="s">
        <v>102</v>
      </c>
    </row>
    <row r="183" spans="1:26" hidden="1" x14ac:dyDescent="0.2">
      <c r="A183" t="s">
        <v>497</v>
      </c>
      <c r="B183" t="s">
        <v>498</v>
      </c>
      <c r="C183" s="1">
        <v>46023</v>
      </c>
      <c r="D183" t="s">
        <v>181</v>
      </c>
      <c r="E183">
        <v>35</v>
      </c>
      <c r="F183">
        <v>5.6</v>
      </c>
      <c r="G183" t="s">
        <v>29</v>
      </c>
      <c r="H183" t="s">
        <v>95</v>
      </c>
      <c r="I183" s="1">
        <v>46023.279861111114</v>
      </c>
      <c r="J183" s="1">
        <v>46023.297222222223</v>
      </c>
      <c r="K183" s="1">
        <v>46023.329861111109</v>
      </c>
      <c r="L183" s="1">
        <v>46023.334722222222</v>
      </c>
      <c r="M183" s="1">
        <v>46023.362500000003</v>
      </c>
      <c r="N183" s="1">
        <v>46023.370833333334</v>
      </c>
      <c r="O183">
        <v>3</v>
      </c>
      <c r="P183" t="s">
        <v>37</v>
      </c>
      <c r="Q183" t="s">
        <v>32</v>
      </c>
      <c r="R183" t="s">
        <v>33</v>
      </c>
      <c r="S183" t="s">
        <v>34</v>
      </c>
      <c r="T183">
        <v>5000</v>
      </c>
      <c r="U183" t="s">
        <v>35</v>
      </c>
      <c r="V183" t="s">
        <v>59</v>
      </c>
      <c r="W183">
        <v>3</v>
      </c>
      <c r="X183" t="s">
        <v>116</v>
      </c>
      <c r="Y183">
        <v>5</v>
      </c>
      <c r="Z183" t="s">
        <v>168</v>
      </c>
    </row>
    <row r="184" spans="1:26" hidden="1" x14ac:dyDescent="0.2">
      <c r="A184" t="s">
        <v>499</v>
      </c>
      <c r="B184" t="s">
        <v>500</v>
      </c>
      <c r="C184" s="1">
        <v>46070</v>
      </c>
      <c r="D184" t="s">
        <v>145</v>
      </c>
      <c r="E184">
        <v>16</v>
      </c>
      <c r="F184">
        <v>7.6</v>
      </c>
      <c r="G184" t="s">
        <v>76</v>
      </c>
      <c r="H184" t="s">
        <v>157</v>
      </c>
      <c r="I184" s="1">
        <v>46070.332638888889</v>
      </c>
      <c r="J184" s="1">
        <v>46070.341666666667</v>
      </c>
      <c r="K184" s="1">
        <v>46070.368055555555</v>
      </c>
      <c r="L184" s="1">
        <v>46070.377083333333</v>
      </c>
      <c r="M184" s="1">
        <v>46070.40902777778</v>
      </c>
      <c r="N184" s="1">
        <v>46070.414583333331</v>
      </c>
      <c r="O184">
        <v>2</v>
      </c>
      <c r="P184" t="s">
        <v>37</v>
      </c>
      <c r="Q184" t="s">
        <v>43</v>
      </c>
      <c r="R184" t="s">
        <v>58</v>
      </c>
      <c r="S184" t="s">
        <v>45</v>
      </c>
      <c r="T184">
        <v>2500</v>
      </c>
      <c r="U184" t="s">
        <v>35</v>
      </c>
      <c r="V184" t="s">
        <v>36</v>
      </c>
      <c r="W184">
        <v>1</v>
      </c>
      <c r="X184" t="s">
        <v>37</v>
      </c>
      <c r="Y184">
        <v>4</v>
      </c>
      <c r="Z184" t="s">
        <v>131</v>
      </c>
    </row>
    <row r="185" spans="1:26" hidden="1" x14ac:dyDescent="0.2">
      <c r="A185" t="s">
        <v>501</v>
      </c>
      <c r="B185" t="s">
        <v>502</v>
      </c>
      <c r="C185" s="1">
        <v>46098</v>
      </c>
      <c r="D185" t="s">
        <v>41</v>
      </c>
      <c r="E185">
        <v>29</v>
      </c>
      <c r="F185">
        <v>10.5</v>
      </c>
      <c r="G185" t="s">
        <v>50</v>
      </c>
      <c r="H185" t="s">
        <v>65</v>
      </c>
      <c r="I185" s="1">
        <v>46098.371527777781</v>
      </c>
      <c r="J185" s="1">
        <v>46098.385416666664</v>
      </c>
      <c r="K185" s="1">
        <v>46098.443055555559</v>
      </c>
      <c r="L185" s="1">
        <v>46098.451388888891</v>
      </c>
      <c r="M185" s="1">
        <v>46098.479166666664</v>
      </c>
      <c r="N185" s="1">
        <v>46098.495833333334</v>
      </c>
      <c r="O185">
        <v>1</v>
      </c>
      <c r="P185" t="s">
        <v>37</v>
      </c>
      <c r="Q185" t="s">
        <v>69</v>
      </c>
      <c r="R185" t="s">
        <v>111</v>
      </c>
      <c r="S185" t="s">
        <v>71</v>
      </c>
      <c r="T185">
        <v>2000</v>
      </c>
      <c r="U185" t="s">
        <v>35</v>
      </c>
      <c r="V185" t="s">
        <v>36</v>
      </c>
      <c r="W185">
        <v>1</v>
      </c>
      <c r="X185" t="s">
        <v>37</v>
      </c>
      <c r="Y185">
        <v>4</v>
      </c>
      <c r="Z185" t="s">
        <v>131</v>
      </c>
    </row>
    <row r="186" spans="1:26" hidden="1" x14ac:dyDescent="0.2">
      <c r="A186" t="s">
        <v>503</v>
      </c>
      <c r="B186" t="s">
        <v>504</v>
      </c>
      <c r="C186" s="1">
        <v>46109</v>
      </c>
      <c r="D186" t="s">
        <v>80</v>
      </c>
      <c r="E186">
        <v>33</v>
      </c>
      <c r="F186">
        <v>5.4</v>
      </c>
      <c r="G186" t="s">
        <v>57</v>
      </c>
      <c r="H186" t="s">
        <v>95</v>
      </c>
      <c r="I186" s="1">
        <v>46109.393055555556</v>
      </c>
      <c r="J186" s="1">
        <v>46109.400694444441</v>
      </c>
      <c r="K186" s="1">
        <v>46109.418749999997</v>
      </c>
      <c r="L186" s="1">
        <v>46109.42291666667</v>
      </c>
      <c r="M186" s="1">
        <v>46109.448611111111</v>
      </c>
      <c r="N186" s="1">
        <v>46109.455555555556</v>
      </c>
      <c r="O186">
        <v>6</v>
      </c>
      <c r="P186" t="s">
        <v>37</v>
      </c>
      <c r="Q186" t="s">
        <v>82</v>
      </c>
      <c r="R186" t="s">
        <v>286</v>
      </c>
      <c r="S186" t="s">
        <v>84</v>
      </c>
      <c r="T186">
        <v>4000</v>
      </c>
      <c r="U186" t="s">
        <v>91</v>
      </c>
      <c r="V186" t="s">
        <v>36</v>
      </c>
      <c r="W186">
        <v>1</v>
      </c>
      <c r="X186" t="s">
        <v>37</v>
      </c>
      <c r="Y186">
        <v>5</v>
      </c>
      <c r="Z186" t="s">
        <v>161</v>
      </c>
    </row>
    <row r="187" spans="1:26" hidden="1" x14ac:dyDescent="0.2">
      <c r="A187" t="s">
        <v>505</v>
      </c>
      <c r="B187" t="s">
        <v>506</v>
      </c>
      <c r="C187" s="1">
        <v>46031</v>
      </c>
      <c r="D187" t="s">
        <v>89</v>
      </c>
      <c r="E187">
        <v>30</v>
      </c>
      <c r="F187">
        <v>8.4</v>
      </c>
      <c r="G187" t="s">
        <v>76</v>
      </c>
      <c r="H187" t="s">
        <v>65</v>
      </c>
      <c r="I187" s="1">
        <v>46031.331250000003</v>
      </c>
      <c r="J187" s="1">
        <v>46031.334722222222</v>
      </c>
      <c r="K187" s="1">
        <v>46031.396527777775</v>
      </c>
      <c r="L187" s="1">
        <v>46031.40902777778</v>
      </c>
      <c r="M187" s="1">
        <v>46031.42083333333</v>
      </c>
      <c r="N187" s="1">
        <v>46031.442361111112</v>
      </c>
      <c r="O187">
        <v>2</v>
      </c>
      <c r="P187" t="s">
        <v>31</v>
      </c>
      <c r="Q187" t="s">
        <v>43</v>
      </c>
      <c r="R187" t="s">
        <v>44</v>
      </c>
      <c r="S187" t="s">
        <v>45</v>
      </c>
      <c r="T187">
        <v>2500</v>
      </c>
      <c r="U187" t="s">
        <v>35</v>
      </c>
      <c r="V187" t="s">
        <v>59</v>
      </c>
      <c r="W187">
        <v>1</v>
      </c>
      <c r="X187" t="s">
        <v>116</v>
      </c>
      <c r="Y187">
        <v>4</v>
      </c>
      <c r="Z187" t="s">
        <v>117</v>
      </c>
    </row>
    <row r="188" spans="1:26" hidden="1" x14ac:dyDescent="0.2">
      <c r="A188" t="s">
        <v>507</v>
      </c>
      <c r="B188" t="s">
        <v>508</v>
      </c>
      <c r="C188" s="1">
        <v>46091</v>
      </c>
      <c r="D188" t="s">
        <v>145</v>
      </c>
      <c r="E188">
        <v>21</v>
      </c>
      <c r="F188">
        <v>7.1</v>
      </c>
      <c r="G188" t="s">
        <v>50</v>
      </c>
      <c r="H188" t="s">
        <v>65</v>
      </c>
      <c r="I188" s="1">
        <v>46091.357638888891</v>
      </c>
      <c r="J188" s="1">
        <v>46091.371527777781</v>
      </c>
      <c r="K188" s="1">
        <v>46091.381249999999</v>
      </c>
      <c r="L188" s="1">
        <v>46091.388194444444</v>
      </c>
      <c r="M188" s="1">
        <v>46091.406944444447</v>
      </c>
      <c r="N188" s="1">
        <v>46091.427777777775</v>
      </c>
      <c r="O188">
        <v>2</v>
      </c>
      <c r="P188" t="s">
        <v>37</v>
      </c>
      <c r="Q188" t="s">
        <v>96</v>
      </c>
      <c r="R188" t="s">
        <v>97</v>
      </c>
      <c r="S188" t="s">
        <v>98</v>
      </c>
      <c r="T188">
        <v>3000</v>
      </c>
      <c r="U188" t="s">
        <v>35</v>
      </c>
      <c r="V188" t="s">
        <v>36</v>
      </c>
      <c r="W188">
        <v>1</v>
      </c>
      <c r="X188" t="s">
        <v>37</v>
      </c>
      <c r="Y188">
        <v>4</v>
      </c>
      <c r="Z188" t="s">
        <v>86</v>
      </c>
    </row>
    <row r="189" spans="1:26" hidden="1" x14ac:dyDescent="0.2">
      <c r="A189" t="s">
        <v>509</v>
      </c>
      <c r="B189" t="s">
        <v>510</v>
      </c>
      <c r="C189" s="1">
        <v>46111</v>
      </c>
      <c r="D189" t="s">
        <v>41</v>
      </c>
      <c r="E189">
        <v>22</v>
      </c>
      <c r="F189">
        <v>11.2</v>
      </c>
      <c r="G189" t="s">
        <v>29</v>
      </c>
      <c r="H189" t="s">
        <v>167</v>
      </c>
      <c r="I189" s="1">
        <v>46111.395138888889</v>
      </c>
      <c r="J189" s="1">
        <v>46111.415972222225</v>
      </c>
      <c r="K189" s="1">
        <v>46111.449305555558</v>
      </c>
      <c r="L189" s="1">
        <v>46111.459027777775</v>
      </c>
      <c r="M189" s="1">
        <v>46111.477777777778</v>
      </c>
      <c r="N189" s="1">
        <v>46111.50277777778</v>
      </c>
      <c r="O189">
        <v>7</v>
      </c>
      <c r="P189" t="s">
        <v>37</v>
      </c>
      <c r="Q189" t="s">
        <v>32</v>
      </c>
      <c r="R189" t="s">
        <v>53</v>
      </c>
      <c r="S189" t="s">
        <v>34</v>
      </c>
      <c r="T189">
        <v>5000</v>
      </c>
      <c r="U189" t="s">
        <v>35</v>
      </c>
      <c r="V189" t="s">
        <v>59</v>
      </c>
      <c r="W189">
        <v>2</v>
      </c>
      <c r="X189" t="s">
        <v>353</v>
      </c>
      <c r="Y189">
        <v>5</v>
      </c>
      <c r="Z189" t="s">
        <v>72</v>
      </c>
    </row>
    <row r="190" spans="1:26" hidden="1" x14ac:dyDescent="0.2">
      <c r="A190" t="s">
        <v>511</v>
      </c>
      <c r="B190" t="s">
        <v>512</v>
      </c>
      <c r="C190" s="1">
        <v>46057</v>
      </c>
      <c r="D190" t="s">
        <v>233</v>
      </c>
      <c r="E190">
        <v>10</v>
      </c>
      <c r="F190">
        <v>5.5</v>
      </c>
      <c r="G190" t="s">
        <v>57</v>
      </c>
      <c r="H190" t="s">
        <v>42</v>
      </c>
      <c r="I190" s="1">
        <v>46057.322222222225</v>
      </c>
      <c r="J190" s="1">
        <v>46057.341666666667</v>
      </c>
      <c r="K190" s="1">
        <v>46057.39166666667</v>
      </c>
      <c r="L190" s="1">
        <v>46057.402777777781</v>
      </c>
      <c r="M190" s="1">
        <v>46057.411805555559</v>
      </c>
      <c r="N190" s="1">
        <v>46057.4375</v>
      </c>
      <c r="O190">
        <v>7</v>
      </c>
      <c r="P190" t="s">
        <v>129</v>
      </c>
      <c r="Q190" t="s">
        <v>43</v>
      </c>
      <c r="R190" t="s">
        <v>44</v>
      </c>
      <c r="S190" t="s">
        <v>45</v>
      </c>
      <c r="T190">
        <v>2500</v>
      </c>
      <c r="U190" t="s">
        <v>35</v>
      </c>
      <c r="V190" t="s">
        <v>36</v>
      </c>
      <c r="W190">
        <v>1</v>
      </c>
      <c r="X190" t="s">
        <v>37</v>
      </c>
      <c r="Y190">
        <v>5</v>
      </c>
      <c r="Z190" t="s">
        <v>131</v>
      </c>
    </row>
    <row r="191" spans="1:26" hidden="1" x14ac:dyDescent="0.2">
      <c r="A191" t="s">
        <v>513</v>
      </c>
      <c r="B191" t="s">
        <v>514</v>
      </c>
      <c r="C191" s="1">
        <v>46026</v>
      </c>
      <c r="D191" t="s">
        <v>126</v>
      </c>
      <c r="E191">
        <v>17</v>
      </c>
      <c r="F191">
        <v>10.7</v>
      </c>
      <c r="G191" t="s">
        <v>57</v>
      </c>
      <c r="H191" t="s">
        <v>51</v>
      </c>
      <c r="I191" s="1">
        <v>46026.330555555556</v>
      </c>
      <c r="J191" s="1">
        <v>46026.334722222222</v>
      </c>
      <c r="K191" s="1">
        <v>46026.373611111114</v>
      </c>
      <c r="L191" s="1">
        <v>46026.381249999999</v>
      </c>
      <c r="M191" s="1">
        <v>46026.400000000001</v>
      </c>
      <c r="N191" s="1">
        <v>46026.419444444444</v>
      </c>
      <c r="O191">
        <v>7</v>
      </c>
      <c r="P191" t="s">
        <v>37</v>
      </c>
      <c r="Q191" t="s">
        <v>82</v>
      </c>
      <c r="R191" t="s">
        <v>239</v>
      </c>
      <c r="S191" t="s">
        <v>84</v>
      </c>
      <c r="T191">
        <v>4000</v>
      </c>
      <c r="U191" t="s">
        <v>35</v>
      </c>
      <c r="V191" t="s">
        <v>59</v>
      </c>
      <c r="W191">
        <v>1</v>
      </c>
      <c r="X191" t="s">
        <v>85</v>
      </c>
      <c r="Y191">
        <v>4</v>
      </c>
      <c r="Z191" t="s">
        <v>215</v>
      </c>
    </row>
    <row r="192" spans="1:26" hidden="1" x14ac:dyDescent="0.2">
      <c r="A192" t="s">
        <v>515</v>
      </c>
      <c r="B192" t="s">
        <v>516</v>
      </c>
      <c r="C192" s="1">
        <v>46045</v>
      </c>
      <c r="D192" t="s">
        <v>230</v>
      </c>
      <c r="E192">
        <v>40</v>
      </c>
      <c r="F192">
        <v>6.8</v>
      </c>
      <c r="G192" t="s">
        <v>57</v>
      </c>
      <c r="H192" t="s">
        <v>42</v>
      </c>
      <c r="I192" s="1">
        <v>46045.408333333333</v>
      </c>
      <c r="J192" s="1">
        <v>46045.417361111111</v>
      </c>
      <c r="K192" s="1">
        <v>46045.431944444441</v>
      </c>
      <c r="L192" s="1">
        <v>46045.441666666666</v>
      </c>
      <c r="M192" s="1">
        <v>46045.449305555558</v>
      </c>
      <c r="N192" s="1">
        <v>46045.469444444447</v>
      </c>
      <c r="O192">
        <v>1</v>
      </c>
      <c r="P192" t="s">
        <v>31</v>
      </c>
      <c r="Q192" t="s">
        <v>43</v>
      </c>
      <c r="R192" t="s">
        <v>44</v>
      </c>
      <c r="S192" t="s">
        <v>45</v>
      </c>
      <c r="T192">
        <v>2500</v>
      </c>
      <c r="U192" t="s">
        <v>35</v>
      </c>
      <c r="V192" t="s">
        <v>36</v>
      </c>
      <c r="W192">
        <v>1</v>
      </c>
      <c r="X192" t="s">
        <v>37</v>
      </c>
      <c r="Y192">
        <v>3</v>
      </c>
      <c r="Z192" t="s">
        <v>54</v>
      </c>
    </row>
    <row r="193" spans="1:26" hidden="1" x14ac:dyDescent="0.2">
      <c r="A193" t="s">
        <v>517</v>
      </c>
      <c r="B193" t="s">
        <v>518</v>
      </c>
      <c r="C193" s="1">
        <v>46049</v>
      </c>
      <c r="D193" t="s">
        <v>49</v>
      </c>
      <c r="E193">
        <v>6</v>
      </c>
      <c r="F193">
        <v>10.9</v>
      </c>
      <c r="G193" t="s">
        <v>29</v>
      </c>
      <c r="H193" t="s">
        <v>157</v>
      </c>
      <c r="I193" s="1">
        <v>46049.411805555559</v>
      </c>
      <c r="J193" s="1">
        <v>46049.418055555558</v>
      </c>
      <c r="K193" s="1">
        <v>46049.44027777778</v>
      </c>
      <c r="L193" s="1">
        <v>46049.443749999999</v>
      </c>
      <c r="M193" s="1">
        <v>46049.460416666669</v>
      </c>
      <c r="N193" s="1">
        <v>46049.474999999999</v>
      </c>
      <c r="O193">
        <v>5</v>
      </c>
      <c r="P193" t="s">
        <v>37</v>
      </c>
      <c r="Q193" t="s">
        <v>43</v>
      </c>
      <c r="R193" t="s">
        <v>44</v>
      </c>
      <c r="S193" t="s">
        <v>45</v>
      </c>
      <c r="T193">
        <v>2500</v>
      </c>
      <c r="U193" t="s">
        <v>35</v>
      </c>
      <c r="V193" t="s">
        <v>59</v>
      </c>
      <c r="W193">
        <v>3</v>
      </c>
      <c r="X193" t="s">
        <v>193</v>
      </c>
      <c r="Y193">
        <v>5</v>
      </c>
      <c r="Z193" t="s">
        <v>46</v>
      </c>
    </row>
    <row r="194" spans="1:26" hidden="1" x14ac:dyDescent="0.2">
      <c r="A194" t="s">
        <v>519</v>
      </c>
      <c r="B194" t="s">
        <v>520</v>
      </c>
      <c r="C194" s="1">
        <v>46081</v>
      </c>
      <c r="D194" t="s">
        <v>49</v>
      </c>
      <c r="E194">
        <v>24</v>
      </c>
      <c r="F194">
        <v>9.4</v>
      </c>
      <c r="G194" t="s">
        <v>81</v>
      </c>
      <c r="H194" t="s">
        <v>157</v>
      </c>
      <c r="I194" s="1">
        <v>46081.353472222225</v>
      </c>
      <c r="J194" s="1">
        <v>46081.359027777777</v>
      </c>
      <c r="K194" s="1">
        <v>46081.365972222222</v>
      </c>
      <c r="L194" s="1">
        <v>46081.377083333333</v>
      </c>
      <c r="M194" s="1">
        <v>46081.408333333333</v>
      </c>
      <c r="N194" s="1">
        <v>46081.438194444447</v>
      </c>
      <c r="O194">
        <v>5</v>
      </c>
      <c r="P194" t="s">
        <v>37</v>
      </c>
      <c r="Q194" t="s">
        <v>82</v>
      </c>
      <c r="R194" t="s">
        <v>214</v>
      </c>
      <c r="S194" t="s">
        <v>84</v>
      </c>
      <c r="T194">
        <v>4000</v>
      </c>
      <c r="U194" t="s">
        <v>35</v>
      </c>
      <c r="V194" t="s">
        <v>36</v>
      </c>
      <c r="W194">
        <v>1</v>
      </c>
      <c r="X194" t="s">
        <v>37</v>
      </c>
      <c r="Y194">
        <v>4</v>
      </c>
      <c r="Z194" t="s">
        <v>161</v>
      </c>
    </row>
    <row r="195" spans="1:26" hidden="1" x14ac:dyDescent="0.2">
      <c r="A195" t="s">
        <v>521</v>
      </c>
      <c r="B195" t="s">
        <v>522</v>
      </c>
      <c r="C195" s="1">
        <v>46064</v>
      </c>
      <c r="D195" t="s">
        <v>230</v>
      </c>
      <c r="E195">
        <v>24</v>
      </c>
      <c r="F195">
        <v>5.5</v>
      </c>
      <c r="G195" t="s">
        <v>81</v>
      </c>
      <c r="H195" t="s">
        <v>42</v>
      </c>
      <c r="I195" s="1">
        <v>46064.292361111111</v>
      </c>
      <c r="J195" s="1">
        <v>46064.296527777777</v>
      </c>
      <c r="K195" s="1">
        <v>46064.356249999997</v>
      </c>
      <c r="L195" s="1">
        <v>46064.368055555555</v>
      </c>
      <c r="M195" s="1">
        <v>46064.404166666667</v>
      </c>
      <c r="N195" s="1">
        <v>46064.421527777777</v>
      </c>
      <c r="O195">
        <v>6</v>
      </c>
      <c r="P195" t="s">
        <v>238</v>
      </c>
      <c r="Q195" t="s">
        <v>96</v>
      </c>
      <c r="R195" t="s">
        <v>214</v>
      </c>
      <c r="S195" t="s">
        <v>98</v>
      </c>
      <c r="T195">
        <v>3000</v>
      </c>
      <c r="U195" t="s">
        <v>35</v>
      </c>
      <c r="V195" t="s">
        <v>59</v>
      </c>
      <c r="W195">
        <v>3</v>
      </c>
      <c r="X195" t="s">
        <v>193</v>
      </c>
      <c r="Y195">
        <v>4</v>
      </c>
      <c r="Z195" t="s">
        <v>38</v>
      </c>
    </row>
    <row r="196" spans="1:26" x14ac:dyDescent="0.2">
      <c r="A196" t="s">
        <v>523</v>
      </c>
      <c r="B196" t="s">
        <v>524</v>
      </c>
      <c r="C196" s="1">
        <v>46097</v>
      </c>
      <c r="D196" t="s">
        <v>114</v>
      </c>
      <c r="E196">
        <v>26</v>
      </c>
      <c r="F196">
        <v>9.8000000000000007</v>
      </c>
      <c r="G196" t="s">
        <v>57</v>
      </c>
      <c r="H196" t="s">
        <v>30</v>
      </c>
      <c r="I196" s="1">
        <v>46097.344444444447</v>
      </c>
      <c r="J196" s="1">
        <v>46097.361805555556</v>
      </c>
      <c r="K196" s="1">
        <v>46097.410416666666</v>
      </c>
      <c r="L196" s="1">
        <v>46097.421527777777</v>
      </c>
      <c r="M196" s="1">
        <v>46097.450694444444</v>
      </c>
      <c r="N196" s="1">
        <v>46097.467361111114</v>
      </c>
      <c r="O196">
        <v>7</v>
      </c>
      <c r="P196" t="s">
        <v>52</v>
      </c>
      <c r="Q196" t="s">
        <v>69</v>
      </c>
      <c r="R196" t="s">
        <v>146</v>
      </c>
      <c r="S196" t="s">
        <v>71</v>
      </c>
      <c r="T196">
        <v>2000</v>
      </c>
      <c r="U196" t="s">
        <v>35</v>
      </c>
      <c r="V196" t="s">
        <v>36</v>
      </c>
      <c r="W196">
        <v>1</v>
      </c>
      <c r="X196" t="s">
        <v>37</v>
      </c>
      <c r="Y196">
        <v>2</v>
      </c>
      <c r="Z196" t="s">
        <v>296</v>
      </c>
    </row>
    <row r="197" spans="1:26" x14ac:dyDescent="0.2">
      <c r="A197" t="s">
        <v>525</v>
      </c>
      <c r="B197" t="s">
        <v>526</v>
      </c>
      <c r="C197" s="1">
        <v>46094</v>
      </c>
      <c r="D197" t="s">
        <v>137</v>
      </c>
      <c r="E197">
        <v>26</v>
      </c>
      <c r="F197">
        <v>9.1999999999999993</v>
      </c>
      <c r="G197" t="s">
        <v>57</v>
      </c>
      <c r="H197" t="s">
        <v>167</v>
      </c>
      <c r="I197" s="1">
        <v>46094.289583333331</v>
      </c>
      <c r="J197" s="1">
        <v>46094.309027777781</v>
      </c>
      <c r="K197" s="1">
        <v>46094.343055555553</v>
      </c>
      <c r="L197" s="1">
        <v>46094.355555555558</v>
      </c>
      <c r="M197" s="1">
        <v>46094.397222222222</v>
      </c>
      <c r="N197" s="1">
        <v>46094.415277777778</v>
      </c>
      <c r="O197">
        <v>3</v>
      </c>
      <c r="P197" t="s">
        <v>129</v>
      </c>
      <c r="Q197" t="s">
        <v>82</v>
      </c>
      <c r="R197" t="s">
        <v>211</v>
      </c>
      <c r="S197" t="s">
        <v>84</v>
      </c>
      <c r="T197">
        <v>4000</v>
      </c>
      <c r="U197" t="s">
        <v>35</v>
      </c>
      <c r="V197" t="s">
        <v>36</v>
      </c>
      <c r="W197">
        <v>1</v>
      </c>
      <c r="X197" t="s">
        <v>37</v>
      </c>
      <c r="Y197">
        <v>2</v>
      </c>
      <c r="Z197" t="s">
        <v>134</v>
      </c>
    </row>
    <row r="198" spans="1:26" hidden="1" x14ac:dyDescent="0.2">
      <c r="A198" t="s">
        <v>527</v>
      </c>
      <c r="B198" t="s">
        <v>528</v>
      </c>
      <c r="C198" s="1">
        <v>46097</v>
      </c>
      <c r="D198" t="s">
        <v>80</v>
      </c>
      <c r="E198">
        <v>17</v>
      </c>
      <c r="F198">
        <v>8</v>
      </c>
      <c r="G198" t="s">
        <v>50</v>
      </c>
      <c r="H198" t="s">
        <v>65</v>
      </c>
      <c r="I198" s="1">
        <v>46097.302777777775</v>
      </c>
      <c r="J198" s="1">
        <v>46097.31527777778</v>
      </c>
      <c r="K198" s="1">
        <v>46097.326388888891</v>
      </c>
      <c r="L198" s="1">
        <v>46097.332638888889</v>
      </c>
      <c r="M198" s="1">
        <v>46097.345138888886</v>
      </c>
      <c r="N198" s="1">
        <v>46097.356944444444</v>
      </c>
      <c r="O198">
        <v>3</v>
      </c>
      <c r="P198" t="s">
        <v>37</v>
      </c>
      <c r="Q198" t="s">
        <v>32</v>
      </c>
      <c r="R198" t="s">
        <v>53</v>
      </c>
      <c r="S198" t="s">
        <v>34</v>
      </c>
      <c r="T198">
        <v>5000</v>
      </c>
      <c r="U198" t="s">
        <v>35</v>
      </c>
      <c r="V198" t="s">
        <v>59</v>
      </c>
      <c r="W198">
        <v>4</v>
      </c>
      <c r="X198" t="s">
        <v>85</v>
      </c>
      <c r="Y198">
        <v>4</v>
      </c>
      <c r="Z198" t="s">
        <v>38</v>
      </c>
    </row>
    <row r="199" spans="1:26" hidden="1" x14ac:dyDescent="0.2">
      <c r="A199" t="s">
        <v>529</v>
      </c>
      <c r="B199" t="s">
        <v>530</v>
      </c>
      <c r="C199" s="1">
        <v>46033</v>
      </c>
      <c r="D199" t="s">
        <v>186</v>
      </c>
      <c r="E199">
        <v>25</v>
      </c>
      <c r="F199">
        <v>9.1</v>
      </c>
      <c r="G199" t="s">
        <v>29</v>
      </c>
      <c r="H199" t="s">
        <v>157</v>
      </c>
      <c r="I199" s="1">
        <v>46033.298611111109</v>
      </c>
      <c r="J199" s="1">
        <v>46033.306250000001</v>
      </c>
      <c r="K199" s="1">
        <v>46033.327777777777</v>
      </c>
      <c r="L199" s="1">
        <v>46033.334722222222</v>
      </c>
      <c r="M199" s="1">
        <v>46033.363194444442</v>
      </c>
      <c r="N199" s="1">
        <v>46033.370138888888</v>
      </c>
      <c r="O199">
        <v>2</v>
      </c>
      <c r="P199" t="s">
        <v>37</v>
      </c>
      <c r="Q199" t="s">
        <v>96</v>
      </c>
      <c r="R199" t="s">
        <v>164</v>
      </c>
      <c r="S199" t="s">
        <v>98</v>
      </c>
      <c r="T199">
        <v>3000</v>
      </c>
      <c r="U199" t="s">
        <v>35</v>
      </c>
      <c r="V199" t="s">
        <v>36</v>
      </c>
      <c r="W199">
        <v>1</v>
      </c>
      <c r="X199" t="s">
        <v>37</v>
      </c>
      <c r="Y199">
        <v>5</v>
      </c>
      <c r="Z199" t="s">
        <v>168</v>
      </c>
    </row>
    <row r="200" spans="1:26" x14ac:dyDescent="0.2">
      <c r="A200" t="s">
        <v>531</v>
      </c>
      <c r="B200" t="s">
        <v>532</v>
      </c>
      <c r="C200" s="1">
        <v>46027</v>
      </c>
      <c r="D200" t="s">
        <v>75</v>
      </c>
      <c r="E200">
        <v>28</v>
      </c>
      <c r="F200">
        <v>11.6</v>
      </c>
      <c r="G200" t="s">
        <v>76</v>
      </c>
      <c r="H200" t="s">
        <v>42</v>
      </c>
      <c r="I200" s="1">
        <v>46027.397916666669</v>
      </c>
      <c r="J200" s="1">
        <v>46027.412499999999</v>
      </c>
      <c r="K200" s="1">
        <v>46027.436111111114</v>
      </c>
      <c r="L200" s="1">
        <v>46027.439583333333</v>
      </c>
      <c r="M200" s="1">
        <v>46027.476388888892</v>
      </c>
      <c r="N200" s="1">
        <v>46027.479861111111</v>
      </c>
      <c r="O200">
        <v>6</v>
      </c>
      <c r="P200" t="s">
        <v>37</v>
      </c>
      <c r="Q200" t="s">
        <v>82</v>
      </c>
      <c r="R200" t="s">
        <v>211</v>
      </c>
      <c r="S200" t="s">
        <v>84</v>
      </c>
      <c r="T200">
        <v>4000</v>
      </c>
      <c r="U200" t="s">
        <v>35</v>
      </c>
      <c r="V200" t="s">
        <v>59</v>
      </c>
      <c r="W200">
        <v>3</v>
      </c>
      <c r="X200" t="s">
        <v>85</v>
      </c>
      <c r="Y200">
        <v>2</v>
      </c>
      <c r="Z200" t="s">
        <v>131</v>
      </c>
    </row>
    <row r="201" spans="1:26" hidden="1" x14ac:dyDescent="0.2">
      <c r="A201" t="s">
        <v>533</v>
      </c>
      <c r="B201" t="s">
        <v>534</v>
      </c>
      <c r="C201" s="1">
        <v>46062</v>
      </c>
      <c r="D201" t="s">
        <v>126</v>
      </c>
      <c r="E201">
        <v>24</v>
      </c>
      <c r="F201">
        <v>11.6</v>
      </c>
      <c r="G201" t="s">
        <v>50</v>
      </c>
      <c r="H201" t="s">
        <v>30</v>
      </c>
      <c r="I201" s="1">
        <v>46062.342361111114</v>
      </c>
      <c r="J201" s="1">
        <v>46062.359027777777</v>
      </c>
      <c r="K201" s="1">
        <v>46062.412499999999</v>
      </c>
      <c r="L201" s="1">
        <v>46062.42291666667</v>
      </c>
      <c r="M201" s="1">
        <v>46062.448611111111</v>
      </c>
      <c r="N201" s="1">
        <v>46062.457638888889</v>
      </c>
      <c r="O201">
        <v>3</v>
      </c>
      <c r="P201" t="s">
        <v>37</v>
      </c>
      <c r="Q201" t="s">
        <v>32</v>
      </c>
      <c r="R201" t="s">
        <v>107</v>
      </c>
      <c r="S201" t="s">
        <v>34</v>
      </c>
      <c r="T201">
        <v>5000</v>
      </c>
      <c r="U201" t="s">
        <v>35</v>
      </c>
      <c r="V201" t="s">
        <v>36</v>
      </c>
      <c r="W201">
        <v>1</v>
      </c>
      <c r="X201" t="s">
        <v>37</v>
      </c>
      <c r="Y201">
        <v>3</v>
      </c>
      <c r="Z201" t="s">
        <v>86</v>
      </c>
    </row>
    <row r="202" spans="1:26" x14ac:dyDescent="0.2">
      <c r="A202" t="s">
        <v>535</v>
      </c>
      <c r="B202" t="s">
        <v>536</v>
      </c>
      <c r="C202" s="1">
        <v>46025</v>
      </c>
      <c r="D202" t="s">
        <v>41</v>
      </c>
      <c r="E202">
        <v>13</v>
      </c>
      <c r="F202">
        <v>5.7</v>
      </c>
      <c r="G202" t="s">
        <v>29</v>
      </c>
      <c r="H202" t="s">
        <v>65</v>
      </c>
      <c r="I202" s="1">
        <v>46025.339583333334</v>
      </c>
      <c r="J202" s="1">
        <v>46025.34652777778</v>
      </c>
      <c r="K202" s="1">
        <v>46025.363888888889</v>
      </c>
      <c r="L202" s="1">
        <v>46025.375</v>
      </c>
      <c r="M202" s="1">
        <v>46025.413194444445</v>
      </c>
      <c r="N202" s="1">
        <v>46025.418055555558</v>
      </c>
      <c r="O202">
        <v>4</v>
      </c>
      <c r="P202" t="s">
        <v>37</v>
      </c>
      <c r="Q202" t="s">
        <v>82</v>
      </c>
      <c r="R202" t="s">
        <v>211</v>
      </c>
      <c r="S202" t="s">
        <v>84</v>
      </c>
      <c r="T202">
        <v>4000</v>
      </c>
      <c r="U202" t="s">
        <v>35</v>
      </c>
      <c r="V202" t="s">
        <v>36</v>
      </c>
      <c r="W202">
        <v>1</v>
      </c>
      <c r="X202" t="s">
        <v>37</v>
      </c>
      <c r="Y202">
        <v>1</v>
      </c>
      <c r="Z202" t="s">
        <v>102</v>
      </c>
    </row>
    <row r="203" spans="1:26" hidden="1" x14ac:dyDescent="0.2">
      <c r="A203" t="s">
        <v>537</v>
      </c>
      <c r="B203" t="s">
        <v>538</v>
      </c>
      <c r="C203" s="1">
        <v>46036</v>
      </c>
      <c r="D203" t="s">
        <v>105</v>
      </c>
      <c r="E203">
        <v>12</v>
      </c>
      <c r="F203">
        <v>7.3</v>
      </c>
      <c r="G203" t="s">
        <v>50</v>
      </c>
      <c r="H203" t="s">
        <v>51</v>
      </c>
      <c r="I203" s="1">
        <v>46036.347222222219</v>
      </c>
      <c r="J203" s="1">
        <v>46036.356249999997</v>
      </c>
      <c r="K203" s="1">
        <v>46036.404861111114</v>
      </c>
      <c r="L203" s="1">
        <v>46036.411111111112</v>
      </c>
      <c r="M203" s="1">
        <v>46036.427083333336</v>
      </c>
      <c r="N203" s="1">
        <v>46036.458333333336</v>
      </c>
      <c r="O203">
        <v>1</v>
      </c>
      <c r="P203" t="s">
        <v>37</v>
      </c>
      <c r="Q203" t="s">
        <v>32</v>
      </c>
      <c r="R203" t="s">
        <v>107</v>
      </c>
      <c r="S203" t="s">
        <v>34</v>
      </c>
      <c r="T203">
        <v>5000</v>
      </c>
      <c r="U203" t="s">
        <v>35</v>
      </c>
      <c r="V203" t="s">
        <v>36</v>
      </c>
      <c r="W203">
        <v>1</v>
      </c>
      <c r="X203" t="s">
        <v>37</v>
      </c>
      <c r="Y203">
        <v>3</v>
      </c>
      <c r="Z203" t="s">
        <v>215</v>
      </c>
    </row>
    <row r="204" spans="1:26" hidden="1" x14ac:dyDescent="0.2">
      <c r="A204" t="s">
        <v>539</v>
      </c>
      <c r="B204" t="s">
        <v>540</v>
      </c>
      <c r="C204" s="1">
        <v>46076</v>
      </c>
      <c r="D204" t="s">
        <v>64</v>
      </c>
      <c r="E204">
        <v>23</v>
      </c>
      <c r="F204">
        <v>4.9000000000000004</v>
      </c>
      <c r="G204" t="s">
        <v>29</v>
      </c>
      <c r="H204" t="s">
        <v>157</v>
      </c>
      <c r="I204" s="1">
        <v>46076.284722222219</v>
      </c>
      <c r="J204" s="1">
        <v>46076.301388888889</v>
      </c>
      <c r="K204" s="1">
        <v>46076.325694444444</v>
      </c>
      <c r="L204" s="1">
        <v>46076.334722222222</v>
      </c>
      <c r="M204" s="1">
        <v>46076.364583333336</v>
      </c>
      <c r="N204" s="1">
        <v>46076.376388888886</v>
      </c>
      <c r="O204">
        <v>3</v>
      </c>
      <c r="P204" t="s">
        <v>37</v>
      </c>
      <c r="Q204" t="s">
        <v>32</v>
      </c>
      <c r="R204" t="s">
        <v>77</v>
      </c>
      <c r="S204" t="s">
        <v>34</v>
      </c>
      <c r="T204">
        <v>5000</v>
      </c>
      <c r="U204" t="s">
        <v>35</v>
      </c>
      <c r="V204" t="s">
        <v>36</v>
      </c>
      <c r="W204">
        <v>1</v>
      </c>
      <c r="X204" t="s">
        <v>37</v>
      </c>
      <c r="Y204">
        <v>4</v>
      </c>
      <c r="Z204" t="s">
        <v>54</v>
      </c>
    </row>
    <row r="205" spans="1:26" x14ac:dyDescent="0.2">
      <c r="A205" t="s">
        <v>541</v>
      </c>
      <c r="B205" t="s">
        <v>542</v>
      </c>
      <c r="C205" s="1">
        <v>46065</v>
      </c>
      <c r="D205" t="s">
        <v>41</v>
      </c>
      <c r="E205">
        <v>10</v>
      </c>
      <c r="F205">
        <v>11.3</v>
      </c>
      <c r="G205" t="s">
        <v>81</v>
      </c>
      <c r="H205" t="s">
        <v>30</v>
      </c>
      <c r="I205" s="1">
        <v>46065.337500000001</v>
      </c>
      <c r="J205" s="1">
        <v>46065.34375</v>
      </c>
      <c r="K205" s="1">
        <v>46065.35833333333</v>
      </c>
      <c r="L205" s="1">
        <v>46065.363194444442</v>
      </c>
      <c r="M205" s="1">
        <v>46065.402083333334</v>
      </c>
      <c r="N205" s="1">
        <v>46065.409722222219</v>
      </c>
      <c r="O205">
        <v>3</v>
      </c>
      <c r="P205" t="s">
        <v>37</v>
      </c>
      <c r="Q205" t="s">
        <v>32</v>
      </c>
      <c r="R205" t="s">
        <v>107</v>
      </c>
      <c r="S205" t="s">
        <v>34</v>
      </c>
      <c r="T205">
        <v>5000</v>
      </c>
      <c r="U205" t="s">
        <v>35</v>
      </c>
      <c r="V205" t="s">
        <v>59</v>
      </c>
      <c r="W205">
        <v>3</v>
      </c>
      <c r="X205" t="s">
        <v>193</v>
      </c>
      <c r="Y205">
        <v>2</v>
      </c>
      <c r="Z205" t="s">
        <v>46</v>
      </c>
    </row>
    <row r="206" spans="1:26" hidden="1" x14ac:dyDescent="0.2">
      <c r="A206" t="s">
        <v>543</v>
      </c>
      <c r="B206" t="s">
        <v>544</v>
      </c>
      <c r="C206" s="1">
        <v>46028</v>
      </c>
      <c r="D206" t="s">
        <v>230</v>
      </c>
      <c r="E206">
        <v>25</v>
      </c>
      <c r="F206">
        <v>7.4</v>
      </c>
      <c r="G206" t="s">
        <v>29</v>
      </c>
      <c r="H206" t="s">
        <v>51</v>
      </c>
      <c r="I206" s="1">
        <v>46028.400694444441</v>
      </c>
      <c r="J206" s="1">
        <v>46028.42083333333</v>
      </c>
      <c r="K206" s="1">
        <v>46028.431250000001</v>
      </c>
      <c r="L206" s="1">
        <v>46028.43472222222</v>
      </c>
      <c r="M206" s="1">
        <v>46028.447222222225</v>
      </c>
      <c r="N206" s="1">
        <v>46028.457638888889</v>
      </c>
      <c r="O206">
        <v>3</v>
      </c>
      <c r="P206" t="s">
        <v>37</v>
      </c>
      <c r="Q206" t="s">
        <v>96</v>
      </c>
      <c r="R206" t="s">
        <v>214</v>
      </c>
      <c r="S206" t="s">
        <v>98</v>
      </c>
      <c r="T206">
        <v>3000</v>
      </c>
      <c r="U206" t="s">
        <v>35</v>
      </c>
      <c r="V206" t="s">
        <v>36</v>
      </c>
      <c r="W206">
        <v>1</v>
      </c>
      <c r="X206" t="s">
        <v>37</v>
      </c>
      <c r="Y206">
        <v>5</v>
      </c>
      <c r="Z206" t="s">
        <v>117</v>
      </c>
    </row>
    <row r="207" spans="1:26" hidden="1" x14ac:dyDescent="0.2">
      <c r="A207" t="s">
        <v>545</v>
      </c>
      <c r="B207" t="s">
        <v>546</v>
      </c>
      <c r="C207" s="1">
        <v>46066</v>
      </c>
      <c r="D207" t="s">
        <v>126</v>
      </c>
      <c r="E207">
        <v>30</v>
      </c>
      <c r="F207">
        <v>11.7</v>
      </c>
      <c r="G207" t="s">
        <v>76</v>
      </c>
      <c r="H207" t="s">
        <v>42</v>
      </c>
      <c r="I207" s="1">
        <v>46066.318055555559</v>
      </c>
      <c r="J207" s="1">
        <v>46066.336805555555</v>
      </c>
      <c r="K207" s="1">
        <v>46066.386111111111</v>
      </c>
      <c r="L207" s="1">
        <v>46066.398611111108</v>
      </c>
      <c r="M207" s="1">
        <v>46066.434027777781</v>
      </c>
      <c r="N207" s="1">
        <v>46066.444444444445</v>
      </c>
      <c r="O207">
        <v>1</v>
      </c>
      <c r="P207" t="s">
        <v>52</v>
      </c>
      <c r="Q207" t="s">
        <v>32</v>
      </c>
      <c r="R207" t="s">
        <v>140</v>
      </c>
      <c r="S207" t="s">
        <v>34</v>
      </c>
      <c r="T207">
        <v>5000</v>
      </c>
      <c r="U207" t="s">
        <v>35</v>
      </c>
      <c r="V207" t="s">
        <v>59</v>
      </c>
      <c r="W207">
        <v>2</v>
      </c>
      <c r="X207" t="s">
        <v>116</v>
      </c>
      <c r="Y207">
        <v>4</v>
      </c>
      <c r="Z207" t="s">
        <v>215</v>
      </c>
    </row>
    <row r="208" spans="1:26" x14ac:dyDescent="0.2">
      <c r="A208" t="s">
        <v>547</v>
      </c>
      <c r="B208" t="s">
        <v>548</v>
      </c>
      <c r="C208" s="1">
        <v>46095</v>
      </c>
      <c r="D208" t="s">
        <v>94</v>
      </c>
      <c r="E208">
        <v>29</v>
      </c>
      <c r="F208">
        <v>10.199999999999999</v>
      </c>
      <c r="G208" t="s">
        <v>81</v>
      </c>
      <c r="H208" t="s">
        <v>51</v>
      </c>
      <c r="I208" s="1">
        <v>46095.402777777781</v>
      </c>
      <c r="J208" s="1">
        <v>46095.42083333333</v>
      </c>
      <c r="K208" s="1">
        <v>46095.438888888886</v>
      </c>
      <c r="L208" s="1">
        <v>46095.452777777777</v>
      </c>
      <c r="M208" s="1">
        <v>46095.481249999997</v>
      </c>
      <c r="N208" s="1">
        <v>46095.489583333336</v>
      </c>
      <c r="O208">
        <v>4</v>
      </c>
      <c r="P208" t="s">
        <v>37</v>
      </c>
      <c r="Q208" t="s">
        <v>43</v>
      </c>
      <c r="R208" t="s">
        <v>158</v>
      </c>
      <c r="S208" t="s">
        <v>45</v>
      </c>
      <c r="T208">
        <v>2500</v>
      </c>
      <c r="U208" t="s">
        <v>35</v>
      </c>
      <c r="V208" t="s">
        <v>36</v>
      </c>
      <c r="W208">
        <v>1</v>
      </c>
      <c r="X208" t="s">
        <v>37</v>
      </c>
      <c r="Y208">
        <v>1</v>
      </c>
      <c r="Z208" t="s">
        <v>46</v>
      </c>
    </row>
    <row r="209" spans="1:26" hidden="1" x14ac:dyDescent="0.2">
      <c r="A209" t="s">
        <v>549</v>
      </c>
      <c r="B209" t="s">
        <v>550</v>
      </c>
      <c r="C209" s="1">
        <v>46090</v>
      </c>
      <c r="D209" t="s">
        <v>137</v>
      </c>
      <c r="E209">
        <v>26</v>
      </c>
      <c r="F209">
        <v>8.1999999999999993</v>
      </c>
      <c r="G209" t="s">
        <v>81</v>
      </c>
      <c r="H209" t="s">
        <v>51</v>
      </c>
      <c r="I209" s="1">
        <v>46090.326388888891</v>
      </c>
      <c r="J209" s="1">
        <v>46090.344444444447</v>
      </c>
      <c r="K209" s="1">
        <v>46090.372916666667</v>
      </c>
      <c r="L209" s="1">
        <v>46090.386805555558</v>
      </c>
      <c r="M209" s="1">
        <v>46090.40902777778</v>
      </c>
      <c r="N209" s="1">
        <v>46090.429166666669</v>
      </c>
      <c r="O209">
        <v>2</v>
      </c>
      <c r="P209" t="s">
        <v>37</v>
      </c>
      <c r="Q209" t="s">
        <v>69</v>
      </c>
      <c r="R209" t="s">
        <v>146</v>
      </c>
      <c r="S209" t="s">
        <v>71</v>
      </c>
      <c r="T209">
        <v>2000</v>
      </c>
      <c r="U209" t="s">
        <v>35</v>
      </c>
      <c r="V209" t="s">
        <v>59</v>
      </c>
      <c r="W209">
        <v>1</v>
      </c>
      <c r="X209" t="s">
        <v>116</v>
      </c>
      <c r="Y209">
        <v>5</v>
      </c>
      <c r="Z209" t="s">
        <v>296</v>
      </c>
    </row>
    <row r="210" spans="1:26" hidden="1" x14ac:dyDescent="0.2">
      <c r="A210" t="s">
        <v>551</v>
      </c>
      <c r="B210" t="s">
        <v>552</v>
      </c>
      <c r="C210" s="1">
        <v>46083</v>
      </c>
      <c r="D210" t="s">
        <v>230</v>
      </c>
      <c r="E210">
        <v>9</v>
      </c>
      <c r="F210">
        <v>10</v>
      </c>
      <c r="G210" t="s">
        <v>76</v>
      </c>
      <c r="H210" t="s">
        <v>95</v>
      </c>
      <c r="I210" s="1">
        <v>46083.308333333334</v>
      </c>
      <c r="J210" s="1">
        <v>46083.317361111112</v>
      </c>
      <c r="K210" s="1">
        <v>46083.328472222223</v>
      </c>
      <c r="L210" s="1">
        <v>46083.336805555555</v>
      </c>
      <c r="M210" s="1">
        <v>46083.368055555555</v>
      </c>
      <c r="N210" s="1">
        <v>46083.388194444444</v>
      </c>
      <c r="O210">
        <v>4</v>
      </c>
      <c r="P210" t="s">
        <v>37</v>
      </c>
      <c r="Q210" t="s">
        <v>43</v>
      </c>
      <c r="R210" t="s">
        <v>158</v>
      </c>
      <c r="S210" t="s">
        <v>45</v>
      </c>
      <c r="T210">
        <v>2500</v>
      </c>
      <c r="U210" t="s">
        <v>35</v>
      </c>
      <c r="V210" t="s">
        <v>36</v>
      </c>
      <c r="W210">
        <v>1</v>
      </c>
      <c r="X210" t="s">
        <v>37</v>
      </c>
      <c r="Y210">
        <v>4</v>
      </c>
      <c r="Z210" t="s">
        <v>117</v>
      </c>
    </row>
    <row r="211" spans="1:26" hidden="1" x14ac:dyDescent="0.2">
      <c r="A211" t="s">
        <v>553</v>
      </c>
      <c r="B211" t="s">
        <v>554</v>
      </c>
      <c r="C211" s="1">
        <v>46080</v>
      </c>
      <c r="D211" t="s">
        <v>289</v>
      </c>
      <c r="E211">
        <v>6</v>
      </c>
      <c r="F211">
        <v>4.8</v>
      </c>
      <c r="G211" t="s">
        <v>50</v>
      </c>
      <c r="H211" t="s">
        <v>51</v>
      </c>
      <c r="I211" s="1">
        <v>46080.348611111112</v>
      </c>
      <c r="J211" s="1">
        <v>46080.363888888889</v>
      </c>
      <c r="K211" s="1">
        <v>46080.370833333334</v>
      </c>
      <c r="L211" s="1">
        <v>46080.375694444447</v>
      </c>
      <c r="M211" s="1">
        <v>46080.417361111111</v>
      </c>
      <c r="N211" s="1">
        <v>46080.447222222225</v>
      </c>
      <c r="O211">
        <v>5</v>
      </c>
      <c r="P211" t="s">
        <v>37</v>
      </c>
      <c r="Q211" t="s">
        <v>32</v>
      </c>
      <c r="R211" t="s">
        <v>53</v>
      </c>
      <c r="S211" t="s">
        <v>34</v>
      </c>
      <c r="T211">
        <v>5000</v>
      </c>
      <c r="U211" t="s">
        <v>35</v>
      </c>
      <c r="V211" t="s">
        <v>36</v>
      </c>
      <c r="W211">
        <v>1</v>
      </c>
      <c r="X211" t="s">
        <v>37</v>
      </c>
      <c r="Y211">
        <v>5</v>
      </c>
      <c r="Z211" t="s">
        <v>72</v>
      </c>
    </row>
    <row r="212" spans="1:26" hidden="1" x14ac:dyDescent="0.2">
      <c r="A212" t="s">
        <v>555</v>
      </c>
      <c r="B212" t="s">
        <v>556</v>
      </c>
      <c r="C212" s="1">
        <v>46069</v>
      </c>
      <c r="D212" t="s">
        <v>64</v>
      </c>
      <c r="E212">
        <v>34</v>
      </c>
      <c r="F212">
        <v>6.7</v>
      </c>
      <c r="G212" t="s">
        <v>81</v>
      </c>
      <c r="H212" t="s">
        <v>65</v>
      </c>
      <c r="I212" s="1">
        <v>46069.334027777775</v>
      </c>
      <c r="J212" s="1">
        <v>46069.352777777778</v>
      </c>
      <c r="K212" s="1">
        <v>46069.39166666667</v>
      </c>
      <c r="L212" s="1">
        <v>46069.404861111114</v>
      </c>
      <c r="M212" s="1">
        <v>46069.416666666664</v>
      </c>
      <c r="N212" s="1">
        <v>46069.424305555556</v>
      </c>
      <c r="O212">
        <v>7</v>
      </c>
      <c r="P212" t="s">
        <v>37</v>
      </c>
      <c r="Q212" t="s">
        <v>32</v>
      </c>
      <c r="R212" t="s">
        <v>120</v>
      </c>
      <c r="S212" t="s">
        <v>34</v>
      </c>
      <c r="T212">
        <v>5000</v>
      </c>
      <c r="U212" t="s">
        <v>35</v>
      </c>
      <c r="V212" t="s">
        <v>36</v>
      </c>
      <c r="W212">
        <v>1</v>
      </c>
      <c r="X212" t="s">
        <v>37</v>
      </c>
      <c r="Y212">
        <v>5</v>
      </c>
      <c r="Z212" t="s">
        <v>61</v>
      </c>
    </row>
    <row r="213" spans="1:26" hidden="1" x14ac:dyDescent="0.2">
      <c r="A213" t="s">
        <v>557</v>
      </c>
      <c r="B213" t="s">
        <v>558</v>
      </c>
      <c r="C213" s="1">
        <v>46093</v>
      </c>
      <c r="D213" t="s">
        <v>285</v>
      </c>
      <c r="E213">
        <v>7</v>
      </c>
      <c r="F213">
        <v>11.2</v>
      </c>
      <c r="G213" t="s">
        <v>50</v>
      </c>
      <c r="H213" t="s">
        <v>95</v>
      </c>
      <c r="I213" s="1">
        <v>46093.395833333336</v>
      </c>
      <c r="J213" s="1">
        <v>46093.414583333331</v>
      </c>
      <c r="K213" s="1">
        <v>46093.457638888889</v>
      </c>
      <c r="L213" s="1">
        <v>46093.463194444441</v>
      </c>
      <c r="M213" s="1">
        <v>46093.481249999997</v>
      </c>
      <c r="N213" s="1">
        <v>46093.511805555558</v>
      </c>
      <c r="O213">
        <v>2</v>
      </c>
      <c r="P213" t="s">
        <v>115</v>
      </c>
      <c r="Q213" t="s">
        <v>96</v>
      </c>
      <c r="R213" t="s">
        <v>90</v>
      </c>
      <c r="S213" t="s">
        <v>98</v>
      </c>
      <c r="T213">
        <v>3000</v>
      </c>
      <c r="U213" t="s">
        <v>35</v>
      </c>
      <c r="V213" t="s">
        <v>59</v>
      </c>
      <c r="W213">
        <v>2</v>
      </c>
      <c r="X213" t="s">
        <v>60</v>
      </c>
      <c r="Y213">
        <v>4</v>
      </c>
      <c r="Z213" t="s">
        <v>61</v>
      </c>
    </row>
    <row r="214" spans="1:26" hidden="1" x14ac:dyDescent="0.2">
      <c r="A214" t="s">
        <v>559</v>
      </c>
      <c r="B214" t="s">
        <v>560</v>
      </c>
      <c r="C214" s="1">
        <v>46028</v>
      </c>
      <c r="D214" t="s">
        <v>171</v>
      </c>
      <c r="E214">
        <v>33</v>
      </c>
      <c r="F214">
        <v>7.7</v>
      </c>
      <c r="G214" t="s">
        <v>81</v>
      </c>
      <c r="H214" t="s">
        <v>65</v>
      </c>
      <c r="I214" s="1">
        <v>46028.273611111108</v>
      </c>
      <c r="J214" s="1">
        <v>46028.287499999999</v>
      </c>
      <c r="K214" s="1">
        <v>46028.294444444444</v>
      </c>
      <c r="L214" s="1">
        <v>46028.298611111109</v>
      </c>
      <c r="M214" s="1">
        <v>46028.329861111109</v>
      </c>
      <c r="N214" s="1">
        <v>46028.352083333331</v>
      </c>
      <c r="O214">
        <v>7</v>
      </c>
      <c r="P214" t="s">
        <v>37</v>
      </c>
      <c r="Q214" t="s">
        <v>69</v>
      </c>
      <c r="R214" t="s">
        <v>111</v>
      </c>
      <c r="S214" t="s">
        <v>71</v>
      </c>
      <c r="T214">
        <v>2000</v>
      </c>
      <c r="U214" t="s">
        <v>91</v>
      </c>
      <c r="V214" t="s">
        <v>36</v>
      </c>
      <c r="W214">
        <v>1</v>
      </c>
      <c r="X214" t="s">
        <v>37</v>
      </c>
      <c r="Y214">
        <v>5</v>
      </c>
      <c r="Z214" t="s">
        <v>38</v>
      </c>
    </row>
    <row r="215" spans="1:26" hidden="1" x14ac:dyDescent="0.2">
      <c r="A215" t="s">
        <v>561</v>
      </c>
      <c r="B215" t="s">
        <v>562</v>
      </c>
      <c r="C215" s="1">
        <v>46045</v>
      </c>
      <c r="D215" t="s">
        <v>233</v>
      </c>
      <c r="E215">
        <v>29</v>
      </c>
      <c r="F215">
        <v>9.3000000000000007</v>
      </c>
      <c r="G215" t="s">
        <v>81</v>
      </c>
      <c r="H215" t="s">
        <v>167</v>
      </c>
      <c r="I215" s="1">
        <v>46045.339583333334</v>
      </c>
      <c r="J215" s="1">
        <v>46045.351388888892</v>
      </c>
      <c r="K215" s="1">
        <v>46045.395138888889</v>
      </c>
      <c r="L215" s="1">
        <v>46045.40347222222</v>
      </c>
      <c r="M215" s="1">
        <v>46045.422222222223</v>
      </c>
      <c r="N215" s="1">
        <v>46045.443055555559</v>
      </c>
      <c r="O215">
        <v>3</v>
      </c>
      <c r="P215" t="s">
        <v>37</v>
      </c>
      <c r="Q215" t="s">
        <v>82</v>
      </c>
      <c r="R215" t="s">
        <v>286</v>
      </c>
      <c r="S215" t="s">
        <v>84</v>
      </c>
      <c r="T215">
        <v>4000</v>
      </c>
      <c r="U215" t="s">
        <v>35</v>
      </c>
      <c r="V215" t="s">
        <v>36</v>
      </c>
      <c r="W215">
        <v>1</v>
      </c>
      <c r="X215" t="s">
        <v>37</v>
      </c>
      <c r="Y215">
        <v>4</v>
      </c>
      <c r="Z215" t="s">
        <v>38</v>
      </c>
    </row>
    <row r="216" spans="1:26" hidden="1" x14ac:dyDescent="0.2">
      <c r="A216" t="s">
        <v>563</v>
      </c>
      <c r="B216" t="s">
        <v>564</v>
      </c>
      <c r="C216" s="1">
        <v>46061</v>
      </c>
      <c r="D216" t="s">
        <v>64</v>
      </c>
      <c r="E216">
        <v>40</v>
      </c>
      <c r="F216">
        <v>9.1</v>
      </c>
      <c r="G216" t="s">
        <v>57</v>
      </c>
      <c r="H216" t="s">
        <v>95</v>
      </c>
      <c r="I216" s="1">
        <v>46061.36041666667</v>
      </c>
      <c r="J216" s="1">
        <v>46061.379166666666</v>
      </c>
      <c r="K216" s="1">
        <v>46061.411805555559</v>
      </c>
      <c r="L216" s="1">
        <v>46061.42291666667</v>
      </c>
      <c r="M216" s="1">
        <v>46061.459722222222</v>
      </c>
      <c r="N216" s="1">
        <v>46061.46875</v>
      </c>
      <c r="O216">
        <v>6</v>
      </c>
      <c r="P216" t="s">
        <v>37</v>
      </c>
      <c r="Q216" t="s">
        <v>69</v>
      </c>
      <c r="R216" t="s">
        <v>251</v>
      </c>
      <c r="S216" t="s">
        <v>71</v>
      </c>
      <c r="T216">
        <v>2000</v>
      </c>
      <c r="U216" t="s">
        <v>91</v>
      </c>
      <c r="V216" t="s">
        <v>36</v>
      </c>
      <c r="W216">
        <v>1</v>
      </c>
      <c r="X216" t="s">
        <v>37</v>
      </c>
      <c r="Y216">
        <v>5</v>
      </c>
      <c r="Z216" t="s">
        <v>99</v>
      </c>
    </row>
    <row r="217" spans="1:26" hidden="1" x14ac:dyDescent="0.2">
      <c r="A217" t="s">
        <v>565</v>
      </c>
      <c r="B217" t="s">
        <v>566</v>
      </c>
      <c r="C217" s="1">
        <v>46068</v>
      </c>
      <c r="D217" t="s">
        <v>75</v>
      </c>
      <c r="E217">
        <v>31</v>
      </c>
      <c r="F217">
        <v>9.4</v>
      </c>
      <c r="G217" t="s">
        <v>81</v>
      </c>
      <c r="H217" t="s">
        <v>167</v>
      </c>
      <c r="I217" s="1">
        <v>46068.405555555553</v>
      </c>
      <c r="J217" s="1">
        <v>46068.418055555558</v>
      </c>
      <c r="K217" s="1">
        <v>46068.425694444442</v>
      </c>
      <c r="L217" s="1">
        <v>46068.431250000001</v>
      </c>
      <c r="M217" s="1">
        <v>46068.438888888886</v>
      </c>
      <c r="N217" s="1">
        <v>46068.459027777775</v>
      </c>
      <c r="O217">
        <v>2</v>
      </c>
      <c r="P217" t="s">
        <v>238</v>
      </c>
      <c r="Q217" t="s">
        <v>43</v>
      </c>
      <c r="R217" t="s">
        <v>44</v>
      </c>
      <c r="S217" t="s">
        <v>45</v>
      </c>
      <c r="T217">
        <v>2500</v>
      </c>
      <c r="U217" t="s">
        <v>35</v>
      </c>
      <c r="V217" t="s">
        <v>36</v>
      </c>
      <c r="W217">
        <v>1</v>
      </c>
      <c r="X217" t="s">
        <v>37</v>
      </c>
      <c r="Y217">
        <v>3</v>
      </c>
      <c r="Z217" t="s">
        <v>161</v>
      </c>
    </row>
    <row r="218" spans="1:26" hidden="1" x14ac:dyDescent="0.2">
      <c r="A218" t="s">
        <v>567</v>
      </c>
      <c r="B218" t="s">
        <v>568</v>
      </c>
      <c r="C218" s="1">
        <v>46055</v>
      </c>
      <c r="D218" t="s">
        <v>123</v>
      </c>
      <c r="E218">
        <v>18</v>
      </c>
      <c r="F218">
        <v>10</v>
      </c>
      <c r="G218" t="s">
        <v>29</v>
      </c>
      <c r="H218" t="s">
        <v>167</v>
      </c>
      <c r="I218" s="1">
        <v>46055.394444444442</v>
      </c>
      <c r="J218" s="1">
        <v>46055.407638888886</v>
      </c>
      <c r="K218" s="1">
        <v>46055.423611111109</v>
      </c>
      <c r="L218" s="1">
        <v>46055.431944444441</v>
      </c>
      <c r="M218" s="1">
        <v>46055.47152777778</v>
      </c>
      <c r="N218" s="1">
        <v>46055.499305555553</v>
      </c>
      <c r="O218">
        <v>4</v>
      </c>
      <c r="P218" t="s">
        <v>52</v>
      </c>
      <c r="Q218" t="s">
        <v>32</v>
      </c>
      <c r="R218" t="s">
        <v>33</v>
      </c>
      <c r="S218" t="s">
        <v>34</v>
      </c>
      <c r="T218">
        <v>5000</v>
      </c>
      <c r="U218" t="s">
        <v>35</v>
      </c>
      <c r="V218" t="s">
        <v>36</v>
      </c>
      <c r="W218">
        <v>1</v>
      </c>
      <c r="X218" t="s">
        <v>37</v>
      </c>
      <c r="Y218">
        <v>5</v>
      </c>
      <c r="Z218" t="s">
        <v>168</v>
      </c>
    </row>
    <row r="219" spans="1:26" hidden="1" x14ac:dyDescent="0.2">
      <c r="A219" t="s">
        <v>569</v>
      </c>
      <c r="B219" t="s">
        <v>570</v>
      </c>
      <c r="C219" s="1">
        <v>46110</v>
      </c>
      <c r="D219" t="s">
        <v>289</v>
      </c>
      <c r="E219">
        <v>5</v>
      </c>
      <c r="F219">
        <v>9.9</v>
      </c>
      <c r="G219" t="s">
        <v>57</v>
      </c>
      <c r="H219" t="s">
        <v>65</v>
      </c>
      <c r="I219" s="1">
        <v>46110.404166666667</v>
      </c>
      <c r="J219" s="1">
        <v>46110.424305555556</v>
      </c>
      <c r="K219" s="1">
        <v>46110.470138888886</v>
      </c>
      <c r="L219" s="1">
        <v>46110.478472222225</v>
      </c>
      <c r="M219" s="1">
        <v>46110.513194444444</v>
      </c>
      <c r="N219" s="1">
        <v>46110.532638888886</v>
      </c>
      <c r="O219">
        <v>7</v>
      </c>
      <c r="P219" t="s">
        <v>37</v>
      </c>
      <c r="Q219" t="s">
        <v>69</v>
      </c>
      <c r="R219" t="s">
        <v>111</v>
      </c>
      <c r="S219" t="s">
        <v>71</v>
      </c>
      <c r="T219">
        <v>2000</v>
      </c>
      <c r="U219" t="s">
        <v>35</v>
      </c>
      <c r="V219" t="s">
        <v>36</v>
      </c>
      <c r="W219">
        <v>1</v>
      </c>
      <c r="X219" t="s">
        <v>37</v>
      </c>
      <c r="Y219">
        <v>5</v>
      </c>
      <c r="Z219" t="s">
        <v>54</v>
      </c>
    </row>
    <row r="220" spans="1:26" hidden="1" x14ac:dyDescent="0.2">
      <c r="A220" t="s">
        <v>571</v>
      </c>
      <c r="B220" t="s">
        <v>572</v>
      </c>
      <c r="C220" s="1">
        <v>46080</v>
      </c>
      <c r="D220" t="s">
        <v>126</v>
      </c>
      <c r="E220">
        <v>16</v>
      </c>
      <c r="F220">
        <v>9.9</v>
      </c>
      <c r="G220" t="s">
        <v>29</v>
      </c>
      <c r="H220" t="s">
        <v>157</v>
      </c>
      <c r="I220" s="1">
        <v>46080.256944444445</v>
      </c>
      <c r="J220" s="1">
        <v>46080.269444444442</v>
      </c>
      <c r="K220" s="1">
        <v>46080.300694444442</v>
      </c>
      <c r="L220" s="1">
        <v>46080.30972222222</v>
      </c>
      <c r="M220" s="1">
        <v>46080.322222222225</v>
      </c>
      <c r="N220" s="1">
        <v>46080.332638888889</v>
      </c>
      <c r="O220">
        <v>5</v>
      </c>
      <c r="P220" t="s">
        <v>37</v>
      </c>
      <c r="Q220" t="s">
        <v>32</v>
      </c>
      <c r="R220" t="s">
        <v>278</v>
      </c>
      <c r="S220" t="s">
        <v>34</v>
      </c>
      <c r="T220">
        <v>5000</v>
      </c>
      <c r="U220" t="s">
        <v>35</v>
      </c>
      <c r="V220" t="s">
        <v>36</v>
      </c>
      <c r="W220">
        <v>1</v>
      </c>
      <c r="X220" t="s">
        <v>37</v>
      </c>
      <c r="Y220">
        <v>5</v>
      </c>
      <c r="Z220" t="s">
        <v>102</v>
      </c>
    </row>
    <row r="221" spans="1:26" hidden="1" x14ac:dyDescent="0.2">
      <c r="A221" t="s">
        <v>573</v>
      </c>
      <c r="B221" t="s">
        <v>574</v>
      </c>
      <c r="C221" s="1">
        <v>46064</v>
      </c>
      <c r="D221" t="s">
        <v>80</v>
      </c>
      <c r="E221">
        <v>36</v>
      </c>
      <c r="F221">
        <v>10.3</v>
      </c>
      <c r="G221" t="s">
        <v>81</v>
      </c>
      <c r="H221" t="s">
        <v>167</v>
      </c>
      <c r="I221" s="1">
        <v>46064.262499999997</v>
      </c>
      <c r="J221" s="1">
        <v>46064.283333333333</v>
      </c>
      <c r="K221" s="1">
        <v>46064.318055555559</v>
      </c>
      <c r="L221" s="1">
        <v>46064.326388888891</v>
      </c>
      <c r="M221" s="1">
        <v>46064.34097222222</v>
      </c>
      <c r="N221" s="1">
        <v>46064.367361111108</v>
      </c>
      <c r="O221">
        <v>1</v>
      </c>
      <c r="P221" t="s">
        <v>37</v>
      </c>
      <c r="Q221" t="s">
        <v>32</v>
      </c>
      <c r="R221" t="s">
        <v>33</v>
      </c>
      <c r="S221" t="s">
        <v>34</v>
      </c>
      <c r="T221">
        <v>5000</v>
      </c>
      <c r="U221" t="s">
        <v>35</v>
      </c>
      <c r="V221" t="s">
        <v>36</v>
      </c>
      <c r="W221">
        <v>1</v>
      </c>
      <c r="X221" t="s">
        <v>37</v>
      </c>
      <c r="Y221">
        <v>4</v>
      </c>
      <c r="Z221" t="s">
        <v>99</v>
      </c>
    </row>
    <row r="222" spans="1:26" hidden="1" x14ac:dyDescent="0.2">
      <c r="A222" t="s">
        <v>575</v>
      </c>
      <c r="B222" t="s">
        <v>576</v>
      </c>
      <c r="C222" s="1">
        <v>46050</v>
      </c>
      <c r="D222" t="s">
        <v>94</v>
      </c>
      <c r="E222">
        <v>28</v>
      </c>
      <c r="F222">
        <v>6.3</v>
      </c>
      <c r="G222" t="s">
        <v>81</v>
      </c>
      <c r="H222" t="s">
        <v>65</v>
      </c>
      <c r="I222" s="1">
        <v>46050.334027777775</v>
      </c>
      <c r="J222" s="1">
        <v>46050.349305555559</v>
      </c>
      <c r="K222" s="1">
        <v>46050.356944444444</v>
      </c>
      <c r="L222" s="1">
        <v>46050.362500000003</v>
      </c>
      <c r="M222" s="1">
        <v>46050.398611111108</v>
      </c>
      <c r="N222" s="1">
        <v>46050.417361111111</v>
      </c>
      <c r="O222">
        <v>4</v>
      </c>
      <c r="P222" t="s">
        <v>52</v>
      </c>
      <c r="Q222" t="s">
        <v>96</v>
      </c>
      <c r="R222" t="s">
        <v>214</v>
      </c>
      <c r="S222" t="s">
        <v>98</v>
      </c>
      <c r="T222">
        <v>3000</v>
      </c>
      <c r="U222" t="s">
        <v>35</v>
      </c>
      <c r="V222" t="s">
        <v>36</v>
      </c>
      <c r="W222">
        <v>1</v>
      </c>
      <c r="X222" t="s">
        <v>37</v>
      </c>
      <c r="Y222">
        <v>5</v>
      </c>
      <c r="Z222" t="s">
        <v>134</v>
      </c>
    </row>
    <row r="223" spans="1:26" hidden="1" x14ac:dyDescent="0.2">
      <c r="A223" t="s">
        <v>577</v>
      </c>
      <c r="B223" t="s">
        <v>578</v>
      </c>
      <c r="C223" s="1">
        <v>46071</v>
      </c>
      <c r="D223" t="s">
        <v>171</v>
      </c>
      <c r="E223">
        <v>21</v>
      </c>
      <c r="F223">
        <v>8.3000000000000007</v>
      </c>
      <c r="G223" t="s">
        <v>76</v>
      </c>
      <c r="H223" t="s">
        <v>51</v>
      </c>
      <c r="I223" s="1">
        <v>46071.411805555559</v>
      </c>
      <c r="J223" s="1">
        <v>46071.426388888889</v>
      </c>
      <c r="K223" s="1">
        <v>46071.46597222222</v>
      </c>
      <c r="L223" s="1">
        <v>46071.479166666664</v>
      </c>
      <c r="M223" s="1">
        <v>46071.507638888892</v>
      </c>
      <c r="N223" s="1">
        <v>46071.512499999997</v>
      </c>
      <c r="O223">
        <v>3</v>
      </c>
      <c r="P223" t="s">
        <v>37</v>
      </c>
      <c r="Q223" t="s">
        <v>32</v>
      </c>
      <c r="R223" t="s">
        <v>140</v>
      </c>
      <c r="S223" t="s">
        <v>34</v>
      </c>
      <c r="T223">
        <v>5000</v>
      </c>
      <c r="U223" t="s">
        <v>35</v>
      </c>
      <c r="V223" t="s">
        <v>36</v>
      </c>
      <c r="W223">
        <v>1</v>
      </c>
      <c r="X223" t="s">
        <v>37</v>
      </c>
      <c r="Y223">
        <v>5</v>
      </c>
      <c r="Z223" t="s">
        <v>296</v>
      </c>
    </row>
    <row r="224" spans="1:26" x14ac:dyDescent="0.2">
      <c r="A224" t="s">
        <v>579</v>
      </c>
      <c r="B224" t="s">
        <v>580</v>
      </c>
      <c r="C224" s="1">
        <v>46091</v>
      </c>
      <c r="D224" t="s">
        <v>178</v>
      </c>
      <c r="E224">
        <v>18</v>
      </c>
      <c r="F224">
        <v>10.9</v>
      </c>
      <c r="G224" t="s">
        <v>50</v>
      </c>
      <c r="H224" t="s">
        <v>42</v>
      </c>
      <c r="I224" s="1">
        <v>46091.268055555556</v>
      </c>
      <c r="J224" s="1">
        <v>46091.275694444441</v>
      </c>
      <c r="K224" s="1">
        <v>46091.329861111109</v>
      </c>
      <c r="L224" s="1">
        <v>46091.342361111114</v>
      </c>
      <c r="M224" s="1">
        <v>46091.37777777778</v>
      </c>
      <c r="N224" s="1">
        <v>46091.384027777778</v>
      </c>
      <c r="O224">
        <v>6</v>
      </c>
      <c r="P224" t="s">
        <v>37</v>
      </c>
      <c r="Q224" t="s">
        <v>32</v>
      </c>
      <c r="R224" t="s">
        <v>120</v>
      </c>
      <c r="S224" t="s">
        <v>34</v>
      </c>
      <c r="T224">
        <v>5000</v>
      </c>
      <c r="U224" t="s">
        <v>35</v>
      </c>
      <c r="V224" t="s">
        <v>36</v>
      </c>
      <c r="W224">
        <v>1</v>
      </c>
      <c r="X224" t="s">
        <v>37</v>
      </c>
      <c r="Y224">
        <v>1</v>
      </c>
      <c r="Z224" t="s">
        <v>117</v>
      </c>
    </row>
    <row r="225" spans="1:26" hidden="1" x14ac:dyDescent="0.2">
      <c r="A225" t="s">
        <v>581</v>
      </c>
      <c r="B225" t="s">
        <v>582</v>
      </c>
      <c r="C225" s="1">
        <v>46045</v>
      </c>
      <c r="D225" t="s">
        <v>154</v>
      </c>
      <c r="E225">
        <v>9</v>
      </c>
      <c r="F225">
        <v>8.6</v>
      </c>
      <c r="G225" t="s">
        <v>57</v>
      </c>
      <c r="H225" t="s">
        <v>167</v>
      </c>
      <c r="I225" s="1">
        <v>46045.322222222225</v>
      </c>
      <c r="J225" s="1">
        <v>46045.334027777775</v>
      </c>
      <c r="K225" s="1">
        <v>46045.380555555559</v>
      </c>
      <c r="L225" s="1">
        <v>46045.392361111109</v>
      </c>
      <c r="M225" s="1">
        <v>46045.418055555558</v>
      </c>
      <c r="N225" s="1">
        <v>46045.435416666667</v>
      </c>
      <c r="O225">
        <v>1</v>
      </c>
      <c r="P225" t="s">
        <v>37</v>
      </c>
      <c r="Q225" t="s">
        <v>96</v>
      </c>
      <c r="R225" t="s">
        <v>130</v>
      </c>
      <c r="S225" t="s">
        <v>98</v>
      </c>
      <c r="T225">
        <v>3000</v>
      </c>
      <c r="U225" t="s">
        <v>35</v>
      </c>
      <c r="V225" t="s">
        <v>36</v>
      </c>
      <c r="W225">
        <v>1</v>
      </c>
      <c r="X225" t="s">
        <v>37</v>
      </c>
      <c r="Y225">
        <v>5</v>
      </c>
      <c r="Z225" t="s">
        <v>117</v>
      </c>
    </row>
    <row r="226" spans="1:26" hidden="1" x14ac:dyDescent="0.2">
      <c r="A226" t="s">
        <v>583</v>
      </c>
      <c r="B226" t="s">
        <v>584</v>
      </c>
      <c r="C226" s="1">
        <v>46028</v>
      </c>
      <c r="D226" t="s">
        <v>114</v>
      </c>
      <c r="E226">
        <v>37</v>
      </c>
      <c r="F226">
        <v>4.8</v>
      </c>
      <c r="G226" t="s">
        <v>76</v>
      </c>
      <c r="H226" t="s">
        <v>65</v>
      </c>
      <c r="I226" s="1">
        <v>46028.265277777777</v>
      </c>
      <c r="J226" s="1">
        <v>46028.275000000001</v>
      </c>
      <c r="K226" s="1">
        <v>46028.320833333331</v>
      </c>
      <c r="L226" s="1">
        <v>46028.332638888889</v>
      </c>
      <c r="M226" s="1">
        <v>46028.356944444444</v>
      </c>
      <c r="N226" s="1">
        <v>46028.361111111109</v>
      </c>
      <c r="O226">
        <v>4</v>
      </c>
      <c r="P226" t="s">
        <v>106</v>
      </c>
      <c r="Q226" t="s">
        <v>32</v>
      </c>
      <c r="R226" t="s">
        <v>66</v>
      </c>
      <c r="S226" t="s">
        <v>34</v>
      </c>
      <c r="T226">
        <v>5000</v>
      </c>
      <c r="U226" t="s">
        <v>35</v>
      </c>
      <c r="V226" t="s">
        <v>36</v>
      </c>
      <c r="W226">
        <v>1</v>
      </c>
      <c r="X226" t="s">
        <v>37</v>
      </c>
      <c r="Y226">
        <v>5</v>
      </c>
      <c r="Z226" t="s">
        <v>131</v>
      </c>
    </row>
    <row r="227" spans="1:26" hidden="1" x14ac:dyDescent="0.2">
      <c r="A227" t="s">
        <v>585</v>
      </c>
      <c r="B227" t="s">
        <v>586</v>
      </c>
      <c r="C227" s="1">
        <v>46104</v>
      </c>
      <c r="D227" t="s">
        <v>123</v>
      </c>
      <c r="E227">
        <v>5</v>
      </c>
      <c r="F227">
        <v>8.4</v>
      </c>
      <c r="G227" t="s">
        <v>81</v>
      </c>
      <c r="H227" t="s">
        <v>95</v>
      </c>
      <c r="I227" s="1">
        <v>46104.271527777775</v>
      </c>
      <c r="J227" s="1">
        <v>46104.275694444441</v>
      </c>
      <c r="K227" s="1">
        <v>46104.282638888886</v>
      </c>
      <c r="L227" s="1">
        <v>46104.294444444444</v>
      </c>
      <c r="M227" s="1">
        <v>46104.324999999997</v>
      </c>
      <c r="N227" s="1">
        <v>46104.352777777778</v>
      </c>
      <c r="O227">
        <v>1</v>
      </c>
      <c r="P227" t="s">
        <v>37</v>
      </c>
      <c r="Q227" t="s">
        <v>96</v>
      </c>
      <c r="R227" t="s">
        <v>214</v>
      </c>
      <c r="S227" t="s">
        <v>98</v>
      </c>
      <c r="T227">
        <v>3000</v>
      </c>
      <c r="U227" t="s">
        <v>35</v>
      </c>
      <c r="V227" t="s">
        <v>59</v>
      </c>
      <c r="W227">
        <v>3</v>
      </c>
      <c r="X227" t="s">
        <v>85</v>
      </c>
      <c r="Y227">
        <v>4</v>
      </c>
      <c r="Z227" t="s">
        <v>134</v>
      </c>
    </row>
    <row r="228" spans="1:26" hidden="1" x14ac:dyDescent="0.2">
      <c r="A228" t="s">
        <v>587</v>
      </c>
      <c r="B228" t="s">
        <v>588</v>
      </c>
      <c r="C228" s="1">
        <v>46041</v>
      </c>
      <c r="D228" t="s">
        <v>126</v>
      </c>
      <c r="E228">
        <v>21</v>
      </c>
      <c r="F228">
        <v>5.6</v>
      </c>
      <c r="G228" t="s">
        <v>57</v>
      </c>
      <c r="H228" t="s">
        <v>30</v>
      </c>
      <c r="I228" s="1">
        <v>46041.39166666667</v>
      </c>
      <c r="J228" s="1">
        <v>46041.407638888886</v>
      </c>
      <c r="K228" s="1">
        <v>46041.418749999997</v>
      </c>
      <c r="L228" s="1">
        <v>46041.431944444441</v>
      </c>
      <c r="M228" s="1">
        <v>46041.467361111114</v>
      </c>
      <c r="N228" s="1">
        <v>46041.495138888888</v>
      </c>
      <c r="O228">
        <v>1</v>
      </c>
      <c r="P228" t="s">
        <v>37</v>
      </c>
      <c r="Q228" t="s">
        <v>82</v>
      </c>
      <c r="R228" t="s">
        <v>83</v>
      </c>
      <c r="S228" t="s">
        <v>84</v>
      </c>
      <c r="T228">
        <v>4000</v>
      </c>
      <c r="U228" t="s">
        <v>35</v>
      </c>
      <c r="V228" t="s">
        <v>36</v>
      </c>
      <c r="W228">
        <v>1</v>
      </c>
      <c r="X228" t="s">
        <v>37</v>
      </c>
      <c r="Y228">
        <v>5</v>
      </c>
      <c r="Z228" t="s">
        <v>72</v>
      </c>
    </row>
    <row r="229" spans="1:26" hidden="1" x14ac:dyDescent="0.2">
      <c r="A229" t="s">
        <v>589</v>
      </c>
      <c r="B229" t="s">
        <v>590</v>
      </c>
      <c r="C229" s="1">
        <v>46068</v>
      </c>
      <c r="D229" t="s">
        <v>123</v>
      </c>
      <c r="E229">
        <v>23</v>
      </c>
      <c r="F229">
        <v>9</v>
      </c>
      <c r="G229" t="s">
        <v>57</v>
      </c>
      <c r="H229" t="s">
        <v>167</v>
      </c>
      <c r="I229" s="1">
        <v>46068.336111111108</v>
      </c>
      <c r="J229" s="1">
        <v>46068.349305555559</v>
      </c>
      <c r="K229" s="1">
        <v>46068.385416666664</v>
      </c>
      <c r="L229" s="1">
        <v>46068.395138888889</v>
      </c>
      <c r="M229" s="1">
        <v>46068.432638888888</v>
      </c>
      <c r="N229" s="1">
        <v>46068.461805555555</v>
      </c>
      <c r="O229">
        <v>2</v>
      </c>
      <c r="P229" t="s">
        <v>37</v>
      </c>
      <c r="Q229" t="s">
        <v>82</v>
      </c>
      <c r="R229" t="s">
        <v>286</v>
      </c>
      <c r="S229" t="s">
        <v>84</v>
      </c>
      <c r="T229">
        <v>4000</v>
      </c>
      <c r="U229" t="s">
        <v>35</v>
      </c>
      <c r="V229" t="s">
        <v>36</v>
      </c>
      <c r="W229">
        <v>1</v>
      </c>
      <c r="X229" t="s">
        <v>37</v>
      </c>
      <c r="Y229">
        <v>4</v>
      </c>
      <c r="Z229" t="s">
        <v>102</v>
      </c>
    </row>
    <row r="230" spans="1:26" hidden="1" x14ac:dyDescent="0.2">
      <c r="A230" t="s">
        <v>591</v>
      </c>
      <c r="B230" t="s">
        <v>592</v>
      </c>
      <c r="C230" s="1">
        <v>46054</v>
      </c>
      <c r="D230" t="s">
        <v>154</v>
      </c>
      <c r="E230">
        <v>32</v>
      </c>
      <c r="F230">
        <v>6.2</v>
      </c>
      <c r="G230" t="s">
        <v>76</v>
      </c>
      <c r="H230" t="s">
        <v>95</v>
      </c>
      <c r="I230" s="1">
        <v>46054.370138888888</v>
      </c>
      <c r="J230" s="1">
        <v>46054.38958333333</v>
      </c>
      <c r="K230" s="1">
        <v>46054.425694444442</v>
      </c>
      <c r="L230" s="1">
        <v>46054.439583333333</v>
      </c>
      <c r="M230" s="1">
        <v>46054.466666666667</v>
      </c>
      <c r="N230" s="1">
        <v>46054.489583333336</v>
      </c>
      <c r="O230">
        <v>3</v>
      </c>
      <c r="P230" t="s">
        <v>37</v>
      </c>
      <c r="Q230" t="s">
        <v>82</v>
      </c>
      <c r="R230" t="s">
        <v>211</v>
      </c>
      <c r="S230" t="s">
        <v>84</v>
      </c>
      <c r="T230">
        <v>4000</v>
      </c>
      <c r="U230" t="s">
        <v>35</v>
      </c>
      <c r="V230" t="s">
        <v>36</v>
      </c>
      <c r="W230">
        <v>1</v>
      </c>
      <c r="X230" t="s">
        <v>37</v>
      </c>
      <c r="Y230">
        <v>5</v>
      </c>
      <c r="Z230" t="s">
        <v>117</v>
      </c>
    </row>
    <row r="231" spans="1:26" hidden="1" x14ac:dyDescent="0.2">
      <c r="A231" t="s">
        <v>593</v>
      </c>
      <c r="B231" t="s">
        <v>594</v>
      </c>
      <c r="C231" s="1">
        <v>46040</v>
      </c>
      <c r="D231" t="s">
        <v>145</v>
      </c>
      <c r="E231">
        <v>21</v>
      </c>
      <c r="F231">
        <v>9.9</v>
      </c>
      <c r="G231" t="s">
        <v>29</v>
      </c>
      <c r="H231" t="s">
        <v>30</v>
      </c>
      <c r="I231" s="1">
        <v>46040.263194444444</v>
      </c>
      <c r="J231" s="1">
        <v>46040.26666666667</v>
      </c>
      <c r="K231" s="1">
        <v>46040.318055555559</v>
      </c>
      <c r="L231" s="1">
        <v>46040.321527777778</v>
      </c>
      <c r="M231" s="1">
        <v>46040.354166666664</v>
      </c>
      <c r="N231" s="1">
        <v>46040.383333333331</v>
      </c>
      <c r="O231">
        <v>4</v>
      </c>
      <c r="P231" t="s">
        <v>37</v>
      </c>
      <c r="Q231" t="s">
        <v>69</v>
      </c>
      <c r="R231" t="s">
        <v>146</v>
      </c>
      <c r="S231" t="s">
        <v>71</v>
      </c>
      <c r="T231">
        <v>2000</v>
      </c>
      <c r="U231" t="s">
        <v>35</v>
      </c>
      <c r="V231" t="s">
        <v>36</v>
      </c>
      <c r="W231">
        <v>1</v>
      </c>
      <c r="X231" t="s">
        <v>37</v>
      </c>
      <c r="Y231">
        <v>3</v>
      </c>
      <c r="Z231" t="s">
        <v>86</v>
      </c>
    </row>
    <row r="232" spans="1:26" hidden="1" x14ac:dyDescent="0.2">
      <c r="A232" t="s">
        <v>595</v>
      </c>
      <c r="B232" t="s">
        <v>596</v>
      </c>
      <c r="C232" s="1">
        <v>46083</v>
      </c>
      <c r="D232" t="s">
        <v>105</v>
      </c>
      <c r="E232">
        <v>30</v>
      </c>
      <c r="F232">
        <v>5.8</v>
      </c>
      <c r="G232" t="s">
        <v>81</v>
      </c>
      <c r="H232" t="s">
        <v>30</v>
      </c>
      <c r="I232" s="1">
        <v>46083.402083333334</v>
      </c>
      <c r="J232" s="1">
        <v>46083.411805555559</v>
      </c>
      <c r="K232" s="1">
        <v>46083.430555555555</v>
      </c>
      <c r="L232" s="1">
        <v>46083.443749999999</v>
      </c>
      <c r="M232" s="1">
        <v>46083.472916666666</v>
      </c>
      <c r="N232" s="1">
        <v>46083.498611111114</v>
      </c>
      <c r="O232">
        <v>1</v>
      </c>
      <c r="P232" t="s">
        <v>37</v>
      </c>
      <c r="Q232" t="s">
        <v>82</v>
      </c>
      <c r="R232" t="s">
        <v>33</v>
      </c>
      <c r="S232" t="s">
        <v>84</v>
      </c>
      <c r="T232">
        <v>4000</v>
      </c>
      <c r="U232" t="s">
        <v>35</v>
      </c>
      <c r="V232" t="s">
        <v>36</v>
      </c>
      <c r="W232">
        <v>1</v>
      </c>
      <c r="X232" t="s">
        <v>37</v>
      </c>
      <c r="Y232">
        <v>5</v>
      </c>
      <c r="Z232" t="s">
        <v>61</v>
      </c>
    </row>
    <row r="233" spans="1:26" x14ac:dyDescent="0.2">
      <c r="A233" t="s">
        <v>597</v>
      </c>
      <c r="B233" t="s">
        <v>598</v>
      </c>
      <c r="C233" s="1">
        <v>46110</v>
      </c>
      <c r="D233" t="s">
        <v>126</v>
      </c>
      <c r="E233">
        <v>33</v>
      </c>
      <c r="F233">
        <v>5.3</v>
      </c>
      <c r="G233" t="s">
        <v>81</v>
      </c>
      <c r="H233" t="s">
        <v>65</v>
      </c>
      <c r="I233" s="1">
        <v>46110.366666666669</v>
      </c>
      <c r="J233" s="1">
        <v>46110.372916666667</v>
      </c>
      <c r="K233" s="1">
        <v>46110.422222222223</v>
      </c>
      <c r="L233" s="1">
        <v>46110.433333333334</v>
      </c>
      <c r="M233" s="1">
        <v>46110.441666666666</v>
      </c>
      <c r="N233" s="1">
        <v>46110.454861111109</v>
      </c>
      <c r="O233">
        <v>7</v>
      </c>
      <c r="P233" t="s">
        <v>37</v>
      </c>
      <c r="Q233" t="s">
        <v>69</v>
      </c>
      <c r="R233" t="s">
        <v>146</v>
      </c>
      <c r="S233" t="s">
        <v>71</v>
      </c>
      <c r="T233">
        <v>2000</v>
      </c>
      <c r="U233" t="s">
        <v>35</v>
      </c>
      <c r="V233" t="s">
        <v>36</v>
      </c>
      <c r="W233">
        <v>1</v>
      </c>
      <c r="X233" t="s">
        <v>37</v>
      </c>
      <c r="Y233">
        <v>1</v>
      </c>
      <c r="Z233" t="s">
        <v>54</v>
      </c>
    </row>
    <row r="234" spans="1:26" hidden="1" x14ac:dyDescent="0.2">
      <c r="A234" t="s">
        <v>599</v>
      </c>
      <c r="B234" t="s">
        <v>600</v>
      </c>
      <c r="C234" s="1">
        <v>46069</v>
      </c>
      <c r="D234" t="s">
        <v>220</v>
      </c>
      <c r="E234">
        <v>7</v>
      </c>
      <c r="F234">
        <v>4.3</v>
      </c>
      <c r="G234" t="s">
        <v>76</v>
      </c>
      <c r="H234" t="s">
        <v>51</v>
      </c>
      <c r="I234" s="1">
        <v>46069.375</v>
      </c>
      <c r="J234" s="1">
        <v>46069.38958333333</v>
      </c>
      <c r="K234" s="1">
        <v>46069.42083333333</v>
      </c>
      <c r="L234" s="1">
        <v>46069.429861111108</v>
      </c>
      <c r="M234" s="1">
        <v>46069.462500000001</v>
      </c>
      <c r="N234" s="1">
        <v>46069.489583333336</v>
      </c>
      <c r="O234">
        <v>5</v>
      </c>
      <c r="P234" t="s">
        <v>52</v>
      </c>
      <c r="Q234" t="s">
        <v>43</v>
      </c>
      <c r="R234" t="s">
        <v>200</v>
      </c>
      <c r="S234" t="s">
        <v>45</v>
      </c>
      <c r="T234">
        <v>2500</v>
      </c>
      <c r="U234" t="s">
        <v>35</v>
      </c>
      <c r="V234" t="s">
        <v>36</v>
      </c>
      <c r="W234">
        <v>1</v>
      </c>
      <c r="X234" t="s">
        <v>37</v>
      </c>
      <c r="Y234">
        <v>5</v>
      </c>
      <c r="Z234" t="s">
        <v>117</v>
      </c>
    </row>
    <row r="235" spans="1:26" hidden="1" x14ac:dyDescent="0.2">
      <c r="A235" t="s">
        <v>601</v>
      </c>
      <c r="B235" t="s">
        <v>602</v>
      </c>
      <c r="C235" s="1">
        <v>46055</v>
      </c>
      <c r="D235" t="s">
        <v>220</v>
      </c>
      <c r="E235">
        <v>30</v>
      </c>
      <c r="F235">
        <v>6.8</v>
      </c>
      <c r="G235" t="s">
        <v>76</v>
      </c>
      <c r="H235" t="s">
        <v>157</v>
      </c>
      <c r="I235" s="1">
        <v>46055.390277777777</v>
      </c>
      <c r="J235" s="1">
        <v>46055.404166666667</v>
      </c>
      <c r="K235" s="1">
        <v>46055.464583333334</v>
      </c>
      <c r="L235" s="1">
        <v>46055.468055555553</v>
      </c>
      <c r="M235" s="1">
        <v>46055.49722222222</v>
      </c>
      <c r="N235" s="1">
        <v>46055.506249999999</v>
      </c>
      <c r="O235">
        <v>4</v>
      </c>
      <c r="P235" t="s">
        <v>238</v>
      </c>
      <c r="Q235" t="s">
        <v>82</v>
      </c>
      <c r="R235" t="s">
        <v>77</v>
      </c>
      <c r="S235" t="s">
        <v>84</v>
      </c>
      <c r="T235">
        <v>4000</v>
      </c>
      <c r="U235" t="s">
        <v>35</v>
      </c>
      <c r="V235" t="s">
        <v>36</v>
      </c>
      <c r="W235">
        <v>1</v>
      </c>
      <c r="X235" t="s">
        <v>37</v>
      </c>
      <c r="Y235">
        <v>3</v>
      </c>
      <c r="Z235" t="s">
        <v>296</v>
      </c>
    </row>
    <row r="236" spans="1:26" hidden="1" x14ac:dyDescent="0.2">
      <c r="A236" t="s">
        <v>603</v>
      </c>
      <c r="B236" t="s">
        <v>604</v>
      </c>
      <c r="C236" s="1">
        <v>46100</v>
      </c>
      <c r="D236" t="s">
        <v>114</v>
      </c>
      <c r="E236">
        <v>31</v>
      </c>
      <c r="F236">
        <v>10.5</v>
      </c>
      <c r="G236" t="s">
        <v>29</v>
      </c>
      <c r="H236" t="s">
        <v>157</v>
      </c>
      <c r="I236" s="1">
        <v>46100.369444444441</v>
      </c>
      <c r="J236" s="1">
        <v>46100.383333333331</v>
      </c>
      <c r="K236" s="1">
        <v>46100.432638888888</v>
      </c>
      <c r="L236" s="1">
        <v>46100.44027777778</v>
      </c>
      <c r="M236" s="1">
        <v>46100.472916666666</v>
      </c>
      <c r="N236" s="1">
        <v>46100.48333333333</v>
      </c>
      <c r="O236">
        <v>6</v>
      </c>
      <c r="P236" t="s">
        <v>37</v>
      </c>
      <c r="Q236" t="s">
        <v>32</v>
      </c>
      <c r="R236" t="s">
        <v>120</v>
      </c>
      <c r="S236" t="s">
        <v>34</v>
      </c>
      <c r="T236">
        <v>5000</v>
      </c>
      <c r="U236" t="s">
        <v>35</v>
      </c>
      <c r="V236" t="s">
        <v>36</v>
      </c>
      <c r="W236">
        <v>1</v>
      </c>
      <c r="X236" t="s">
        <v>37</v>
      </c>
      <c r="Y236">
        <v>4</v>
      </c>
      <c r="Z236" t="s">
        <v>296</v>
      </c>
    </row>
    <row r="237" spans="1:26" hidden="1" x14ac:dyDescent="0.2">
      <c r="A237" t="s">
        <v>605</v>
      </c>
      <c r="B237" t="s">
        <v>606</v>
      </c>
      <c r="C237" s="1">
        <v>46103</v>
      </c>
      <c r="D237" t="s">
        <v>285</v>
      </c>
      <c r="E237">
        <v>8</v>
      </c>
      <c r="F237">
        <v>5.3</v>
      </c>
      <c r="G237" t="s">
        <v>57</v>
      </c>
      <c r="H237" t="s">
        <v>65</v>
      </c>
      <c r="I237" s="1">
        <v>46103.321527777778</v>
      </c>
      <c r="J237" s="1">
        <v>46103.338194444441</v>
      </c>
      <c r="K237" s="1">
        <v>46103.395138888889</v>
      </c>
      <c r="L237" s="1">
        <v>46103.398611111108</v>
      </c>
      <c r="M237" s="1">
        <v>46103.4375</v>
      </c>
      <c r="N237" s="1">
        <v>46103.453472222223</v>
      </c>
      <c r="O237">
        <v>1</v>
      </c>
      <c r="P237" t="s">
        <v>31</v>
      </c>
      <c r="Q237" t="s">
        <v>32</v>
      </c>
      <c r="R237" t="s">
        <v>278</v>
      </c>
      <c r="S237" t="s">
        <v>34</v>
      </c>
      <c r="T237">
        <v>5000</v>
      </c>
      <c r="U237" t="s">
        <v>91</v>
      </c>
      <c r="V237" t="s">
        <v>59</v>
      </c>
      <c r="W237">
        <v>2</v>
      </c>
      <c r="X237" t="s">
        <v>85</v>
      </c>
      <c r="Y237">
        <v>5</v>
      </c>
      <c r="Z237" t="s">
        <v>215</v>
      </c>
    </row>
    <row r="238" spans="1:26" hidden="1" x14ac:dyDescent="0.2">
      <c r="A238" t="s">
        <v>607</v>
      </c>
      <c r="B238" t="s">
        <v>608</v>
      </c>
      <c r="C238" s="1">
        <v>46097</v>
      </c>
      <c r="D238" t="s">
        <v>64</v>
      </c>
      <c r="E238">
        <v>37</v>
      </c>
      <c r="F238">
        <v>6.1</v>
      </c>
      <c r="G238" t="s">
        <v>76</v>
      </c>
      <c r="H238" t="s">
        <v>157</v>
      </c>
      <c r="I238" s="1">
        <v>46097.355555555558</v>
      </c>
      <c r="J238" s="1">
        <v>46097.371527777781</v>
      </c>
      <c r="K238" s="1">
        <v>46097.384027777778</v>
      </c>
      <c r="L238" s="1">
        <v>46097.392361111109</v>
      </c>
      <c r="M238" s="1">
        <v>46097.415972222225</v>
      </c>
      <c r="N238" s="1">
        <v>46097.436111111114</v>
      </c>
      <c r="O238">
        <v>2</v>
      </c>
      <c r="P238" t="s">
        <v>106</v>
      </c>
      <c r="Q238" t="s">
        <v>82</v>
      </c>
      <c r="R238" t="s">
        <v>77</v>
      </c>
      <c r="S238" t="s">
        <v>84</v>
      </c>
      <c r="T238">
        <v>4000</v>
      </c>
      <c r="U238" t="s">
        <v>35</v>
      </c>
      <c r="V238" t="s">
        <v>59</v>
      </c>
      <c r="W238">
        <v>4</v>
      </c>
      <c r="X238" t="s">
        <v>85</v>
      </c>
      <c r="Y238">
        <v>4</v>
      </c>
      <c r="Z238" t="s">
        <v>296</v>
      </c>
    </row>
    <row r="239" spans="1:26" hidden="1" x14ac:dyDescent="0.2">
      <c r="A239" t="s">
        <v>609</v>
      </c>
      <c r="B239" t="s">
        <v>610</v>
      </c>
      <c r="C239" s="1">
        <v>46101</v>
      </c>
      <c r="D239" t="s">
        <v>80</v>
      </c>
      <c r="E239">
        <v>10</v>
      </c>
      <c r="F239">
        <v>7.9</v>
      </c>
      <c r="G239" t="s">
        <v>57</v>
      </c>
      <c r="H239" t="s">
        <v>65</v>
      </c>
      <c r="I239" s="1">
        <v>46101.345833333333</v>
      </c>
      <c r="J239" s="1">
        <v>46101.349305555559</v>
      </c>
      <c r="K239" s="1">
        <v>46101.394444444442</v>
      </c>
      <c r="L239" s="1">
        <v>46101.406944444447</v>
      </c>
      <c r="M239" s="1">
        <v>46101.429861111108</v>
      </c>
      <c r="N239" s="1">
        <v>46101.43472222222</v>
      </c>
      <c r="O239">
        <v>6</v>
      </c>
      <c r="P239" t="s">
        <v>37</v>
      </c>
      <c r="Q239" t="s">
        <v>32</v>
      </c>
      <c r="R239" t="s">
        <v>77</v>
      </c>
      <c r="S239" t="s">
        <v>34</v>
      </c>
      <c r="T239">
        <v>5000</v>
      </c>
      <c r="U239" t="s">
        <v>35</v>
      </c>
      <c r="V239" t="s">
        <v>36</v>
      </c>
      <c r="W239">
        <v>1</v>
      </c>
      <c r="X239" t="s">
        <v>37</v>
      </c>
      <c r="Y239">
        <v>5</v>
      </c>
      <c r="Z239" t="s">
        <v>168</v>
      </c>
    </row>
    <row r="240" spans="1:26" x14ac:dyDescent="0.2">
      <c r="A240" t="s">
        <v>611</v>
      </c>
      <c r="B240" t="s">
        <v>612</v>
      </c>
      <c r="C240" s="1">
        <v>46098</v>
      </c>
      <c r="D240" t="s">
        <v>154</v>
      </c>
      <c r="E240">
        <v>32</v>
      </c>
      <c r="F240">
        <v>5.0999999999999996</v>
      </c>
      <c r="G240" t="s">
        <v>50</v>
      </c>
      <c r="H240" t="s">
        <v>42</v>
      </c>
      <c r="I240" s="1">
        <v>46098.290972222225</v>
      </c>
      <c r="J240" s="1">
        <v>46098.29583333333</v>
      </c>
      <c r="K240" s="1">
        <v>46098.327777777777</v>
      </c>
      <c r="L240" s="1">
        <v>46098.340277777781</v>
      </c>
      <c r="M240" s="1">
        <v>46098.35833333333</v>
      </c>
      <c r="N240" s="1">
        <v>46098.370138888888</v>
      </c>
      <c r="O240">
        <v>1</v>
      </c>
      <c r="P240" t="s">
        <v>37</v>
      </c>
      <c r="Q240" t="s">
        <v>69</v>
      </c>
      <c r="R240" t="s">
        <v>111</v>
      </c>
      <c r="S240" t="s">
        <v>71</v>
      </c>
      <c r="T240">
        <v>2000</v>
      </c>
      <c r="U240" t="s">
        <v>35</v>
      </c>
      <c r="V240" t="s">
        <v>36</v>
      </c>
      <c r="W240">
        <v>1</v>
      </c>
      <c r="X240" t="s">
        <v>37</v>
      </c>
      <c r="Y240">
        <v>2</v>
      </c>
      <c r="Z240" t="s">
        <v>102</v>
      </c>
    </row>
    <row r="241" spans="1:26" hidden="1" x14ac:dyDescent="0.2">
      <c r="A241" t="s">
        <v>613</v>
      </c>
      <c r="B241" t="s">
        <v>614</v>
      </c>
      <c r="C241" s="1">
        <v>46106</v>
      </c>
      <c r="D241" t="s">
        <v>267</v>
      </c>
      <c r="E241">
        <v>28</v>
      </c>
      <c r="F241">
        <v>4.9000000000000004</v>
      </c>
      <c r="G241" t="s">
        <v>50</v>
      </c>
      <c r="H241" t="s">
        <v>30</v>
      </c>
      <c r="I241" s="1">
        <v>46106.353472222225</v>
      </c>
      <c r="J241" s="1">
        <v>46106.362500000003</v>
      </c>
      <c r="K241" s="1">
        <v>46106.392361111109</v>
      </c>
      <c r="L241" s="1">
        <v>46106.404861111114</v>
      </c>
      <c r="M241" s="1">
        <v>46106.436805555553</v>
      </c>
      <c r="N241" s="1">
        <v>46106.456250000003</v>
      </c>
      <c r="O241">
        <v>5</v>
      </c>
      <c r="P241" t="s">
        <v>52</v>
      </c>
      <c r="Q241" t="s">
        <v>96</v>
      </c>
      <c r="R241" t="s">
        <v>97</v>
      </c>
      <c r="S241" t="s">
        <v>98</v>
      </c>
      <c r="T241">
        <v>3000</v>
      </c>
      <c r="U241" t="s">
        <v>35</v>
      </c>
      <c r="V241" t="s">
        <v>36</v>
      </c>
      <c r="W241">
        <v>1</v>
      </c>
      <c r="X241" t="s">
        <v>37</v>
      </c>
      <c r="Y241">
        <v>4</v>
      </c>
      <c r="Z241" t="s">
        <v>131</v>
      </c>
    </row>
    <row r="242" spans="1:26" hidden="1" x14ac:dyDescent="0.2">
      <c r="A242" t="s">
        <v>615</v>
      </c>
      <c r="B242" t="s">
        <v>616</v>
      </c>
      <c r="C242" s="1">
        <v>46045</v>
      </c>
      <c r="D242" t="s">
        <v>242</v>
      </c>
      <c r="E242">
        <v>21</v>
      </c>
      <c r="F242">
        <v>11.9</v>
      </c>
      <c r="G242" t="s">
        <v>81</v>
      </c>
      <c r="H242" t="s">
        <v>167</v>
      </c>
      <c r="I242" s="1">
        <v>46045.387499999997</v>
      </c>
      <c r="J242" s="1">
        <v>46045.40625</v>
      </c>
      <c r="K242" s="1">
        <v>46045.447916666664</v>
      </c>
      <c r="L242" s="1">
        <v>46045.45416666667</v>
      </c>
      <c r="M242" s="1">
        <v>46045.490277777775</v>
      </c>
      <c r="N242" s="1">
        <v>46045.498611111114</v>
      </c>
      <c r="O242">
        <v>6</v>
      </c>
      <c r="P242" t="s">
        <v>52</v>
      </c>
      <c r="Q242" t="s">
        <v>69</v>
      </c>
      <c r="R242" t="s">
        <v>70</v>
      </c>
      <c r="S242" t="s">
        <v>71</v>
      </c>
      <c r="T242">
        <v>2000</v>
      </c>
      <c r="U242" t="s">
        <v>91</v>
      </c>
      <c r="V242" t="s">
        <v>36</v>
      </c>
      <c r="W242">
        <v>1</v>
      </c>
      <c r="X242" t="s">
        <v>37</v>
      </c>
      <c r="Y242">
        <v>4</v>
      </c>
      <c r="Z242" t="s">
        <v>61</v>
      </c>
    </row>
    <row r="243" spans="1:26" hidden="1" x14ac:dyDescent="0.2">
      <c r="A243" t="s">
        <v>617</v>
      </c>
      <c r="B243" t="s">
        <v>618</v>
      </c>
      <c r="C243" s="1">
        <v>46093</v>
      </c>
      <c r="D243" t="s">
        <v>80</v>
      </c>
      <c r="E243">
        <v>29</v>
      </c>
      <c r="F243">
        <v>11.7</v>
      </c>
      <c r="G243" t="s">
        <v>29</v>
      </c>
      <c r="H243" t="s">
        <v>42</v>
      </c>
      <c r="I243" s="1">
        <v>46093.265972222223</v>
      </c>
      <c r="J243" s="1">
        <v>46093.272222222222</v>
      </c>
      <c r="K243" s="1">
        <v>46093.320833333331</v>
      </c>
      <c r="L243" s="1">
        <v>46093.333333333336</v>
      </c>
      <c r="M243" s="1">
        <v>46093.34375</v>
      </c>
      <c r="N243" s="1">
        <v>46093.35</v>
      </c>
      <c r="O243">
        <v>3</v>
      </c>
      <c r="P243" t="s">
        <v>238</v>
      </c>
      <c r="Q243" t="s">
        <v>32</v>
      </c>
      <c r="R243" t="s">
        <v>278</v>
      </c>
      <c r="S243" t="s">
        <v>34</v>
      </c>
      <c r="T243">
        <v>5000</v>
      </c>
      <c r="U243" t="s">
        <v>35</v>
      </c>
      <c r="V243" t="s">
        <v>36</v>
      </c>
      <c r="W243">
        <v>1</v>
      </c>
      <c r="X243" t="s">
        <v>37</v>
      </c>
      <c r="Y243">
        <v>5</v>
      </c>
      <c r="Z243" t="s">
        <v>168</v>
      </c>
    </row>
    <row r="244" spans="1:26" hidden="1" x14ac:dyDescent="0.2">
      <c r="A244" t="s">
        <v>619</v>
      </c>
      <c r="B244" t="s">
        <v>620</v>
      </c>
      <c r="C244" s="1">
        <v>46106</v>
      </c>
      <c r="D244" t="s">
        <v>285</v>
      </c>
      <c r="E244">
        <v>8</v>
      </c>
      <c r="F244">
        <v>11.6</v>
      </c>
      <c r="G244" t="s">
        <v>57</v>
      </c>
      <c r="H244" t="s">
        <v>30</v>
      </c>
      <c r="I244" s="1">
        <v>46106.337500000001</v>
      </c>
      <c r="J244" s="1">
        <v>46106.350694444445</v>
      </c>
      <c r="K244" s="1">
        <v>46106.35833333333</v>
      </c>
      <c r="L244" s="1">
        <v>46106.365972222222</v>
      </c>
      <c r="M244" s="1">
        <v>46106.402083333334</v>
      </c>
      <c r="N244" s="1">
        <v>46106.428472222222</v>
      </c>
      <c r="O244">
        <v>3</v>
      </c>
      <c r="P244" t="s">
        <v>31</v>
      </c>
      <c r="Q244" t="s">
        <v>96</v>
      </c>
      <c r="R244" t="s">
        <v>130</v>
      </c>
      <c r="S244" t="s">
        <v>98</v>
      </c>
      <c r="T244">
        <v>3000</v>
      </c>
      <c r="U244" t="s">
        <v>35</v>
      </c>
      <c r="V244" t="s">
        <v>36</v>
      </c>
      <c r="W244">
        <v>1</v>
      </c>
      <c r="X244" t="s">
        <v>37</v>
      </c>
      <c r="Y244">
        <v>4</v>
      </c>
      <c r="Z244" t="s">
        <v>134</v>
      </c>
    </row>
    <row r="245" spans="1:26" hidden="1" x14ac:dyDescent="0.2">
      <c r="A245" t="s">
        <v>621</v>
      </c>
      <c r="B245" t="s">
        <v>622</v>
      </c>
      <c r="C245" s="1">
        <v>46069</v>
      </c>
      <c r="D245" t="s">
        <v>41</v>
      </c>
      <c r="E245">
        <v>10</v>
      </c>
      <c r="F245">
        <v>12</v>
      </c>
      <c r="G245" t="s">
        <v>50</v>
      </c>
      <c r="H245" t="s">
        <v>167</v>
      </c>
      <c r="I245" s="1">
        <v>46069.368750000001</v>
      </c>
      <c r="J245" s="1">
        <v>46069.380555555559</v>
      </c>
      <c r="K245" s="1">
        <v>46069.42291666667</v>
      </c>
      <c r="L245" s="1">
        <v>46069.430555555555</v>
      </c>
      <c r="M245" s="1">
        <v>46069.460416666669</v>
      </c>
      <c r="N245" s="1">
        <v>46069.463888888888</v>
      </c>
      <c r="O245">
        <v>6</v>
      </c>
      <c r="P245" t="s">
        <v>37</v>
      </c>
      <c r="Q245" t="s">
        <v>32</v>
      </c>
      <c r="R245" t="s">
        <v>278</v>
      </c>
      <c r="S245" t="s">
        <v>34</v>
      </c>
      <c r="T245">
        <v>5000</v>
      </c>
      <c r="U245" t="s">
        <v>35</v>
      </c>
      <c r="V245" t="s">
        <v>36</v>
      </c>
      <c r="W245">
        <v>1</v>
      </c>
      <c r="X245" t="s">
        <v>37</v>
      </c>
      <c r="Y245">
        <v>5</v>
      </c>
      <c r="Z245" t="s">
        <v>131</v>
      </c>
    </row>
    <row r="246" spans="1:26" hidden="1" x14ac:dyDescent="0.2">
      <c r="A246" t="s">
        <v>623</v>
      </c>
      <c r="B246" t="s">
        <v>624</v>
      </c>
      <c r="C246" s="1">
        <v>46067</v>
      </c>
      <c r="D246" t="s">
        <v>242</v>
      </c>
      <c r="E246">
        <v>17</v>
      </c>
      <c r="F246">
        <v>7.6</v>
      </c>
      <c r="G246" t="s">
        <v>50</v>
      </c>
      <c r="H246" t="s">
        <v>65</v>
      </c>
      <c r="I246" s="1">
        <v>46067.250694444447</v>
      </c>
      <c r="J246" s="1">
        <v>46067.259722222225</v>
      </c>
      <c r="K246" s="1">
        <v>46067.281944444447</v>
      </c>
      <c r="L246" s="1">
        <v>46067.294444444444</v>
      </c>
      <c r="M246" s="1">
        <v>46067.323611111111</v>
      </c>
      <c r="N246" s="1">
        <v>46067.331250000003</v>
      </c>
      <c r="O246">
        <v>5</v>
      </c>
      <c r="P246" t="s">
        <v>129</v>
      </c>
      <c r="Q246" t="s">
        <v>96</v>
      </c>
      <c r="R246" t="s">
        <v>164</v>
      </c>
      <c r="S246" t="s">
        <v>98</v>
      </c>
      <c r="T246">
        <v>3000</v>
      </c>
      <c r="U246" t="s">
        <v>35</v>
      </c>
      <c r="V246" t="s">
        <v>36</v>
      </c>
      <c r="W246">
        <v>1</v>
      </c>
      <c r="X246" t="s">
        <v>37</v>
      </c>
      <c r="Y246">
        <v>4</v>
      </c>
      <c r="Z246" t="s">
        <v>161</v>
      </c>
    </row>
    <row r="247" spans="1:26" hidden="1" x14ac:dyDescent="0.2">
      <c r="A247" t="s">
        <v>625</v>
      </c>
      <c r="B247" t="s">
        <v>626</v>
      </c>
      <c r="C247" s="1">
        <v>46096</v>
      </c>
      <c r="D247" t="s">
        <v>49</v>
      </c>
      <c r="E247">
        <v>35</v>
      </c>
      <c r="F247">
        <v>10.199999999999999</v>
      </c>
      <c r="G247" t="s">
        <v>76</v>
      </c>
      <c r="H247" t="s">
        <v>42</v>
      </c>
      <c r="I247" s="1">
        <v>46096.331250000003</v>
      </c>
      <c r="J247" s="1">
        <v>46096.349305555559</v>
      </c>
      <c r="K247" s="1">
        <v>46096.396527777775</v>
      </c>
      <c r="L247" s="1">
        <v>46096.4</v>
      </c>
      <c r="M247" s="1">
        <v>46096.427777777775</v>
      </c>
      <c r="N247" s="1">
        <v>46096.436111111114</v>
      </c>
      <c r="O247">
        <v>3</v>
      </c>
      <c r="P247" t="s">
        <v>52</v>
      </c>
      <c r="Q247" t="s">
        <v>43</v>
      </c>
      <c r="R247" t="s">
        <v>200</v>
      </c>
      <c r="S247" t="s">
        <v>45</v>
      </c>
      <c r="T247">
        <v>2500</v>
      </c>
      <c r="U247" t="s">
        <v>35</v>
      </c>
      <c r="V247" t="s">
        <v>36</v>
      </c>
      <c r="W247">
        <v>1</v>
      </c>
      <c r="X247" t="s">
        <v>37</v>
      </c>
      <c r="Y247">
        <v>5</v>
      </c>
      <c r="Z247" t="s">
        <v>61</v>
      </c>
    </row>
    <row r="248" spans="1:26" hidden="1" x14ac:dyDescent="0.2">
      <c r="A248" t="s">
        <v>627</v>
      </c>
      <c r="B248" t="s">
        <v>628</v>
      </c>
      <c r="C248" s="1">
        <v>46075</v>
      </c>
      <c r="D248" t="s">
        <v>242</v>
      </c>
      <c r="E248">
        <v>21</v>
      </c>
      <c r="F248">
        <v>6</v>
      </c>
      <c r="G248" t="s">
        <v>29</v>
      </c>
      <c r="H248" t="s">
        <v>157</v>
      </c>
      <c r="I248" s="1">
        <v>46075.369444444441</v>
      </c>
      <c r="J248" s="1">
        <v>46075.388888888891</v>
      </c>
      <c r="K248" s="1">
        <v>46075.425694444442</v>
      </c>
      <c r="L248" s="1">
        <v>46075.430555555555</v>
      </c>
      <c r="M248" s="1">
        <v>46075.461805555555</v>
      </c>
      <c r="N248" s="1">
        <v>46075.472916666666</v>
      </c>
      <c r="O248">
        <v>4</v>
      </c>
      <c r="P248" t="s">
        <v>37</v>
      </c>
      <c r="Q248" t="s">
        <v>69</v>
      </c>
      <c r="R248" t="s">
        <v>111</v>
      </c>
      <c r="S248" t="s">
        <v>71</v>
      </c>
      <c r="T248">
        <v>2000</v>
      </c>
      <c r="U248" t="s">
        <v>35</v>
      </c>
      <c r="V248" t="s">
        <v>36</v>
      </c>
      <c r="W248">
        <v>1</v>
      </c>
      <c r="X248" t="s">
        <v>37</v>
      </c>
      <c r="Y248">
        <v>3</v>
      </c>
      <c r="Z248" t="s">
        <v>38</v>
      </c>
    </row>
    <row r="249" spans="1:26" hidden="1" x14ac:dyDescent="0.2">
      <c r="A249" t="s">
        <v>629</v>
      </c>
      <c r="B249" t="s">
        <v>630</v>
      </c>
      <c r="C249" s="1">
        <v>46047</v>
      </c>
      <c r="D249" t="s">
        <v>186</v>
      </c>
      <c r="E249">
        <v>20</v>
      </c>
      <c r="F249">
        <v>11</v>
      </c>
      <c r="G249" t="s">
        <v>57</v>
      </c>
      <c r="H249" t="s">
        <v>95</v>
      </c>
      <c r="I249" s="1">
        <v>46047.285416666666</v>
      </c>
      <c r="J249" s="1">
        <v>46047.293749999997</v>
      </c>
      <c r="K249" s="1">
        <v>46047.355555555558</v>
      </c>
      <c r="L249" s="1">
        <v>46047.366666666669</v>
      </c>
      <c r="M249" s="1">
        <v>46047.379861111112</v>
      </c>
      <c r="N249" s="1">
        <v>46047.387499999997</v>
      </c>
      <c r="O249">
        <v>1</v>
      </c>
      <c r="P249" t="s">
        <v>37</v>
      </c>
      <c r="Q249" t="s">
        <v>82</v>
      </c>
      <c r="R249" t="s">
        <v>83</v>
      </c>
      <c r="S249" t="s">
        <v>84</v>
      </c>
      <c r="T249">
        <v>4000</v>
      </c>
      <c r="U249" t="s">
        <v>35</v>
      </c>
      <c r="V249" t="s">
        <v>36</v>
      </c>
      <c r="W249">
        <v>1</v>
      </c>
      <c r="X249" t="s">
        <v>37</v>
      </c>
      <c r="Y249">
        <v>4</v>
      </c>
      <c r="Z249" t="s">
        <v>61</v>
      </c>
    </row>
    <row r="250" spans="1:26" hidden="1" x14ac:dyDescent="0.2">
      <c r="A250" t="s">
        <v>631</v>
      </c>
      <c r="B250" t="s">
        <v>632</v>
      </c>
      <c r="C250" s="1">
        <v>46028</v>
      </c>
      <c r="D250" t="s">
        <v>230</v>
      </c>
      <c r="E250">
        <v>25</v>
      </c>
      <c r="F250">
        <v>7.9</v>
      </c>
      <c r="G250" t="s">
        <v>81</v>
      </c>
      <c r="H250" t="s">
        <v>42</v>
      </c>
      <c r="I250" s="1">
        <v>46028.298611111109</v>
      </c>
      <c r="J250" s="1">
        <v>46028.3125</v>
      </c>
      <c r="K250" s="1">
        <v>46028.335416666669</v>
      </c>
      <c r="L250" s="1">
        <v>46028.344444444447</v>
      </c>
      <c r="M250" s="1">
        <v>46028.368750000001</v>
      </c>
      <c r="N250" s="1">
        <v>46028.381944444445</v>
      </c>
      <c r="O250">
        <v>7</v>
      </c>
      <c r="P250" t="s">
        <v>37</v>
      </c>
      <c r="Q250" t="s">
        <v>43</v>
      </c>
      <c r="R250" t="s">
        <v>58</v>
      </c>
      <c r="S250" t="s">
        <v>45</v>
      </c>
      <c r="T250">
        <v>2500</v>
      </c>
      <c r="U250" t="s">
        <v>35</v>
      </c>
      <c r="V250" t="s">
        <v>36</v>
      </c>
      <c r="W250">
        <v>1</v>
      </c>
      <c r="X250" t="s">
        <v>37</v>
      </c>
      <c r="Y250">
        <v>4</v>
      </c>
      <c r="Z250" t="s">
        <v>131</v>
      </c>
    </row>
    <row r="251" spans="1:26" hidden="1" x14ac:dyDescent="0.2">
      <c r="A251" t="s">
        <v>633</v>
      </c>
      <c r="B251" t="s">
        <v>634</v>
      </c>
      <c r="C251" s="1">
        <v>46087</v>
      </c>
      <c r="D251" t="s">
        <v>242</v>
      </c>
      <c r="E251">
        <v>34</v>
      </c>
      <c r="F251">
        <v>11.8</v>
      </c>
      <c r="G251" t="s">
        <v>81</v>
      </c>
      <c r="H251" t="s">
        <v>157</v>
      </c>
      <c r="I251" s="1">
        <v>46087.305555555555</v>
      </c>
      <c r="J251" s="1">
        <v>46087.324305555558</v>
      </c>
      <c r="K251" s="1">
        <v>46087.331944444442</v>
      </c>
      <c r="L251" s="1">
        <v>46087.335416666669</v>
      </c>
      <c r="M251" s="1">
        <v>46087.37222222222</v>
      </c>
      <c r="N251" s="1">
        <v>46087.384722222225</v>
      </c>
      <c r="O251">
        <v>4</v>
      </c>
      <c r="P251" t="s">
        <v>37</v>
      </c>
      <c r="Q251" t="s">
        <v>43</v>
      </c>
      <c r="R251" t="s">
        <v>158</v>
      </c>
      <c r="S251" t="s">
        <v>45</v>
      </c>
      <c r="T251">
        <v>2500</v>
      </c>
      <c r="U251" t="s">
        <v>35</v>
      </c>
      <c r="V251" t="s">
        <v>36</v>
      </c>
      <c r="W251">
        <v>1</v>
      </c>
      <c r="X251" t="s">
        <v>37</v>
      </c>
      <c r="Y251">
        <v>3</v>
      </c>
      <c r="Z251" t="s">
        <v>131</v>
      </c>
    </row>
    <row r="252" spans="1:26" hidden="1" x14ac:dyDescent="0.2">
      <c r="A252" t="s">
        <v>635</v>
      </c>
      <c r="B252" t="s">
        <v>636</v>
      </c>
      <c r="C252" s="1">
        <v>46053</v>
      </c>
      <c r="D252" t="s">
        <v>49</v>
      </c>
      <c r="E252">
        <v>26</v>
      </c>
      <c r="F252">
        <v>6.9</v>
      </c>
      <c r="G252" t="s">
        <v>50</v>
      </c>
      <c r="H252" t="s">
        <v>157</v>
      </c>
      <c r="I252" s="1">
        <v>46053.286805555559</v>
      </c>
      <c r="J252" s="1">
        <v>46053.299305555556</v>
      </c>
      <c r="K252" s="1">
        <v>46053.338888888888</v>
      </c>
      <c r="L252" s="1">
        <v>46053.35</v>
      </c>
      <c r="M252" s="1">
        <v>46053.374305555553</v>
      </c>
      <c r="N252" s="1">
        <v>46053.38958333333</v>
      </c>
      <c r="O252">
        <v>4</v>
      </c>
      <c r="P252" t="s">
        <v>106</v>
      </c>
      <c r="Q252" t="s">
        <v>43</v>
      </c>
      <c r="R252" t="s">
        <v>44</v>
      </c>
      <c r="S252" t="s">
        <v>45</v>
      </c>
      <c r="T252">
        <v>2500</v>
      </c>
      <c r="U252" t="s">
        <v>91</v>
      </c>
      <c r="V252" t="s">
        <v>36</v>
      </c>
      <c r="W252">
        <v>1</v>
      </c>
      <c r="X252" t="s">
        <v>37</v>
      </c>
      <c r="Y252">
        <v>5</v>
      </c>
      <c r="Z252" t="s">
        <v>38</v>
      </c>
    </row>
    <row r="253" spans="1:26" hidden="1" x14ac:dyDescent="0.2">
      <c r="A253" t="s">
        <v>637</v>
      </c>
      <c r="B253" t="s">
        <v>638</v>
      </c>
      <c r="C253" s="1">
        <v>46053</v>
      </c>
      <c r="D253" t="s">
        <v>75</v>
      </c>
      <c r="E253">
        <v>17</v>
      </c>
      <c r="F253">
        <v>5.2</v>
      </c>
      <c r="G253" t="s">
        <v>57</v>
      </c>
      <c r="H253" t="s">
        <v>157</v>
      </c>
      <c r="I253" s="1">
        <v>46053.393055555556</v>
      </c>
      <c r="J253" s="1">
        <v>46053.396527777775</v>
      </c>
      <c r="K253" s="1">
        <v>46053.418749999997</v>
      </c>
      <c r="L253" s="1">
        <v>46053.431250000001</v>
      </c>
      <c r="M253" s="1">
        <v>46053.459722222222</v>
      </c>
      <c r="N253" s="1">
        <v>46053.46875</v>
      </c>
      <c r="O253">
        <v>7</v>
      </c>
      <c r="P253" t="s">
        <v>37</v>
      </c>
      <c r="Q253" t="s">
        <v>43</v>
      </c>
      <c r="R253" t="s">
        <v>200</v>
      </c>
      <c r="S253" t="s">
        <v>45</v>
      </c>
      <c r="T253">
        <v>2500</v>
      </c>
      <c r="U253" t="s">
        <v>35</v>
      </c>
      <c r="V253" t="s">
        <v>36</v>
      </c>
      <c r="W253">
        <v>1</v>
      </c>
      <c r="X253" t="s">
        <v>37</v>
      </c>
      <c r="Y253">
        <v>4</v>
      </c>
      <c r="Z253" t="s">
        <v>161</v>
      </c>
    </row>
    <row r="254" spans="1:26" x14ac:dyDescent="0.2">
      <c r="A254" t="s">
        <v>639</v>
      </c>
      <c r="B254" t="s">
        <v>640</v>
      </c>
      <c r="C254" s="1">
        <v>46095</v>
      </c>
      <c r="D254" t="s">
        <v>110</v>
      </c>
      <c r="E254">
        <v>15</v>
      </c>
      <c r="F254">
        <v>4.5</v>
      </c>
      <c r="G254" t="s">
        <v>76</v>
      </c>
      <c r="H254" t="s">
        <v>157</v>
      </c>
      <c r="I254" s="1">
        <v>46095.398611111108</v>
      </c>
      <c r="J254" s="1">
        <v>46095.415972222225</v>
      </c>
      <c r="K254" s="1">
        <v>46095.431250000001</v>
      </c>
      <c r="L254" s="1">
        <v>46095.444444444445</v>
      </c>
      <c r="M254" s="1">
        <v>46095.484027777777</v>
      </c>
      <c r="N254" s="1">
        <v>46095.502083333333</v>
      </c>
      <c r="O254">
        <v>3</v>
      </c>
      <c r="P254" t="s">
        <v>37</v>
      </c>
      <c r="Q254" t="s">
        <v>43</v>
      </c>
      <c r="R254" t="s">
        <v>90</v>
      </c>
      <c r="S254" t="s">
        <v>45</v>
      </c>
      <c r="T254">
        <v>2500</v>
      </c>
      <c r="U254" t="s">
        <v>35</v>
      </c>
      <c r="V254" t="s">
        <v>59</v>
      </c>
      <c r="W254">
        <v>3</v>
      </c>
      <c r="X254" t="s">
        <v>353</v>
      </c>
      <c r="Y254">
        <v>1</v>
      </c>
      <c r="Z254" t="s">
        <v>117</v>
      </c>
    </row>
    <row r="255" spans="1:26" hidden="1" x14ac:dyDescent="0.2">
      <c r="A255" t="s">
        <v>641</v>
      </c>
      <c r="B255" t="s">
        <v>642</v>
      </c>
      <c r="C255" s="1">
        <v>46109</v>
      </c>
      <c r="D255" t="s">
        <v>80</v>
      </c>
      <c r="E255">
        <v>39</v>
      </c>
      <c r="F255">
        <v>5.4</v>
      </c>
      <c r="G255" t="s">
        <v>76</v>
      </c>
      <c r="H255" t="s">
        <v>167</v>
      </c>
      <c r="I255" s="1">
        <v>46109.307638888888</v>
      </c>
      <c r="J255" s="1">
        <v>46109.325694444444</v>
      </c>
      <c r="K255" s="1">
        <v>46109.37777777778</v>
      </c>
      <c r="L255" s="1">
        <v>46109.39166666667</v>
      </c>
      <c r="M255" s="1">
        <v>46109.432638888888</v>
      </c>
      <c r="N255" s="1">
        <v>46109.455555555556</v>
      </c>
      <c r="O255">
        <v>1</v>
      </c>
      <c r="P255" t="s">
        <v>37</v>
      </c>
      <c r="Q255" t="s">
        <v>82</v>
      </c>
      <c r="R255" t="s">
        <v>77</v>
      </c>
      <c r="S255" t="s">
        <v>84</v>
      </c>
      <c r="T255">
        <v>4000</v>
      </c>
      <c r="U255" t="s">
        <v>35</v>
      </c>
      <c r="V255" t="s">
        <v>36</v>
      </c>
      <c r="W255">
        <v>1</v>
      </c>
      <c r="X255" t="s">
        <v>37</v>
      </c>
      <c r="Y255">
        <v>3</v>
      </c>
      <c r="Z255" t="s">
        <v>296</v>
      </c>
    </row>
    <row r="256" spans="1:26" hidden="1" x14ac:dyDescent="0.2">
      <c r="A256" t="s">
        <v>643</v>
      </c>
      <c r="B256" t="s">
        <v>644</v>
      </c>
      <c r="C256" s="1">
        <v>46066</v>
      </c>
      <c r="D256" t="s">
        <v>181</v>
      </c>
      <c r="E256">
        <v>9</v>
      </c>
      <c r="F256">
        <v>4.5999999999999996</v>
      </c>
      <c r="G256" t="s">
        <v>76</v>
      </c>
      <c r="H256" t="s">
        <v>95</v>
      </c>
      <c r="I256" s="1">
        <v>46066.305555555555</v>
      </c>
      <c r="J256" s="1">
        <v>46066.315972222219</v>
      </c>
      <c r="K256" s="1">
        <v>46066.348611111112</v>
      </c>
      <c r="L256" s="1">
        <v>46066.357638888891</v>
      </c>
      <c r="M256" s="1">
        <v>46066.390972222223</v>
      </c>
      <c r="N256" s="1">
        <v>46066.411805555559</v>
      </c>
      <c r="O256">
        <v>3</v>
      </c>
      <c r="P256" t="s">
        <v>37</v>
      </c>
      <c r="Q256" t="s">
        <v>69</v>
      </c>
      <c r="R256" t="s">
        <v>70</v>
      </c>
      <c r="S256" t="s">
        <v>71</v>
      </c>
      <c r="T256">
        <v>2000</v>
      </c>
      <c r="U256" t="s">
        <v>35</v>
      </c>
      <c r="V256" t="s">
        <v>59</v>
      </c>
      <c r="W256">
        <v>4</v>
      </c>
      <c r="X256" t="s">
        <v>193</v>
      </c>
      <c r="Y256">
        <v>3</v>
      </c>
      <c r="Z256" t="s">
        <v>46</v>
      </c>
    </row>
    <row r="257" spans="1:26" hidden="1" x14ac:dyDescent="0.2">
      <c r="A257" t="s">
        <v>645</v>
      </c>
      <c r="B257" t="s">
        <v>646</v>
      </c>
      <c r="C257" s="1">
        <v>46039</v>
      </c>
      <c r="D257" t="s">
        <v>233</v>
      </c>
      <c r="E257">
        <v>21</v>
      </c>
      <c r="F257">
        <v>11.5</v>
      </c>
      <c r="G257" t="s">
        <v>29</v>
      </c>
      <c r="H257" t="s">
        <v>95</v>
      </c>
      <c r="I257" s="1">
        <v>46039.279166666667</v>
      </c>
      <c r="J257" s="1">
        <v>46039.290972222225</v>
      </c>
      <c r="K257" s="1">
        <v>46039.306944444441</v>
      </c>
      <c r="L257" s="1">
        <v>46039.3125</v>
      </c>
      <c r="M257" s="1">
        <v>46039.322222222225</v>
      </c>
      <c r="N257" s="1">
        <v>46039.34652777778</v>
      </c>
      <c r="O257">
        <v>5</v>
      </c>
      <c r="P257" t="s">
        <v>115</v>
      </c>
      <c r="Q257" t="s">
        <v>82</v>
      </c>
      <c r="R257" t="s">
        <v>211</v>
      </c>
      <c r="S257" t="s">
        <v>84</v>
      </c>
      <c r="T257">
        <v>4000</v>
      </c>
      <c r="U257" t="s">
        <v>35</v>
      </c>
      <c r="V257" t="s">
        <v>59</v>
      </c>
      <c r="W257">
        <v>1</v>
      </c>
      <c r="X257" t="s">
        <v>353</v>
      </c>
      <c r="Y257">
        <v>4</v>
      </c>
      <c r="Z257" t="s">
        <v>117</v>
      </c>
    </row>
    <row r="258" spans="1:26" hidden="1" x14ac:dyDescent="0.2">
      <c r="A258" t="s">
        <v>647</v>
      </c>
      <c r="B258" t="s">
        <v>648</v>
      </c>
      <c r="C258" s="1">
        <v>46072</v>
      </c>
      <c r="D258" t="s">
        <v>149</v>
      </c>
      <c r="E258">
        <v>23</v>
      </c>
      <c r="F258">
        <v>7.5</v>
      </c>
      <c r="G258" t="s">
        <v>57</v>
      </c>
      <c r="H258" t="s">
        <v>95</v>
      </c>
      <c r="I258" s="1">
        <v>46072.343055555553</v>
      </c>
      <c r="J258" s="1">
        <v>46072.35</v>
      </c>
      <c r="K258" s="1">
        <v>46072.359027777777</v>
      </c>
      <c r="L258" s="1">
        <v>46072.363194444442</v>
      </c>
      <c r="M258" s="1">
        <v>46072.399305555555</v>
      </c>
      <c r="N258" s="1">
        <v>46072.418055555558</v>
      </c>
      <c r="O258">
        <v>7</v>
      </c>
      <c r="P258" t="s">
        <v>37</v>
      </c>
      <c r="Q258" t="s">
        <v>82</v>
      </c>
      <c r="R258" t="s">
        <v>83</v>
      </c>
      <c r="S258" t="s">
        <v>84</v>
      </c>
      <c r="T258">
        <v>4000</v>
      </c>
      <c r="U258" t="s">
        <v>35</v>
      </c>
      <c r="V258" t="s">
        <v>36</v>
      </c>
      <c r="W258">
        <v>1</v>
      </c>
      <c r="X258" t="s">
        <v>37</v>
      </c>
      <c r="Y258">
        <v>5</v>
      </c>
      <c r="Z258" t="s">
        <v>86</v>
      </c>
    </row>
    <row r="259" spans="1:26" hidden="1" x14ac:dyDescent="0.2">
      <c r="A259" t="s">
        <v>649</v>
      </c>
      <c r="B259" t="s">
        <v>650</v>
      </c>
      <c r="C259" s="1">
        <v>46093</v>
      </c>
      <c r="D259" t="s">
        <v>225</v>
      </c>
      <c r="E259">
        <v>39</v>
      </c>
      <c r="F259">
        <v>5.4</v>
      </c>
      <c r="G259" t="s">
        <v>81</v>
      </c>
      <c r="H259" t="s">
        <v>157</v>
      </c>
      <c r="I259" s="1">
        <v>46093.361805555556</v>
      </c>
      <c r="J259" s="1">
        <v>46093.381249999999</v>
      </c>
      <c r="K259" s="1">
        <v>46093.438194444447</v>
      </c>
      <c r="L259" s="1">
        <v>46093.450694444444</v>
      </c>
      <c r="M259" s="1">
        <v>46093.480555555558</v>
      </c>
      <c r="N259" s="1">
        <v>46093.511805555558</v>
      </c>
      <c r="O259">
        <v>6</v>
      </c>
      <c r="P259" t="s">
        <v>37</v>
      </c>
      <c r="Q259" t="s">
        <v>82</v>
      </c>
      <c r="R259" t="s">
        <v>211</v>
      </c>
      <c r="S259" t="s">
        <v>84</v>
      </c>
      <c r="T259">
        <v>4000</v>
      </c>
      <c r="U259" t="s">
        <v>35</v>
      </c>
      <c r="V259" t="s">
        <v>36</v>
      </c>
      <c r="W259">
        <v>1</v>
      </c>
      <c r="X259" t="s">
        <v>37</v>
      </c>
      <c r="Y259">
        <v>3</v>
      </c>
      <c r="Z259" t="s">
        <v>117</v>
      </c>
    </row>
    <row r="260" spans="1:26" x14ac:dyDescent="0.2">
      <c r="A260" t="s">
        <v>651</v>
      </c>
      <c r="B260" t="s">
        <v>652</v>
      </c>
      <c r="C260" s="1">
        <v>46062</v>
      </c>
      <c r="D260" t="s">
        <v>242</v>
      </c>
      <c r="E260">
        <v>14</v>
      </c>
      <c r="F260">
        <v>6.4</v>
      </c>
      <c r="G260" t="s">
        <v>29</v>
      </c>
      <c r="H260" t="s">
        <v>65</v>
      </c>
      <c r="I260" s="1">
        <v>46062.394444444442</v>
      </c>
      <c r="J260" s="1">
        <v>46062.414583333331</v>
      </c>
      <c r="K260" s="1">
        <v>46062.433333333334</v>
      </c>
      <c r="L260" s="1">
        <v>46062.444444444445</v>
      </c>
      <c r="M260" s="1">
        <v>46062.463888888888</v>
      </c>
      <c r="N260" s="1">
        <v>46062.488194444442</v>
      </c>
      <c r="O260">
        <v>5</v>
      </c>
      <c r="P260" t="s">
        <v>115</v>
      </c>
      <c r="Q260" t="s">
        <v>43</v>
      </c>
      <c r="R260" t="s">
        <v>58</v>
      </c>
      <c r="S260" t="s">
        <v>45</v>
      </c>
      <c r="T260">
        <v>2500</v>
      </c>
      <c r="U260" t="s">
        <v>91</v>
      </c>
      <c r="V260" t="s">
        <v>36</v>
      </c>
      <c r="W260">
        <v>1</v>
      </c>
      <c r="X260" t="s">
        <v>37</v>
      </c>
      <c r="Y260">
        <v>1</v>
      </c>
      <c r="Z260" t="s">
        <v>168</v>
      </c>
    </row>
    <row r="261" spans="1:26" hidden="1" x14ac:dyDescent="0.2">
      <c r="A261" t="s">
        <v>653</v>
      </c>
      <c r="B261" t="s">
        <v>654</v>
      </c>
      <c r="C261" s="1">
        <v>46099</v>
      </c>
      <c r="D261" t="s">
        <v>41</v>
      </c>
      <c r="E261">
        <v>17</v>
      </c>
      <c r="F261">
        <v>7.3</v>
      </c>
      <c r="G261" t="s">
        <v>81</v>
      </c>
      <c r="H261" t="s">
        <v>157</v>
      </c>
      <c r="I261" s="1">
        <v>46099.320138888892</v>
      </c>
      <c r="J261" s="1">
        <v>46099.328472222223</v>
      </c>
      <c r="K261" s="1">
        <v>46099.349305555559</v>
      </c>
      <c r="L261" s="1">
        <v>46099.361111111109</v>
      </c>
      <c r="M261" s="1">
        <v>46099.384722222225</v>
      </c>
      <c r="N261" s="1">
        <v>46099.397916666669</v>
      </c>
      <c r="O261">
        <v>3</v>
      </c>
      <c r="P261" t="s">
        <v>52</v>
      </c>
      <c r="Q261" t="s">
        <v>32</v>
      </c>
      <c r="R261" t="s">
        <v>66</v>
      </c>
      <c r="S261" t="s">
        <v>34</v>
      </c>
      <c r="T261">
        <v>5000</v>
      </c>
      <c r="U261" t="s">
        <v>35</v>
      </c>
      <c r="V261" t="s">
        <v>36</v>
      </c>
      <c r="W261">
        <v>1</v>
      </c>
      <c r="X261" t="s">
        <v>37</v>
      </c>
      <c r="Y261">
        <v>5</v>
      </c>
      <c r="Z261" t="s">
        <v>61</v>
      </c>
    </row>
    <row r="262" spans="1:26" hidden="1" x14ac:dyDescent="0.2">
      <c r="A262" t="s">
        <v>655</v>
      </c>
      <c r="B262" t="s">
        <v>656</v>
      </c>
      <c r="C262" s="1">
        <v>46057</v>
      </c>
      <c r="D262" t="s">
        <v>149</v>
      </c>
      <c r="E262">
        <v>31</v>
      </c>
      <c r="F262">
        <v>5.5</v>
      </c>
      <c r="G262" t="s">
        <v>29</v>
      </c>
      <c r="H262" t="s">
        <v>95</v>
      </c>
      <c r="I262" s="1">
        <v>46057.273611111108</v>
      </c>
      <c r="J262" s="1">
        <v>46057.283333333333</v>
      </c>
      <c r="K262" s="1">
        <v>46057.3</v>
      </c>
      <c r="L262" s="1">
        <v>46057.313194444447</v>
      </c>
      <c r="M262" s="1">
        <v>46057.347222222219</v>
      </c>
      <c r="N262" s="1">
        <v>46057.370138888888</v>
      </c>
      <c r="O262">
        <v>3</v>
      </c>
      <c r="P262" t="s">
        <v>37</v>
      </c>
      <c r="Q262" t="s">
        <v>69</v>
      </c>
      <c r="R262" t="s">
        <v>251</v>
      </c>
      <c r="S262" t="s">
        <v>71</v>
      </c>
      <c r="T262">
        <v>2000</v>
      </c>
      <c r="U262" t="s">
        <v>35</v>
      </c>
      <c r="V262" t="s">
        <v>36</v>
      </c>
      <c r="W262">
        <v>1</v>
      </c>
      <c r="X262" t="s">
        <v>37</v>
      </c>
      <c r="Y262">
        <v>3</v>
      </c>
      <c r="Z262" t="s">
        <v>131</v>
      </c>
    </row>
    <row r="263" spans="1:26" hidden="1" x14ac:dyDescent="0.2">
      <c r="A263" t="s">
        <v>657</v>
      </c>
      <c r="B263" t="s">
        <v>658</v>
      </c>
      <c r="C263" s="1">
        <v>46046</v>
      </c>
      <c r="D263" t="s">
        <v>28</v>
      </c>
      <c r="E263">
        <v>13</v>
      </c>
      <c r="F263">
        <v>9.6999999999999993</v>
      </c>
      <c r="G263" t="s">
        <v>29</v>
      </c>
      <c r="H263" t="s">
        <v>95</v>
      </c>
      <c r="I263" s="1">
        <v>46046.265972222223</v>
      </c>
      <c r="J263" s="1">
        <v>46046.272222222222</v>
      </c>
      <c r="K263" s="1">
        <v>46046.279861111114</v>
      </c>
      <c r="L263" s="1">
        <v>46046.293749999997</v>
      </c>
      <c r="M263" s="1">
        <v>46046.30972222222</v>
      </c>
      <c r="N263" s="1">
        <v>46046.327777777777</v>
      </c>
      <c r="O263">
        <v>4</v>
      </c>
      <c r="P263" t="s">
        <v>37</v>
      </c>
      <c r="Q263" t="s">
        <v>96</v>
      </c>
      <c r="R263" t="s">
        <v>214</v>
      </c>
      <c r="S263" t="s">
        <v>98</v>
      </c>
      <c r="T263">
        <v>3000</v>
      </c>
      <c r="U263" t="s">
        <v>35</v>
      </c>
      <c r="V263" t="s">
        <v>59</v>
      </c>
      <c r="W263">
        <v>4</v>
      </c>
      <c r="X263" t="s">
        <v>60</v>
      </c>
      <c r="Y263">
        <v>5</v>
      </c>
      <c r="Z263" t="s">
        <v>99</v>
      </c>
    </row>
    <row r="264" spans="1:26" x14ac:dyDescent="0.2">
      <c r="A264" t="s">
        <v>659</v>
      </c>
      <c r="B264" t="s">
        <v>660</v>
      </c>
      <c r="C264" s="1">
        <v>46041</v>
      </c>
      <c r="D264" t="s">
        <v>110</v>
      </c>
      <c r="E264">
        <v>9</v>
      </c>
      <c r="F264">
        <v>8.3000000000000007</v>
      </c>
      <c r="G264" t="s">
        <v>57</v>
      </c>
      <c r="H264" t="s">
        <v>95</v>
      </c>
      <c r="I264" s="1">
        <v>46041.40902777778</v>
      </c>
      <c r="J264" s="1">
        <v>46041.418055555558</v>
      </c>
      <c r="K264" s="1">
        <v>46041.458333333336</v>
      </c>
      <c r="L264" s="1">
        <v>46041.461805555555</v>
      </c>
      <c r="M264" s="1">
        <v>46041.473611111112</v>
      </c>
      <c r="N264" s="1">
        <v>46041.487500000003</v>
      </c>
      <c r="O264">
        <v>4</v>
      </c>
      <c r="P264" t="s">
        <v>37</v>
      </c>
      <c r="Q264" t="s">
        <v>96</v>
      </c>
      <c r="R264" t="s">
        <v>97</v>
      </c>
      <c r="S264" t="s">
        <v>98</v>
      </c>
      <c r="T264">
        <v>3000</v>
      </c>
      <c r="U264" t="s">
        <v>35</v>
      </c>
      <c r="V264" t="s">
        <v>36</v>
      </c>
      <c r="W264">
        <v>1</v>
      </c>
      <c r="X264" t="s">
        <v>37</v>
      </c>
      <c r="Y264">
        <v>1</v>
      </c>
      <c r="Z264" t="s">
        <v>72</v>
      </c>
    </row>
    <row r="265" spans="1:26" hidden="1" x14ac:dyDescent="0.2">
      <c r="A265" t="s">
        <v>661</v>
      </c>
      <c r="B265" t="s">
        <v>662</v>
      </c>
      <c r="C265" s="1">
        <v>46089</v>
      </c>
      <c r="D265" t="s">
        <v>94</v>
      </c>
      <c r="E265">
        <v>29</v>
      </c>
      <c r="F265">
        <v>9.5</v>
      </c>
      <c r="G265" t="s">
        <v>76</v>
      </c>
      <c r="H265" t="s">
        <v>167</v>
      </c>
      <c r="I265" s="1">
        <v>46089.277777777781</v>
      </c>
      <c r="J265" s="1">
        <v>46089.295138888891</v>
      </c>
      <c r="K265" s="1">
        <v>46089.305555555555</v>
      </c>
      <c r="L265" s="1">
        <v>46089.311111111114</v>
      </c>
      <c r="M265" s="1">
        <v>46089.32916666667</v>
      </c>
      <c r="N265" s="1">
        <v>46089.353472222225</v>
      </c>
      <c r="O265">
        <v>6</v>
      </c>
      <c r="P265" t="s">
        <v>37</v>
      </c>
      <c r="Q265" t="s">
        <v>82</v>
      </c>
      <c r="R265" t="s">
        <v>214</v>
      </c>
      <c r="S265" t="s">
        <v>84</v>
      </c>
      <c r="T265">
        <v>4000</v>
      </c>
      <c r="U265" t="s">
        <v>35</v>
      </c>
      <c r="V265" t="s">
        <v>36</v>
      </c>
      <c r="W265">
        <v>1</v>
      </c>
      <c r="X265" t="s">
        <v>37</v>
      </c>
      <c r="Y265">
        <v>5</v>
      </c>
      <c r="Z265" t="s">
        <v>117</v>
      </c>
    </row>
    <row r="266" spans="1:26" hidden="1" x14ac:dyDescent="0.2">
      <c r="A266" t="s">
        <v>663</v>
      </c>
      <c r="B266" t="s">
        <v>664</v>
      </c>
      <c r="C266" s="1">
        <v>46104</v>
      </c>
      <c r="D266" t="s">
        <v>181</v>
      </c>
      <c r="E266">
        <v>15</v>
      </c>
      <c r="F266">
        <v>10.4</v>
      </c>
      <c r="G266" t="s">
        <v>81</v>
      </c>
      <c r="H266" t="s">
        <v>51</v>
      </c>
      <c r="I266" s="1">
        <v>46104.320138888892</v>
      </c>
      <c r="J266" s="1">
        <v>46104.34097222222</v>
      </c>
      <c r="K266" s="1">
        <v>46104.369444444441</v>
      </c>
      <c r="L266" s="1">
        <v>46104.372916666667</v>
      </c>
      <c r="M266" s="1">
        <v>46104.381249999999</v>
      </c>
      <c r="N266" s="1">
        <v>46104.410416666666</v>
      </c>
      <c r="O266">
        <v>7</v>
      </c>
      <c r="P266" t="s">
        <v>37</v>
      </c>
      <c r="Q266" t="s">
        <v>96</v>
      </c>
      <c r="R266" t="s">
        <v>90</v>
      </c>
      <c r="S266" t="s">
        <v>98</v>
      </c>
      <c r="T266">
        <v>3000</v>
      </c>
      <c r="U266" t="s">
        <v>35</v>
      </c>
      <c r="V266" t="s">
        <v>36</v>
      </c>
      <c r="W266">
        <v>1</v>
      </c>
      <c r="X266" t="s">
        <v>37</v>
      </c>
      <c r="Y266">
        <v>5</v>
      </c>
      <c r="Z266" t="s">
        <v>54</v>
      </c>
    </row>
    <row r="267" spans="1:26" hidden="1" x14ac:dyDescent="0.2">
      <c r="A267" t="s">
        <v>665</v>
      </c>
      <c r="B267" t="s">
        <v>666</v>
      </c>
      <c r="C267" s="1">
        <v>46086</v>
      </c>
      <c r="D267" t="s">
        <v>89</v>
      </c>
      <c r="E267">
        <v>8</v>
      </c>
      <c r="F267">
        <v>4.5</v>
      </c>
      <c r="G267" t="s">
        <v>57</v>
      </c>
      <c r="H267" t="s">
        <v>30</v>
      </c>
      <c r="I267" s="1">
        <v>46086.345138888886</v>
      </c>
      <c r="J267" s="1">
        <v>46086.365972222222</v>
      </c>
      <c r="K267" s="1">
        <v>46086.381944444445</v>
      </c>
      <c r="L267" s="1">
        <v>46086.388194444444</v>
      </c>
      <c r="M267" s="1">
        <v>46086.416666666664</v>
      </c>
      <c r="N267" s="1">
        <v>46086.429861111108</v>
      </c>
      <c r="O267">
        <v>3</v>
      </c>
      <c r="P267" t="s">
        <v>37</v>
      </c>
      <c r="Q267" t="s">
        <v>69</v>
      </c>
      <c r="R267" t="s">
        <v>251</v>
      </c>
      <c r="S267" t="s">
        <v>71</v>
      </c>
      <c r="T267">
        <v>2000</v>
      </c>
      <c r="U267" t="s">
        <v>35</v>
      </c>
      <c r="V267" t="s">
        <v>36</v>
      </c>
      <c r="W267">
        <v>1</v>
      </c>
      <c r="X267" t="s">
        <v>37</v>
      </c>
      <c r="Y267">
        <v>5</v>
      </c>
      <c r="Z267" t="s">
        <v>72</v>
      </c>
    </row>
    <row r="268" spans="1:26" hidden="1" x14ac:dyDescent="0.2">
      <c r="A268" t="s">
        <v>667</v>
      </c>
      <c r="B268" t="s">
        <v>668</v>
      </c>
      <c r="C268" s="1">
        <v>46025</v>
      </c>
      <c r="D268" t="s">
        <v>114</v>
      </c>
      <c r="E268">
        <v>13</v>
      </c>
      <c r="F268">
        <v>6</v>
      </c>
      <c r="G268" t="s">
        <v>29</v>
      </c>
      <c r="H268" t="s">
        <v>157</v>
      </c>
      <c r="I268" s="1">
        <v>46025.375</v>
      </c>
      <c r="J268" s="1">
        <v>46025.388194444444</v>
      </c>
      <c r="K268" s="1">
        <v>46025.444444444445</v>
      </c>
      <c r="L268" s="1">
        <v>46025.45416666667</v>
      </c>
      <c r="M268" s="1">
        <v>46025.484722222223</v>
      </c>
      <c r="N268" s="1">
        <v>46025.509722222225</v>
      </c>
      <c r="O268">
        <v>2</v>
      </c>
      <c r="P268" t="s">
        <v>37</v>
      </c>
      <c r="Q268" t="s">
        <v>43</v>
      </c>
      <c r="R268" t="s">
        <v>58</v>
      </c>
      <c r="S268" t="s">
        <v>45</v>
      </c>
      <c r="T268">
        <v>2500</v>
      </c>
      <c r="U268" t="s">
        <v>35</v>
      </c>
      <c r="V268" t="s">
        <v>36</v>
      </c>
      <c r="W268">
        <v>1</v>
      </c>
      <c r="X268" t="s">
        <v>37</v>
      </c>
      <c r="Y268">
        <v>4</v>
      </c>
      <c r="Z268" t="s">
        <v>46</v>
      </c>
    </row>
    <row r="269" spans="1:26" hidden="1" x14ac:dyDescent="0.2">
      <c r="A269" t="s">
        <v>669</v>
      </c>
      <c r="B269" t="s">
        <v>670</v>
      </c>
      <c r="C269" s="1">
        <v>46093</v>
      </c>
      <c r="D269" t="s">
        <v>126</v>
      </c>
      <c r="E269">
        <v>33</v>
      </c>
      <c r="F269">
        <v>6.4</v>
      </c>
      <c r="G269" t="s">
        <v>76</v>
      </c>
      <c r="H269" t="s">
        <v>65</v>
      </c>
      <c r="I269" s="1">
        <v>46093.314583333333</v>
      </c>
      <c r="J269" s="1">
        <v>46093.327777777777</v>
      </c>
      <c r="K269" s="1">
        <v>46093.334722222222</v>
      </c>
      <c r="L269" s="1">
        <v>46093.34652777778</v>
      </c>
      <c r="M269" s="1">
        <v>46093.385416666664</v>
      </c>
      <c r="N269" s="1">
        <v>46093.396527777775</v>
      </c>
      <c r="O269">
        <v>1</v>
      </c>
      <c r="P269" t="s">
        <v>37</v>
      </c>
      <c r="Q269" t="s">
        <v>32</v>
      </c>
      <c r="R269" t="s">
        <v>278</v>
      </c>
      <c r="S269" t="s">
        <v>34</v>
      </c>
      <c r="T269">
        <v>5000</v>
      </c>
      <c r="U269" t="s">
        <v>35</v>
      </c>
      <c r="V269" t="s">
        <v>36</v>
      </c>
      <c r="W269">
        <v>1</v>
      </c>
      <c r="X269" t="s">
        <v>37</v>
      </c>
      <c r="Y269">
        <v>4</v>
      </c>
      <c r="Z269" t="s">
        <v>117</v>
      </c>
    </row>
    <row r="270" spans="1:26" hidden="1" x14ac:dyDescent="0.2">
      <c r="A270" t="s">
        <v>671</v>
      </c>
      <c r="B270" t="s">
        <v>672</v>
      </c>
      <c r="C270" s="1">
        <v>46091</v>
      </c>
      <c r="D270" t="s">
        <v>64</v>
      </c>
      <c r="E270">
        <v>38</v>
      </c>
      <c r="F270">
        <v>9.5</v>
      </c>
      <c r="G270" t="s">
        <v>81</v>
      </c>
      <c r="H270" t="s">
        <v>95</v>
      </c>
      <c r="I270" s="1">
        <v>46091.35833333333</v>
      </c>
      <c r="J270" s="1">
        <v>46091.368055555555</v>
      </c>
      <c r="K270" s="1">
        <v>46091.40347222222</v>
      </c>
      <c r="L270" s="1">
        <v>46091.415972222225</v>
      </c>
      <c r="M270" s="1">
        <v>46091.451388888891</v>
      </c>
      <c r="N270" s="1">
        <v>46091.46875</v>
      </c>
      <c r="O270">
        <v>1</v>
      </c>
      <c r="P270" t="s">
        <v>52</v>
      </c>
      <c r="Q270" t="s">
        <v>43</v>
      </c>
      <c r="R270" t="s">
        <v>158</v>
      </c>
      <c r="S270" t="s">
        <v>45</v>
      </c>
      <c r="T270">
        <v>2500</v>
      </c>
      <c r="U270" t="s">
        <v>35</v>
      </c>
      <c r="V270" t="s">
        <v>59</v>
      </c>
      <c r="W270">
        <v>2</v>
      </c>
      <c r="X270" t="s">
        <v>85</v>
      </c>
      <c r="Y270">
        <v>5</v>
      </c>
      <c r="Z270" t="s">
        <v>54</v>
      </c>
    </row>
    <row r="271" spans="1:26" hidden="1" x14ac:dyDescent="0.2">
      <c r="A271" t="s">
        <v>673</v>
      </c>
      <c r="B271" t="s">
        <v>674</v>
      </c>
      <c r="C271" s="1">
        <v>46085</v>
      </c>
      <c r="D271" t="s">
        <v>267</v>
      </c>
      <c r="E271">
        <v>29</v>
      </c>
      <c r="F271">
        <v>9.3000000000000007</v>
      </c>
      <c r="G271" t="s">
        <v>81</v>
      </c>
      <c r="H271" t="s">
        <v>65</v>
      </c>
      <c r="I271" s="1">
        <v>46085.374305555553</v>
      </c>
      <c r="J271" s="1">
        <v>46085.390277777777</v>
      </c>
      <c r="K271" s="1">
        <v>46085.419444444444</v>
      </c>
      <c r="L271" s="1">
        <v>46085.423611111109</v>
      </c>
      <c r="M271" s="1">
        <v>46085.446527777778</v>
      </c>
      <c r="N271" s="1">
        <v>46085.459722222222</v>
      </c>
      <c r="O271">
        <v>5</v>
      </c>
      <c r="P271" t="s">
        <v>37</v>
      </c>
      <c r="Q271" t="s">
        <v>32</v>
      </c>
      <c r="R271" t="s">
        <v>107</v>
      </c>
      <c r="S271" t="s">
        <v>34</v>
      </c>
      <c r="T271">
        <v>5000</v>
      </c>
      <c r="U271" t="s">
        <v>35</v>
      </c>
      <c r="V271" t="s">
        <v>59</v>
      </c>
      <c r="W271">
        <v>4</v>
      </c>
      <c r="X271" t="s">
        <v>116</v>
      </c>
      <c r="Y271">
        <v>4</v>
      </c>
      <c r="Z271" t="s">
        <v>134</v>
      </c>
    </row>
    <row r="272" spans="1:26" hidden="1" x14ac:dyDescent="0.2">
      <c r="A272" t="s">
        <v>675</v>
      </c>
      <c r="B272" t="s">
        <v>676</v>
      </c>
      <c r="C272" s="1">
        <v>46069</v>
      </c>
      <c r="D272" t="s">
        <v>75</v>
      </c>
      <c r="E272">
        <v>8</v>
      </c>
      <c r="F272">
        <v>10.6</v>
      </c>
      <c r="G272" t="s">
        <v>76</v>
      </c>
      <c r="H272" t="s">
        <v>65</v>
      </c>
      <c r="I272" s="1">
        <v>46069.256944444445</v>
      </c>
      <c r="J272" s="1">
        <v>46069.276388888888</v>
      </c>
      <c r="K272" s="1">
        <v>46069.289583333331</v>
      </c>
      <c r="L272" s="1">
        <v>46069.299305555556</v>
      </c>
      <c r="M272" s="1">
        <v>46069.309027777781</v>
      </c>
      <c r="N272" s="1">
        <v>46069.321527777778</v>
      </c>
      <c r="O272">
        <v>5</v>
      </c>
      <c r="P272" t="s">
        <v>52</v>
      </c>
      <c r="Q272" t="s">
        <v>43</v>
      </c>
      <c r="R272" t="s">
        <v>58</v>
      </c>
      <c r="S272" t="s">
        <v>45</v>
      </c>
      <c r="T272">
        <v>2500</v>
      </c>
      <c r="U272" t="s">
        <v>35</v>
      </c>
      <c r="V272" t="s">
        <v>36</v>
      </c>
      <c r="W272">
        <v>1</v>
      </c>
      <c r="X272" t="s">
        <v>37</v>
      </c>
      <c r="Y272">
        <v>3</v>
      </c>
      <c r="Z272" t="s">
        <v>134</v>
      </c>
    </row>
    <row r="273" spans="1:26" hidden="1" x14ac:dyDescent="0.2">
      <c r="A273" t="s">
        <v>677</v>
      </c>
      <c r="B273" t="s">
        <v>678</v>
      </c>
      <c r="C273" s="1">
        <v>46095</v>
      </c>
      <c r="D273" t="s">
        <v>105</v>
      </c>
      <c r="E273">
        <v>40</v>
      </c>
      <c r="F273">
        <v>7.3</v>
      </c>
      <c r="G273" t="s">
        <v>29</v>
      </c>
      <c r="H273" t="s">
        <v>42</v>
      </c>
      <c r="I273" s="1">
        <v>46095.363194444442</v>
      </c>
      <c r="J273" s="1">
        <v>46095.379166666666</v>
      </c>
      <c r="K273" s="1">
        <v>46095.417361111111</v>
      </c>
      <c r="L273" s="1">
        <v>46095.430555555555</v>
      </c>
      <c r="M273" s="1">
        <v>46095.468055555553</v>
      </c>
      <c r="N273" s="1">
        <v>46095.490277777775</v>
      </c>
      <c r="O273">
        <v>1</v>
      </c>
      <c r="P273" t="s">
        <v>106</v>
      </c>
      <c r="Q273" t="s">
        <v>82</v>
      </c>
      <c r="R273" t="s">
        <v>77</v>
      </c>
      <c r="S273" t="s">
        <v>84</v>
      </c>
      <c r="T273">
        <v>4000</v>
      </c>
      <c r="U273" t="s">
        <v>35</v>
      </c>
      <c r="V273" t="s">
        <v>36</v>
      </c>
      <c r="W273">
        <v>1</v>
      </c>
      <c r="X273" t="s">
        <v>37</v>
      </c>
      <c r="Y273">
        <v>5</v>
      </c>
      <c r="Z273" t="s">
        <v>131</v>
      </c>
    </row>
    <row r="274" spans="1:26" hidden="1" x14ac:dyDescent="0.2">
      <c r="A274" t="s">
        <v>679</v>
      </c>
      <c r="B274" t="s">
        <v>680</v>
      </c>
      <c r="C274" s="1">
        <v>46079</v>
      </c>
      <c r="D274" t="s">
        <v>171</v>
      </c>
      <c r="E274">
        <v>40</v>
      </c>
      <c r="F274">
        <v>11.9</v>
      </c>
      <c r="G274" t="s">
        <v>76</v>
      </c>
      <c r="H274" t="s">
        <v>42</v>
      </c>
      <c r="I274" s="1">
        <v>46079.315972222219</v>
      </c>
      <c r="J274" s="1">
        <v>46079.328472222223</v>
      </c>
      <c r="K274" s="1">
        <v>46079.373611111114</v>
      </c>
      <c r="L274" s="1">
        <v>46079.384027777778</v>
      </c>
      <c r="M274" s="1">
        <v>46079.417361111111</v>
      </c>
      <c r="N274" s="1">
        <v>46079.431250000001</v>
      </c>
      <c r="O274">
        <v>5</v>
      </c>
      <c r="P274" t="s">
        <v>37</v>
      </c>
      <c r="Q274" t="s">
        <v>96</v>
      </c>
      <c r="R274" t="s">
        <v>214</v>
      </c>
      <c r="S274" t="s">
        <v>98</v>
      </c>
      <c r="T274">
        <v>3000</v>
      </c>
      <c r="U274" t="s">
        <v>35</v>
      </c>
      <c r="V274" t="s">
        <v>36</v>
      </c>
      <c r="W274">
        <v>1</v>
      </c>
      <c r="X274" t="s">
        <v>37</v>
      </c>
      <c r="Y274">
        <v>5</v>
      </c>
      <c r="Z274" t="s">
        <v>99</v>
      </c>
    </row>
    <row r="275" spans="1:26" hidden="1" x14ac:dyDescent="0.2">
      <c r="A275" t="s">
        <v>681</v>
      </c>
      <c r="B275" t="s">
        <v>682</v>
      </c>
      <c r="C275" s="1">
        <v>46080</v>
      </c>
      <c r="D275" t="s">
        <v>220</v>
      </c>
      <c r="E275">
        <v>23</v>
      </c>
      <c r="F275">
        <v>8.8000000000000007</v>
      </c>
      <c r="G275" t="s">
        <v>81</v>
      </c>
      <c r="H275" t="s">
        <v>95</v>
      </c>
      <c r="I275" s="1">
        <v>46080.407638888886</v>
      </c>
      <c r="J275" s="1">
        <v>46080.417361111111</v>
      </c>
      <c r="K275" s="1">
        <v>46080.424305555556</v>
      </c>
      <c r="L275" s="1">
        <v>46080.434027777781</v>
      </c>
      <c r="M275" s="1">
        <v>46080.450694444444</v>
      </c>
      <c r="N275" s="1">
        <v>46080.463194444441</v>
      </c>
      <c r="O275">
        <v>7</v>
      </c>
      <c r="P275" t="s">
        <v>37</v>
      </c>
      <c r="Q275" t="s">
        <v>32</v>
      </c>
      <c r="R275" t="s">
        <v>107</v>
      </c>
      <c r="S275" t="s">
        <v>34</v>
      </c>
      <c r="T275">
        <v>5000</v>
      </c>
      <c r="U275" t="s">
        <v>35</v>
      </c>
      <c r="V275" t="s">
        <v>59</v>
      </c>
      <c r="W275">
        <v>3</v>
      </c>
      <c r="X275" t="s">
        <v>374</v>
      </c>
      <c r="Y275">
        <v>4</v>
      </c>
      <c r="Z275" t="s">
        <v>215</v>
      </c>
    </row>
    <row r="276" spans="1:26" x14ac:dyDescent="0.2">
      <c r="A276" t="s">
        <v>683</v>
      </c>
      <c r="B276" t="s">
        <v>684</v>
      </c>
      <c r="C276" s="1">
        <v>46042</v>
      </c>
      <c r="D276" t="s">
        <v>28</v>
      </c>
      <c r="E276">
        <v>27</v>
      </c>
      <c r="F276">
        <v>5.2</v>
      </c>
      <c r="G276" t="s">
        <v>76</v>
      </c>
      <c r="H276" t="s">
        <v>167</v>
      </c>
      <c r="I276" s="1">
        <v>46042.407638888886</v>
      </c>
      <c r="J276" s="1">
        <v>46042.423611111109</v>
      </c>
      <c r="K276" s="1">
        <v>46042.45208333333</v>
      </c>
      <c r="L276" s="1">
        <v>46042.460416666669</v>
      </c>
      <c r="M276" s="1">
        <v>46042.478472222225</v>
      </c>
      <c r="N276" s="1">
        <v>46042.495138888888</v>
      </c>
      <c r="O276">
        <v>1</v>
      </c>
      <c r="P276" t="s">
        <v>37</v>
      </c>
      <c r="Q276" t="s">
        <v>32</v>
      </c>
      <c r="R276" t="s">
        <v>53</v>
      </c>
      <c r="S276" t="s">
        <v>34</v>
      </c>
      <c r="T276">
        <v>5000</v>
      </c>
      <c r="U276" t="s">
        <v>35</v>
      </c>
      <c r="V276" t="s">
        <v>36</v>
      </c>
      <c r="W276">
        <v>1</v>
      </c>
      <c r="X276" t="s">
        <v>37</v>
      </c>
      <c r="Y276">
        <v>2</v>
      </c>
      <c r="Z276" t="s">
        <v>99</v>
      </c>
    </row>
    <row r="277" spans="1:26" hidden="1" x14ac:dyDescent="0.2">
      <c r="A277" t="s">
        <v>685</v>
      </c>
      <c r="B277" t="s">
        <v>686</v>
      </c>
      <c r="C277" s="1">
        <v>46045</v>
      </c>
      <c r="D277" t="s">
        <v>186</v>
      </c>
      <c r="E277">
        <v>24</v>
      </c>
      <c r="F277">
        <v>4.3</v>
      </c>
      <c r="G277" t="s">
        <v>81</v>
      </c>
      <c r="H277" t="s">
        <v>157</v>
      </c>
      <c r="I277" s="1">
        <v>46045.263888888891</v>
      </c>
      <c r="J277" s="1">
        <v>46045.28402777778</v>
      </c>
      <c r="K277" s="1">
        <v>46045.29583333333</v>
      </c>
      <c r="L277" s="1">
        <v>46045.306250000001</v>
      </c>
      <c r="M277" s="1">
        <v>46045.328472222223</v>
      </c>
      <c r="N277" s="1">
        <v>46045.350694444445</v>
      </c>
      <c r="O277">
        <v>4</v>
      </c>
      <c r="P277" t="s">
        <v>37</v>
      </c>
      <c r="Q277" t="s">
        <v>69</v>
      </c>
      <c r="R277" t="s">
        <v>111</v>
      </c>
      <c r="S277" t="s">
        <v>71</v>
      </c>
      <c r="T277">
        <v>2000</v>
      </c>
      <c r="U277" t="s">
        <v>35</v>
      </c>
      <c r="V277" t="s">
        <v>36</v>
      </c>
      <c r="W277">
        <v>1</v>
      </c>
      <c r="X277" t="s">
        <v>37</v>
      </c>
      <c r="Y277">
        <v>5</v>
      </c>
      <c r="Z277" t="s">
        <v>46</v>
      </c>
    </row>
    <row r="278" spans="1:26" hidden="1" x14ac:dyDescent="0.2">
      <c r="A278" t="s">
        <v>687</v>
      </c>
      <c r="B278" t="s">
        <v>688</v>
      </c>
      <c r="C278" s="1">
        <v>46024</v>
      </c>
      <c r="D278" t="s">
        <v>105</v>
      </c>
      <c r="E278">
        <v>24</v>
      </c>
      <c r="F278">
        <v>8.1999999999999993</v>
      </c>
      <c r="G278" t="s">
        <v>76</v>
      </c>
      <c r="H278" t="s">
        <v>65</v>
      </c>
      <c r="I278" s="1">
        <v>46024.35</v>
      </c>
      <c r="J278" s="1">
        <v>46024.356249999997</v>
      </c>
      <c r="K278" s="1">
        <v>46024.39166666667</v>
      </c>
      <c r="L278" s="1">
        <v>46024.4</v>
      </c>
      <c r="M278" s="1">
        <v>46024.413194444445</v>
      </c>
      <c r="N278" s="1">
        <v>46024.418749999997</v>
      </c>
      <c r="O278">
        <v>6</v>
      </c>
      <c r="P278" t="s">
        <v>37</v>
      </c>
      <c r="Q278" t="s">
        <v>43</v>
      </c>
      <c r="R278" t="s">
        <v>90</v>
      </c>
      <c r="S278" t="s">
        <v>45</v>
      </c>
      <c r="T278">
        <v>2500</v>
      </c>
      <c r="U278" t="s">
        <v>35</v>
      </c>
      <c r="V278" t="s">
        <v>36</v>
      </c>
      <c r="W278">
        <v>1</v>
      </c>
      <c r="X278" t="s">
        <v>37</v>
      </c>
      <c r="Y278">
        <v>4</v>
      </c>
      <c r="Z278" t="s">
        <v>131</v>
      </c>
    </row>
    <row r="279" spans="1:26" hidden="1" x14ac:dyDescent="0.2">
      <c r="A279" t="s">
        <v>689</v>
      </c>
      <c r="B279" t="s">
        <v>690</v>
      </c>
      <c r="C279" s="1">
        <v>46051</v>
      </c>
      <c r="D279" t="s">
        <v>181</v>
      </c>
      <c r="E279">
        <v>14</v>
      </c>
      <c r="F279">
        <v>5.0999999999999996</v>
      </c>
      <c r="G279" t="s">
        <v>29</v>
      </c>
      <c r="H279" t="s">
        <v>157</v>
      </c>
      <c r="I279" s="1">
        <v>46051.351388888892</v>
      </c>
      <c r="J279" s="1">
        <v>46051.370833333334</v>
      </c>
      <c r="K279" s="1">
        <v>46051.381944444445</v>
      </c>
      <c r="L279" s="1">
        <v>46051.393750000003</v>
      </c>
      <c r="M279" s="1">
        <v>46051.411805555559</v>
      </c>
      <c r="N279" s="1">
        <v>46051.418749999997</v>
      </c>
      <c r="O279">
        <v>4</v>
      </c>
      <c r="P279" t="s">
        <v>37</v>
      </c>
      <c r="Q279" t="s">
        <v>96</v>
      </c>
      <c r="R279" t="s">
        <v>97</v>
      </c>
      <c r="S279" t="s">
        <v>98</v>
      </c>
      <c r="T279">
        <v>3000</v>
      </c>
      <c r="U279" t="s">
        <v>35</v>
      </c>
      <c r="V279" t="s">
        <v>36</v>
      </c>
      <c r="W279">
        <v>1</v>
      </c>
      <c r="X279" t="s">
        <v>37</v>
      </c>
      <c r="Y279">
        <v>3</v>
      </c>
      <c r="Z279" t="s">
        <v>131</v>
      </c>
    </row>
    <row r="280" spans="1:26" hidden="1" x14ac:dyDescent="0.2">
      <c r="A280" t="s">
        <v>691</v>
      </c>
      <c r="B280" t="s">
        <v>692</v>
      </c>
      <c r="C280" s="1">
        <v>46085</v>
      </c>
      <c r="D280" t="s">
        <v>220</v>
      </c>
      <c r="E280">
        <v>40</v>
      </c>
      <c r="F280">
        <v>8.9</v>
      </c>
      <c r="G280" t="s">
        <v>81</v>
      </c>
      <c r="H280" t="s">
        <v>95</v>
      </c>
      <c r="I280" s="1">
        <v>46085.293055555558</v>
      </c>
      <c r="J280" s="1">
        <v>46085.29791666667</v>
      </c>
      <c r="K280" s="1">
        <v>46085.328472222223</v>
      </c>
      <c r="L280" s="1">
        <v>46085.34097222222</v>
      </c>
      <c r="M280" s="1">
        <v>46085.361805555556</v>
      </c>
      <c r="N280" s="1">
        <v>46085.390277777777</v>
      </c>
      <c r="O280">
        <v>1</v>
      </c>
      <c r="P280" t="s">
        <v>115</v>
      </c>
      <c r="Q280" t="s">
        <v>69</v>
      </c>
      <c r="R280" t="s">
        <v>146</v>
      </c>
      <c r="S280" t="s">
        <v>71</v>
      </c>
      <c r="T280">
        <v>2000</v>
      </c>
      <c r="U280" t="s">
        <v>35</v>
      </c>
      <c r="V280" t="s">
        <v>36</v>
      </c>
      <c r="W280">
        <v>1</v>
      </c>
      <c r="X280" t="s">
        <v>37</v>
      </c>
      <c r="Y280">
        <v>4</v>
      </c>
      <c r="Z280" t="s">
        <v>215</v>
      </c>
    </row>
    <row r="281" spans="1:26" x14ac:dyDescent="0.2">
      <c r="A281" t="s">
        <v>693</v>
      </c>
      <c r="B281" t="s">
        <v>694</v>
      </c>
      <c r="C281" s="1">
        <v>46026</v>
      </c>
      <c r="D281" t="s">
        <v>137</v>
      </c>
      <c r="E281">
        <v>27</v>
      </c>
      <c r="F281">
        <v>8.9</v>
      </c>
      <c r="G281" t="s">
        <v>50</v>
      </c>
      <c r="H281" t="s">
        <v>65</v>
      </c>
      <c r="I281" s="1">
        <v>46026.275694444441</v>
      </c>
      <c r="J281" s="1">
        <v>46026.288888888892</v>
      </c>
      <c r="K281" s="1">
        <v>46026.299305555556</v>
      </c>
      <c r="L281" s="1">
        <v>46026.307638888888</v>
      </c>
      <c r="M281" s="1">
        <v>46026.322916666664</v>
      </c>
      <c r="N281" s="1">
        <v>46026.342361111114</v>
      </c>
      <c r="O281">
        <v>2</v>
      </c>
      <c r="P281" t="s">
        <v>37</v>
      </c>
      <c r="Q281" t="s">
        <v>96</v>
      </c>
      <c r="R281" t="s">
        <v>164</v>
      </c>
      <c r="S281" t="s">
        <v>98</v>
      </c>
      <c r="T281">
        <v>3000</v>
      </c>
      <c r="U281" t="s">
        <v>35</v>
      </c>
      <c r="V281" t="s">
        <v>36</v>
      </c>
      <c r="W281">
        <v>1</v>
      </c>
      <c r="X281" t="s">
        <v>37</v>
      </c>
      <c r="Y281">
        <v>2</v>
      </c>
      <c r="Z281" t="s">
        <v>215</v>
      </c>
    </row>
    <row r="282" spans="1:26" hidden="1" x14ac:dyDescent="0.2">
      <c r="A282" t="s">
        <v>695</v>
      </c>
      <c r="B282" t="s">
        <v>696</v>
      </c>
      <c r="C282" s="1">
        <v>46059</v>
      </c>
      <c r="D282" t="s">
        <v>178</v>
      </c>
      <c r="E282">
        <v>24</v>
      </c>
      <c r="F282">
        <v>7.6</v>
      </c>
      <c r="G282" t="s">
        <v>29</v>
      </c>
      <c r="H282" t="s">
        <v>167</v>
      </c>
      <c r="I282" s="1">
        <v>46059.286805555559</v>
      </c>
      <c r="J282" s="1">
        <v>46059.306250000001</v>
      </c>
      <c r="K282" s="1">
        <v>46059.36041666667</v>
      </c>
      <c r="L282" s="1">
        <v>46059.368055555555</v>
      </c>
      <c r="M282" s="1">
        <v>46059.384027777778</v>
      </c>
      <c r="N282" s="1">
        <v>46059.411111111112</v>
      </c>
      <c r="O282">
        <v>5</v>
      </c>
      <c r="P282" t="s">
        <v>37</v>
      </c>
      <c r="Q282" t="s">
        <v>96</v>
      </c>
      <c r="R282" t="s">
        <v>90</v>
      </c>
      <c r="S282" t="s">
        <v>98</v>
      </c>
      <c r="T282">
        <v>3000</v>
      </c>
      <c r="U282" t="s">
        <v>35</v>
      </c>
      <c r="V282" t="s">
        <v>36</v>
      </c>
      <c r="W282">
        <v>1</v>
      </c>
      <c r="X282" t="s">
        <v>37</v>
      </c>
      <c r="Y282">
        <v>5</v>
      </c>
      <c r="Z282" t="s">
        <v>38</v>
      </c>
    </row>
    <row r="283" spans="1:26" hidden="1" x14ac:dyDescent="0.2">
      <c r="A283" t="s">
        <v>697</v>
      </c>
      <c r="B283" t="s">
        <v>698</v>
      </c>
      <c r="C283" s="1">
        <v>46025</v>
      </c>
      <c r="D283" t="s">
        <v>220</v>
      </c>
      <c r="E283">
        <v>21</v>
      </c>
      <c r="F283">
        <v>5.4</v>
      </c>
      <c r="G283" t="s">
        <v>76</v>
      </c>
      <c r="H283" t="s">
        <v>95</v>
      </c>
      <c r="I283" s="1">
        <v>46025.390277777777</v>
      </c>
      <c r="J283" s="1">
        <v>46025.40902777778</v>
      </c>
      <c r="K283" s="1">
        <v>46025.470833333333</v>
      </c>
      <c r="L283" s="1">
        <v>46025.479861111111</v>
      </c>
      <c r="M283" s="1">
        <v>46025.488888888889</v>
      </c>
      <c r="N283" s="1">
        <v>46025.512499999997</v>
      </c>
      <c r="O283">
        <v>6</v>
      </c>
      <c r="P283" t="s">
        <v>37</v>
      </c>
      <c r="Q283" t="s">
        <v>69</v>
      </c>
      <c r="R283" t="s">
        <v>111</v>
      </c>
      <c r="S283" t="s">
        <v>71</v>
      </c>
      <c r="T283">
        <v>2000</v>
      </c>
      <c r="U283" t="s">
        <v>35</v>
      </c>
      <c r="V283" t="s">
        <v>36</v>
      </c>
      <c r="W283">
        <v>1</v>
      </c>
      <c r="X283" t="s">
        <v>37</v>
      </c>
      <c r="Y283">
        <v>5</v>
      </c>
      <c r="Z283" t="s">
        <v>86</v>
      </c>
    </row>
    <row r="284" spans="1:26" hidden="1" x14ac:dyDescent="0.2">
      <c r="A284" t="s">
        <v>699</v>
      </c>
      <c r="B284" t="s">
        <v>700</v>
      </c>
      <c r="C284" s="1">
        <v>46069</v>
      </c>
      <c r="D284" t="s">
        <v>230</v>
      </c>
      <c r="E284">
        <v>23</v>
      </c>
      <c r="F284">
        <v>10.9</v>
      </c>
      <c r="G284" t="s">
        <v>50</v>
      </c>
      <c r="H284" t="s">
        <v>95</v>
      </c>
      <c r="I284" s="1">
        <v>46069.317361111112</v>
      </c>
      <c r="J284" s="1">
        <v>46069.331944444442</v>
      </c>
      <c r="K284" s="1">
        <v>46069.347222222219</v>
      </c>
      <c r="L284" s="1">
        <v>46069.357638888891</v>
      </c>
      <c r="M284" s="1">
        <v>46069.386111111111</v>
      </c>
      <c r="N284" s="1">
        <v>46069.415972222225</v>
      </c>
      <c r="O284">
        <v>5</v>
      </c>
      <c r="P284" t="s">
        <v>106</v>
      </c>
      <c r="Q284" t="s">
        <v>32</v>
      </c>
      <c r="R284" t="s">
        <v>107</v>
      </c>
      <c r="S284" t="s">
        <v>34</v>
      </c>
      <c r="T284">
        <v>5000</v>
      </c>
      <c r="U284" t="s">
        <v>35</v>
      </c>
      <c r="V284" t="s">
        <v>36</v>
      </c>
      <c r="W284">
        <v>1</v>
      </c>
      <c r="X284" t="s">
        <v>37</v>
      </c>
      <c r="Y284">
        <v>5</v>
      </c>
      <c r="Z284" t="s">
        <v>102</v>
      </c>
    </row>
    <row r="285" spans="1:26" x14ac:dyDescent="0.2">
      <c r="A285" t="s">
        <v>701</v>
      </c>
      <c r="B285" t="s">
        <v>702</v>
      </c>
      <c r="C285" s="1">
        <v>46054</v>
      </c>
      <c r="D285" t="s">
        <v>171</v>
      </c>
      <c r="E285">
        <v>26</v>
      </c>
      <c r="F285">
        <v>7.9</v>
      </c>
      <c r="G285" t="s">
        <v>57</v>
      </c>
      <c r="H285" t="s">
        <v>51</v>
      </c>
      <c r="I285" s="1">
        <v>46054.311111111114</v>
      </c>
      <c r="J285" s="1">
        <v>46054.32916666667</v>
      </c>
      <c r="K285" s="1">
        <v>46054.367361111108</v>
      </c>
      <c r="L285" s="1">
        <v>46054.378472222219</v>
      </c>
      <c r="M285" s="1">
        <v>46054.413194444445</v>
      </c>
      <c r="N285" s="1">
        <v>46054.429861111108</v>
      </c>
      <c r="O285">
        <v>2</v>
      </c>
      <c r="P285" t="s">
        <v>37</v>
      </c>
      <c r="Q285" t="s">
        <v>69</v>
      </c>
      <c r="R285" t="s">
        <v>251</v>
      </c>
      <c r="S285" t="s">
        <v>71</v>
      </c>
      <c r="T285">
        <v>2000</v>
      </c>
      <c r="U285" t="s">
        <v>91</v>
      </c>
      <c r="V285" t="s">
        <v>36</v>
      </c>
      <c r="W285">
        <v>1</v>
      </c>
      <c r="X285" t="s">
        <v>37</v>
      </c>
      <c r="Y285">
        <v>2</v>
      </c>
      <c r="Z285" t="s">
        <v>161</v>
      </c>
    </row>
    <row r="286" spans="1:26" hidden="1" x14ac:dyDescent="0.2">
      <c r="A286" t="s">
        <v>703</v>
      </c>
      <c r="B286" t="s">
        <v>704</v>
      </c>
      <c r="C286" s="1">
        <v>46026</v>
      </c>
      <c r="D286" t="s">
        <v>75</v>
      </c>
      <c r="E286">
        <v>14</v>
      </c>
      <c r="F286">
        <v>6.7</v>
      </c>
      <c r="G286" t="s">
        <v>50</v>
      </c>
      <c r="H286" t="s">
        <v>30</v>
      </c>
      <c r="I286" s="1">
        <v>46026.274305555555</v>
      </c>
      <c r="J286" s="1">
        <v>46026.279166666667</v>
      </c>
      <c r="K286" s="1">
        <v>46026.319444444445</v>
      </c>
      <c r="L286" s="1">
        <v>46026.327777777777</v>
      </c>
      <c r="M286" s="1">
        <v>46026.352777777778</v>
      </c>
      <c r="N286" s="1">
        <v>46026.366666666669</v>
      </c>
      <c r="O286">
        <v>5</v>
      </c>
      <c r="P286" t="s">
        <v>129</v>
      </c>
      <c r="Q286" t="s">
        <v>96</v>
      </c>
      <c r="R286" t="s">
        <v>164</v>
      </c>
      <c r="S286" t="s">
        <v>98</v>
      </c>
      <c r="T286">
        <v>3000</v>
      </c>
      <c r="U286" t="s">
        <v>35</v>
      </c>
      <c r="V286" t="s">
        <v>36</v>
      </c>
      <c r="W286">
        <v>1</v>
      </c>
      <c r="X286" t="s">
        <v>37</v>
      </c>
      <c r="Y286">
        <v>4</v>
      </c>
      <c r="Z286" t="s">
        <v>54</v>
      </c>
    </row>
    <row r="287" spans="1:26" hidden="1" x14ac:dyDescent="0.2">
      <c r="A287" t="s">
        <v>705</v>
      </c>
      <c r="B287" t="s">
        <v>706</v>
      </c>
      <c r="C287" s="1">
        <v>46040</v>
      </c>
      <c r="D287" t="s">
        <v>254</v>
      </c>
      <c r="E287">
        <v>13</v>
      </c>
      <c r="F287">
        <v>6.5</v>
      </c>
      <c r="G287" t="s">
        <v>81</v>
      </c>
      <c r="H287" t="s">
        <v>95</v>
      </c>
      <c r="I287" s="1">
        <v>46040.326388888891</v>
      </c>
      <c r="J287" s="1">
        <v>46040.34652777778</v>
      </c>
      <c r="K287" s="1">
        <v>46040.365972222222</v>
      </c>
      <c r="L287" s="1">
        <v>46040.372916666667</v>
      </c>
      <c r="M287" s="1">
        <v>46040.393750000003</v>
      </c>
      <c r="N287" s="1">
        <v>46040.4</v>
      </c>
      <c r="O287">
        <v>5</v>
      </c>
      <c r="P287" t="s">
        <v>37</v>
      </c>
      <c r="Q287" t="s">
        <v>69</v>
      </c>
      <c r="R287" t="s">
        <v>146</v>
      </c>
      <c r="S287" t="s">
        <v>71</v>
      </c>
      <c r="T287">
        <v>2000</v>
      </c>
      <c r="U287" t="s">
        <v>35</v>
      </c>
      <c r="V287" t="s">
        <v>36</v>
      </c>
      <c r="W287">
        <v>1</v>
      </c>
      <c r="X287" t="s">
        <v>37</v>
      </c>
      <c r="Y287">
        <v>5</v>
      </c>
      <c r="Z287" t="s">
        <v>296</v>
      </c>
    </row>
    <row r="288" spans="1:26" hidden="1" x14ac:dyDescent="0.2">
      <c r="A288" t="s">
        <v>707</v>
      </c>
      <c r="B288" t="s">
        <v>708</v>
      </c>
      <c r="C288" s="1">
        <v>46063</v>
      </c>
      <c r="D288" t="s">
        <v>145</v>
      </c>
      <c r="E288">
        <v>24</v>
      </c>
      <c r="F288">
        <v>7.5</v>
      </c>
      <c r="G288" t="s">
        <v>76</v>
      </c>
      <c r="H288" t="s">
        <v>95</v>
      </c>
      <c r="I288" s="1">
        <v>46063.388194444444</v>
      </c>
      <c r="J288" s="1">
        <v>46063.395833333336</v>
      </c>
      <c r="K288" s="1">
        <v>46063.411805555559</v>
      </c>
      <c r="L288" s="1">
        <v>46063.418055555558</v>
      </c>
      <c r="M288" s="1">
        <v>46063.432638888888</v>
      </c>
      <c r="N288" s="1">
        <v>46063.436805555553</v>
      </c>
      <c r="O288">
        <v>7</v>
      </c>
      <c r="P288" t="s">
        <v>37</v>
      </c>
      <c r="Q288" t="s">
        <v>43</v>
      </c>
      <c r="R288" t="s">
        <v>200</v>
      </c>
      <c r="S288" t="s">
        <v>45</v>
      </c>
      <c r="T288">
        <v>2500</v>
      </c>
      <c r="U288" t="s">
        <v>35</v>
      </c>
      <c r="V288" t="s">
        <v>36</v>
      </c>
      <c r="W288">
        <v>1</v>
      </c>
      <c r="X288" t="s">
        <v>37</v>
      </c>
      <c r="Y288">
        <v>4</v>
      </c>
      <c r="Z288" t="s">
        <v>215</v>
      </c>
    </row>
    <row r="289" spans="1:26" hidden="1" x14ac:dyDescent="0.2">
      <c r="A289" t="s">
        <v>709</v>
      </c>
      <c r="B289" t="s">
        <v>710</v>
      </c>
      <c r="C289" s="1">
        <v>46052</v>
      </c>
      <c r="D289" t="s">
        <v>94</v>
      </c>
      <c r="E289">
        <v>10</v>
      </c>
      <c r="F289">
        <v>9.5</v>
      </c>
      <c r="G289" t="s">
        <v>50</v>
      </c>
      <c r="H289" t="s">
        <v>95</v>
      </c>
      <c r="I289" s="1">
        <v>46052.338888888888</v>
      </c>
      <c r="J289" s="1">
        <v>46052.355555555558</v>
      </c>
      <c r="K289" s="1">
        <v>46052.404166666667</v>
      </c>
      <c r="L289" s="1">
        <v>46052.415277777778</v>
      </c>
      <c r="M289" s="1">
        <v>46052.429861111108</v>
      </c>
      <c r="N289" s="1">
        <v>46052.45</v>
      </c>
      <c r="O289">
        <v>4</v>
      </c>
      <c r="P289" t="s">
        <v>37</v>
      </c>
      <c r="Q289" t="s">
        <v>32</v>
      </c>
      <c r="R289" t="s">
        <v>66</v>
      </c>
      <c r="S289" t="s">
        <v>34</v>
      </c>
      <c r="T289">
        <v>5000</v>
      </c>
      <c r="U289" t="s">
        <v>35</v>
      </c>
      <c r="V289" t="s">
        <v>36</v>
      </c>
      <c r="W289">
        <v>1</v>
      </c>
      <c r="X289" t="s">
        <v>37</v>
      </c>
      <c r="Y289">
        <v>4</v>
      </c>
      <c r="Z289" t="s">
        <v>102</v>
      </c>
    </row>
    <row r="290" spans="1:26" hidden="1" x14ac:dyDescent="0.2">
      <c r="A290" t="s">
        <v>711</v>
      </c>
      <c r="B290" t="s">
        <v>712</v>
      </c>
      <c r="C290" s="1">
        <v>46075</v>
      </c>
      <c r="D290" t="s">
        <v>41</v>
      </c>
      <c r="E290">
        <v>18</v>
      </c>
      <c r="F290">
        <v>4.5</v>
      </c>
      <c r="G290" t="s">
        <v>50</v>
      </c>
      <c r="H290" t="s">
        <v>42</v>
      </c>
      <c r="I290" s="1">
        <v>46075.359027777777</v>
      </c>
      <c r="J290" s="1">
        <v>46075.372916666667</v>
      </c>
      <c r="K290" s="1">
        <v>46075.408333333333</v>
      </c>
      <c r="L290" s="1">
        <v>46075.421527777777</v>
      </c>
      <c r="M290" s="1">
        <v>46075.438888888886</v>
      </c>
      <c r="N290" s="1">
        <v>46075.461111111108</v>
      </c>
      <c r="O290">
        <v>4</v>
      </c>
      <c r="P290" t="s">
        <v>37</v>
      </c>
      <c r="Q290" t="s">
        <v>82</v>
      </c>
      <c r="R290" t="s">
        <v>239</v>
      </c>
      <c r="S290" t="s">
        <v>84</v>
      </c>
      <c r="T290">
        <v>4000</v>
      </c>
      <c r="U290" t="s">
        <v>35</v>
      </c>
      <c r="V290" t="s">
        <v>59</v>
      </c>
      <c r="W290">
        <v>3</v>
      </c>
      <c r="X290" t="s">
        <v>193</v>
      </c>
      <c r="Y290">
        <v>4</v>
      </c>
      <c r="Z290" t="s">
        <v>38</v>
      </c>
    </row>
    <row r="291" spans="1:26" hidden="1" x14ac:dyDescent="0.2">
      <c r="A291" t="s">
        <v>713</v>
      </c>
      <c r="B291" t="s">
        <v>714</v>
      </c>
      <c r="C291" s="1">
        <v>46099</v>
      </c>
      <c r="D291" t="s">
        <v>75</v>
      </c>
      <c r="E291">
        <v>38</v>
      </c>
      <c r="F291">
        <v>4.9000000000000004</v>
      </c>
      <c r="G291" t="s">
        <v>50</v>
      </c>
      <c r="H291" t="s">
        <v>42</v>
      </c>
      <c r="I291" s="1">
        <v>46099.405555555553</v>
      </c>
      <c r="J291" s="1">
        <v>46099.409722222219</v>
      </c>
      <c r="K291" s="1">
        <v>46099.438194444447</v>
      </c>
      <c r="L291" s="1">
        <v>46099.45</v>
      </c>
      <c r="M291" s="1">
        <v>46099.489583333336</v>
      </c>
      <c r="N291" s="1">
        <v>46099.494444444441</v>
      </c>
      <c r="O291">
        <v>5</v>
      </c>
      <c r="P291" t="s">
        <v>37</v>
      </c>
      <c r="Q291" t="s">
        <v>69</v>
      </c>
      <c r="R291" t="s">
        <v>111</v>
      </c>
      <c r="S291" t="s">
        <v>71</v>
      </c>
      <c r="T291">
        <v>2000</v>
      </c>
      <c r="U291" t="s">
        <v>35</v>
      </c>
      <c r="V291" t="s">
        <v>59</v>
      </c>
      <c r="W291">
        <v>2</v>
      </c>
      <c r="X291" t="s">
        <v>353</v>
      </c>
      <c r="Y291">
        <v>4</v>
      </c>
      <c r="Z291" t="s">
        <v>86</v>
      </c>
    </row>
    <row r="292" spans="1:26" hidden="1" x14ac:dyDescent="0.2">
      <c r="A292" t="s">
        <v>715</v>
      </c>
      <c r="B292" t="s">
        <v>716</v>
      </c>
      <c r="C292" s="1">
        <v>46059</v>
      </c>
      <c r="D292" t="s">
        <v>225</v>
      </c>
      <c r="E292">
        <v>23</v>
      </c>
      <c r="F292">
        <v>8.9</v>
      </c>
      <c r="G292" t="s">
        <v>29</v>
      </c>
      <c r="H292" t="s">
        <v>30</v>
      </c>
      <c r="I292" s="1">
        <v>46059.341666666667</v>
      </c>
      <c r="J292" s="1">
        <v>46059.347916666666</v>
      </c>
      <c r="K292" s="1">
        <v>46059.395833333336</v>
      </c>
      <c r="L292" s="1">
        <v>46059.40902777778</v>
      </c>
      <c r="M292" s="1">
        <v>46059.419444444444</v>
      </c>
      <c r="N292" s="1">
        <v>46059.445138888892</v>
      </c>
      <c r="O292">
        <v>1</v>
      </c>
      <c r="P292" t="s">
        <v>31</v>
      </c>
      <c r="Q292" t="s">
        <v>82</v>
      </c>
      <c r="R292" t="s">
        <v>214</v>
      </c>
      <c r="S292" t="s">
        <v>84</v>
      </c>
      <c r="T292">
        <v>4000</v>
      </c>
      <c r="U292" t="s">
        <v>91</v>
      </c>
      <c r="V292" t="s">
        <v>36</v>
      </c>
      <c r="W292">
        <v>1</v>
      </c>
      <c r="X292" t="s">
        <v>37</v>
      </c>
      <c r="Y292">
        <v>3</v>
      </c>
      <c r="Z292" t="s">
        <v>168</v>
      </c>
    </row>
    <row r="293" spans="1:26" hidden="1" x14ac:dyDescent="0.2">
      <c r="A293" t="s">
        <v>717</v>
      </c>
      <c r="B293" t="s">
        <v>718</v>
      </c>
      <c r="C293" s="1">
        <v>46080</v>
      </c>
      <c r="D293" t="s">
        <v>178</v>
      </c>
      <c r="E293">
        <v>17</v>
      </c>
      <c r="F293">
        <v>11.1</v>
      </c>
      <c r="G293" t="s">
        <v>29</v>
      </c>
      <c r="H293" t="s">
        <v>167</v>
      </c>
      <c r="I293" s="1">
        <v>46080.306944444441</v>
      </c>
      <c r="J293" s="1">
        <v>46080.325694444444</v>
      </c>
      <c r="K293" s="1">
        <v>46080.34652777778</v>
      </c>
      <c r="L293" s="1">
        <v>46080.352083333331</v>
      </c>
      <c r="M293" s="1">
        <v>46080.362500000003</v>
      </c>
      <c r="N293" s="1">
        <v>46080.370833333334</v>
      </c>
      <c r="O293">
        <v>6</v>
      </c>
      <c r="P293" t="s">
        <v>37</v>
      </c>
      <c r="Q293" t="s">
        <v>82</v>
      </c>
      <c r="R293" t="s">
        <v>214</v>
      </c>
      <c r="S293" t="s">
        <v>84</v>
      </c>
      <c r="T293">
        <v>4000</v>
      </c>
      <c r="U293" t="s">
        <v>35</v>
      </c>
      <c r="V293" t="s">
        <v>36</v>
      </c>
      <c r="W293">
        <v>1</v>
      </c>
      <c r="X293" t="s">
        <v>37</v>
      </c>
      <c r="Y293">
        <v>4</v>
      </c>
      <c r="Z293" t="s">
        <v>61</v>
      </c>
    </row>
    <row r="294" spans="1:26" hidden="1" x14ac:dyDescent="0.2">
      <c r="A294" t="s">
        <v>719</v>
      </c>
      <c r="B294" t="s">
        <v>720</v>
      </c>
      <c r="C294" s="1">
        <v>46101</v>
      </c>
      <c r="D294" t="s">
        <v>126</v>
      </c>
      <c r="E294">
        <v>29</v>
      </c>
      <c r="F294">
        <v>4.4000000000000004</v>
      </c>
      <c r="G294" t="s">
        <v>57</v>
      </c>
      <c r="H294" t="s">
        <v>167</v>
      </c>
      <c r="I294" s="1">
        <v>46101.35</v>
      </c>
      <c r="J294" s="1">
        <v>46101.368055555555</v>
      </c>
      <c r="K294" s="1">
        <v>46101.388194444444</v>
      </c>
      <c r="L294" s="1">
        <v>46101.395138888889</v>
      </c>
      <c r="M294" s="1">
        <v>46101.408333333333</v>
      </c>
      <c r="N294" s="1">
        <v>46101.419444444444</v>
      </c>
      <c r="O294">
        <v>7</v>
      </c>
      <c r="P294" t="s">
        <v>37</v>
      </c>
      <c r="Q294" t="s">
        <v>43</v>
      </c>
      <c r="R294" t="s">
        <v>44</v>
      </c>
      <c r="S294" t="s">
        <v>45</v>
      </c>
      <c r="T294">
        <v>2500</v>
      </c>
      <c r="U294" t="s">
        <v>35</v>
      </c>
      <c r="V294" t="s">
        <v>36</v>
      </c>
      <c r="W294">
        <v>1</v>
      </c>
      <c r="X294" t="s">
        <v>37</v>
      </c>
      <c r="Y294">
        <v>5</v>
      </c>
      <c r="Z294" t="s">
        <v>72</v>
      </c>
    </row>
    <row r="295" spans="1:26" x14ac:dyDescent="0.2">
      <c r="A295" t="s">
        <v>721</v>
      </c>
      <c r="B295" t="s">
        <v>722</v>
      </c>
      <c r="C295" s="1">
        <v>46103</v>
      </c>
      <c r="D295" t="s">
        <v>126</v>
      </c>
      <c r="E295">
        <v>17</v>
      </c>
      <c r="F295">
        <v>4</v>
      </c>
      <c r="G295" t="s">
        <v>76</v>
      </c>
      <c r="H295" t="s">
        <v>51</v>
      </c>
      <c r="I295" s="1">
        <v>46103.331250000003</v>
      </c>
      <c r="J295" s="1">
        <v>46103.345138888886</v>
      </c>
      <c r="K295" s="1">
        <v>46103.395833333336</v>
      </c>
      <c r="L295" s="1">
        <v>46103.399305555555</v>
      </c>
      <c r="M295" s="1">
        <v>46103.432638888888</v>
      </c>
      <c r="N295" s="1">
        <v>46103.457638888889</v>
      </c>
      <c r="O295">
        <v>2</v>
      </c>
      <c r="P295" t="s">
        <v>52</v>
      </c>
      <c r="Q295" t="s">
        <v>32</v>
      </c>
      <c r="R295" t="s">
        <v>278</v>
      </c>
      <c r="S295" t="s">
        <v>34</v>
      </c>
      <c r="T295">
        <v>5000</v>
      </c>
      <c r="U295" t="s">
        <v>35</v>
      </c>
      <c r="V295" t="s">
        <v>36</v>
      </c>
      <c r="W295">
        <v>1</v>
      </c>
      <c r="X295" t="s">
        <v>37</v>
      </c>
      <c r="Y295">
        <v>2</v>
      </c>
      <c r="Z295" t="s">
        <v>215</v>
      </c>
    </row>
    <row r="296" spans="1:26" hidden="1" x14ac:dyDescent="0.2">
      <c r="A296" t="s">
        <v>723</v>
      </c>
      <c r="B296" t="s">
        <v>724</v>
      </c>
      <c r="C296" s="1">
        <v>46054</v>
      </c>
      <c r="D296" t="s">
        <v>145</v>
      </c>
      <c r="E296">
        <v>40</v>
      </c>
      <c r="F296">
        <v>10.6</v>
      </c>
      <c r="G296" t="s">
        <v>57</v>
      </c>
      <c r="H296" t="s">
        <v>51</v>
      </c>
      <c r="I296" s="1">
        <v>46054.282638888886</v>
      </c>
      <c r="J296" s="1">
        <v>46054.288888888892</v>
      </c>
      <c r="K296" s="1">
        <v>46054.300694444442</v>
      </c>
      <c r="L296" s="1">
        <v>46054.311805555553</v>
      </c>
      <c r="M296" s="1">
        <v>46054.320138888892</v>
      </c>
      <c r="N296" s="1">
        <v>46054.329861111109</v>
      </c>
      <c r="O296">
        <v>7</v>
      </c>
      <c r="P296" t="s">
        <v>31</v>
      </c>
      <c r="Q296" t="s">
        <v>69</v>
      </c>
      <c r="R296" t="s">
        <v>251</v>
      </c>
      <c r="S296" t="s">
        <v>71</v>
      </c>
      <c r="T296">
        <v>2000</v>
      </c>
      <c r="U296" t="s">
        <v>35</v>
      </c>
      <c r="V296" t="s">
        <v>36</v>
      </c>
      <c r="W296">
        <v>1</v>
      </c>
      <c r="X296" t="s">
        <v>37</v>
      </c>
      <c r="Y296">
        <v>5</v>
      </c>
      <c r="Z296" t="s">
        <v>102</v>
      </c>
    </row>
    <row r="297" spans="1:26" hidden="1" x14ac:dyDescent="0.2">
      <c r="A297" t="s">
        <v>725</v>
      </c>
      <c r="B297" t="s">
        <v>726</v>
      </c>
      <c r="C297" s="1">
        <v>46076</v>
      </c>
      <c r="D297" t="s">
        <v>126</v>
      </c>
      <c r="E297">
        <v>23</v>
      </c>
      <c r="F297">
        <v>8.9</v>
      </c>
      <c r="G297" t="s">
        <v>81</v>
      </c>
      <c r="H297" t="s">
        <v>65</v>
      </c>
      <c r="I297" s="1">
        <v>46076.38958333333</v>
      </c>
      <c r="J297" s="1">
        <v>46076.404861111114</v>
      </c>
      <c r="K297" s="1">
        <v>46076.427083333336</v>
      </c>
      <c r="L297" s="1">
        <v>46076.44027777778</v>
      </c>
      <c r="M297" s="1">
        <v>46076.479861111111</v>
      </c>
      <c r="N297" s="1">
        <v>46076.509027777778</v>
      </c>
      <c r="O297">
        <v>3</v>
      </c>
      <c r="P297" t="s">
        <v>37</v>
      </c>
      <c r="Q297" t="s">
        <v>82</v>
      </c>
      <c r="R297" t="s">
        <v>211</v>
      </c>
      <c r="S297" t="s">
        <v>84</v>
      </c>
      <c r="T297">
        <v>4000</v>
      </c>
      <c r="U297" t="s">
        <v>35</v>
      </c>
      <c r="V297" t="s">
        <v>36</v>
      </c>
      <c r="W297">
        <v>1</v>
      </c>
      <c r="X297" t="s">
        <v>37</v>
      </c>
      <c r="Y297">
        <v>4</v>
      </c>
      <c r="Z297" t="s">
        <v>168</v>
      </c>
    </row>
    <row r="298" spans="1:26" hidden="1" x14ac:dyDescent="0.2">
      <c r="A298" t="s">
        <v>727</v>
      </c>
      <c r="B298" t="s">
        <v>728</v>
      </c>
      <c r="C298" s="1">
        <v>46077</v>
      </c>
      <c r="D298" t="s">
        <v>64</v>
      </c>
      <c r="E298">
        <v>23</v>
      </c>
      <c r="F298">
        <v>7.8</v>
      </c>
      <c r="G298" t="s">
        <v>29</v>
      </c>
      <c r="H298" t="s">
        <v>30</v>
      </c>
      <c r="I298" s="1">
        <v>46077.402777777781</v>
      </c>
      <c r="J298" s="1">
        <v>46077.411805555559</v>
      </c>
      <c r="K298" s="1">
        <v>46077.447916666664</v>
      </c>
      <c r="L298" s="1">
        <v>46077.460416666669</v>
      </c>
      <c r="M298" s="1">
        <v>46077.490277777775</v>
      </c>
      <c r="N298" s="1">
        <v>46077.50277777778</v>
      </c>
      <c r="O298">
        <v>6</v>
      </c>
      <c r="P298" t="s">
        <v>238</v>
      </c>
      <c r="Q298" t="s">
        <v>69</v>
      </c>
      <c r="R298" t="s">
        <v>111</v>
      </c>
      <c r="S298" t="s">
        <v>71</v>
      </c>
      <c r="T298">
        <v>2000</v>
      </c>
      <c r="U298" t="s">
        <v>35</v>
      </c>
      <c r="V298" t="s">
        <v>36</v>
      </c>
      <c r="W298">
        <v>1</v>
      </c>
      <c r="X298" t="s">
        <v>37</v>
      </c>
      <c r="Y298">
        <v>4</v>
      </c>
      <c r="Z298" t="s">
        <v>117</v>
      </c>
    </row>
    <row r="299" spans="1:26" hidden="1" x14ac:dyDescent="0.2">
      <c r="A299" t="s">
        <v>729</v>
      </c>
      <c r="B299" t="s">
        <v>730</v>
      </c>
      <c r="C299" s="1">
        <v>46111</v>
      </c>
      <c r="D299" t="s">
        <v>80</v>
      </c>
      <c r="E299">
        <v>25</v>
      </c>
      <c r="F299">
        <v>6.1</v>
      </c>
      <c r="G299" t="s">
        <v>81</v>
      </c>
      <c r="H299" t="s">
        <v>65</v>
      </c>
      <c r="I299" s="1">
        <v>46111.3125</v>
      </c>
      <c r="J299" s="1">
        <v>46111.318749999999</v>
      </c>
      <c r="K299" s="1">
        <v>46111.379861111112</v>
      </c>
      <c r="L299" s="1">
        <v>46111.393750000003</v>
      </c>
      <c r="M299" s="1">
        <v>46111.423611111109</v>
      </c>
      <c r="N299" s="1">
        <v>46111.454861111109</v>
      </c>
      <c r="O299">
        <v>4</v>
      </c>
      <c r="P299" t="s">
        <v>37</v>
      </c>
      <c r="Q299" t="s">
        <v>96</v>
      </c>
      <c r="R299" t="s">
        <v>97</v>
      </c>
      <c r="S299" t="s">
        <v>98</v>
      </c>
      <c r="T299">
        <v>3000</v>
      </c>
      <c r="U299" t="s">
        <v>35</v>
      </c>
      <c r="V299" t="s">
        <v>36</v>
      </c>
      <c r="W299">
        <v>1</v>
      </c>
      <c r="X299" t="s">
        <v>37</v>
      </c>
      <c r="Y299">
        <v>5</v>
      </c>
      <c r="Z299" t="s">
        <v>54</v>
      </c>
    </row>
    <row r="300" spans="1:26" hidden="1" x14ac:dyDescent="0.2">
      <c r="A300" t="s">
        <v>731</v>
      </c>
      <c r="B300" t="s">
        <v>732</v>
      </c>
      <c r="C300" s="1">
        <v>46038</v>
      </c>
      <c r="D300" t="s">
        <v>178</v>
      </c>
      <c r="E300">
        <v>18</v>
      </c>
      <c r="F300">
        <v>10.4</v>
      </c>
      <c r="G300" t="s">
        <v>50</v>
      </c>
      <c r="H300" t="s">
        <v>157</v>
      </c>
      <c r="I300" s="1">
        <v>46038.257638888892</v>
      </c>
      <c r="J300" s="1">
        <v>46038.268055555556</v>
      </c>
      <c r="K300" s="1">
        <v>46038.305555555555</v>
      </c>
      <c r="L300" s="1">
        <v>46038.313194444447</v>
      </c>
      <c r="M300" s="1">
        <v>46038.320138888892</v>
      </c>
      <c r="N300" s="1">
        <v>46038.351388888892</v>
      </c>
      <c r="O300">
        <v>2</v>
      </c>
      <c r="P300" t="s">
        <v>37</v>
      </c>
      <c r="Q300" t="s">
        <v>43</v>
      </c>
      <c r="R300" t="s">
        <v>90</v>
      </c>
      <c r="S300" t="s">
        <v>45</v>
      </c>
      <c r="T300">
        <v>2500</v>
      </c>
      <c r="U300" t="s">
        <v>35</v>
      </c>
      <c r="V300" t="s">
        <v>36</v>
      </c>
      <c r="W300">
        <v>1</v>
      </c>
      <c r="X300" t="s">
        <v>37</v>
      </c>
      <c r="Y300">
        <v>4</v>
      </c>
      <c r="Z300" t="s">
        <v>131</v>
      </c>
    </row>
    <row r="301" spans="1:26" hidden="1" x14ac:dyDescent="0.2">
      <c r="A301" t="s">
        <v>733</v>
      </c>
      <c r="B301" t="s">
        <v>734</v>
      </c>
      <c r="C301" s="1">
        <v>46023</v>
      </c>
      <c r="D301" t="s">
        <v>28</v>
      </c>
      <c r="E301">
        <v>30</v>
      </c>
      <c r="F301">
        <v>9.8000000000000007</v>
      </c>
      <c r="G301" t="s">
        <v>81</v>
      </c>
      <c r="H301" t="s">
        <v>51</v>
      </c>
      <c r="I301" s="1">
        <v>46023.397916666669</v>
      </c>
      <c r="J301" s="1">
        <v>46023.404861111114</v>
      </c>
      <c r="K301" s="1">
        <v>46023.428472222222</v>
      </c>
      <c r="L301" s="1">
        <v>46023.438888888886</v>
      </c>
      <c r="M301" s="1">
        <v>46023.460416666669</v>
      </c>
      <c r="N301" s="1">
        <v>46023.484722222223</v>
      </c>
      <c r="O301">
        <v>4</v>
      </c>
      <c r="P301" t="s">
        <v>37</v>
      </c>
      <c r="Q301" t="s">
        <v>96</v>
      </c>
      <c r="R301" t="s">
        <v>214</v>
      </c>
      <c r="S301" t="s">
        <v>98</v>
      </c>
      <c r="T301">
        <v>3000</v>
      </c>
      <c r="U301" t="s">
        <v>35</v>
      </c>
      <c r="V301" t="s">
        <v>36</v>
      </c>
      <c r="W301">
        <v>1</v>
      </c>
      <c r="X301" t="s">
        <v>37</v>
      </c>
      <c r="Y301">
        <v>4</v>
      </c>
      <c r="Z301" t="s">
        <v>86</v>
      </c>
    </row>
    <row r="302" spans="1:26" hidden="1" x14ac:dyDescent="0.2">
      <c r="A302" t="s">
        <v>735</v>
      </c>
      <c r="B302" t="s">
        <v>736</v>
      </c>
      <c r="C302" s="1">
        <v>46065</v>
      </c>
      <c r="D302" t="s">
        <v>225</v>
      </c>
      <c r="E302">
        <v>38</v>
      </c>
      <c r="F302">
        <v>6.4</v>
      </c>
      <c r="G302" t="s">
        <v>76</v>
      </c>
      <c r="H302" t="s">
        <v>65</v>
      </c>
      <c r="I302" s="1">
        <v>46065.345138888886</v>
      </c>
      <c r="J302" s="1">
        <v>46065.348611111112</v>
      </c>
      <c r="K302" s="1">
        <v>46065.373611111114</v>
      </c>
      <c r="L302" s="1">
        <v>46065.384027777778</v>
      </c>
      <c r="M302" s="1">
        <v>46065.425694444442</v>
      </c>
      <c r="N302" s="1">
        <v>46065.444444444445</v>
      </c>
      <c r="O302">
        <v>1</v>
      </c>
      <c r="P302" t="s">
        <v>37</v>
      </c>
      <c r="Q302" t="s">
        <v>43</v>
      </c>
      <c r="R302" t="s">
        <v>90</v>
      </c>
      <c r="S302" t="s">
        <v>45</v>
      </c>
      <c r="T302">
        <v>2500</v>
      </c>
      <c r="U302" t="s">
        <v>35</v>
      </c>
      <c r="V302" t="s">
        <v>36</v>
      </c>
      <c r="W302">
        <v>1</v>
      </c>
      <c r="X302" t="s">
        <v>37</v>
      </c>
      <c r="Y302">
        <v>5</v>
      </c>
      <c r="Z302" t="s">
        <v>134</v>
      </c>
    </row>
    <row r="303" spans="1:26" hidden="1" x14ac:dyDescent="0.2">
      <c r="A303" t="s">
        <v>737</v>
      </c>
      <c r="B303" t="s">
        <v>738</v>
      </c>
      <c r="C303" s="1">
        <v>46044</v>
      </c>
      <c r="D303" t="s">
        <v>254</v>
      </c>
      <c r="E303">
        <v>16</v>
      </c>
      <c r="F303">
        <v>8.8000000000000007</v>
      </c>
      <c r="G303" t="s">
        <v>76</v>
      </c>
      <c r="H303" t="s">
        <v>30</v>
      </c>
      <c r="I303" s="1">
        <v>46044.402083333334</v>
      </c>
      <c r="J303" s="1">
        <v>46044.412499999999</v>
      </c>
      <c r="K303" s="1">
        <v>46044.422222222223</v>
      </c>
      <c r="L303" s="1">
        <v>46044.431250000001</v>
      </c>
      <c r="M303" s="1">
        <v>46044.456250000003</v>
      </c>
      <c r="N303" s="1">
        <v>46044.463194444441</v>
      </c>
      <c r="O303">
        <v>4</v>
      </c>
      <c r="P303" t="s">
        <v>37</v>
      </c>
      <c r="Q303" t="s">
        <v>69</v>
      </c>
      <c r="R303" t="s">
        <v>70</v>
      </c>
      <c r="S303" t="s">
        <v>71</v>
      </c>
      <c r="T303">
        <v>2000</v>
      </c>
      <c r="U303" t="s">
        <v>35</v>
      </c>
      <c r="V303" t="s">
        <v>59</v>
      </c>
      <c r="W303">
        <v>3</v>
      </c>
      <c r="X303" t="s">
        <v>85</v>
      </c>
      <c r="Y303">
        <v>4</v>
      </c>
      <c r="Z303" t="s">
        <v>296</v>
      </c>
    </row>
    <row r="304" spans="1:26" hidden="1" x14ac:dyDescent="0.2">
      <c r="A304" t="s">
        <v>739</v>
      </c>
      <c r="B304" t="s">
        <v>740</v>
      </c>
      <c r="C304" s="1">
        <v>46070</v>
      </c>
      <c r="D304" t="s">
        <v>154</v>
      </c>
      <c r="E304">
        <v>10</v>
      </c>
      <c r="F304">
        <v>7.6</v>
      </c>
      <c r="G304" t="s">
        <v>29</v>
      </c>
      <c r="H304" t="s">
        <v>42</v>
      </c>
      <c r="I304" s="1">
        <v>46070.335416666669</v>
      </c>
      <c r="J304" s="1">
        <v>46070.35</v>
      </c>
      <c r="K304" s="1">
        <v>46070.370138888888</v>
      </c>
      <c r="L304" s="1">
        <v>46070.37777777778</v>
      </c>
      <c r="M304" s="1">
        <v>46070.399305555555</v>
      </c>
      <c r="N304" s="1">
        <v>46070.423611111109</v>
      </c>
      <c r="O304">
        <v>6</v>
      </c>
      <c r="P304" t="s">
        <v>37</v>
      </c>
      <c r="Q304" t="s">
        <v>32</v>
      </c>
      <c r="R304" t="s">
        <v>120</v>
      </c>
      <c r="S304" t="s">
        <v>34</v>
      </c>
      <c r="T304">
        <v>5000</v>
      </c>
      <c r="U304" t="s">
        <v>35</v>
      </c>
      <c r="V304" t="s">
        <v>36</v>
      </c>
      <c r="W304">
        <v>1</v>
      </c>
      <c r="X304" t="s">
        <v>37</v>
      </c>
      <c r="Y304">
        <v>5</v>
      </c>
      <c r="Z304" t="s">
        <v>117</v>
      </c>
    </row>
    <row r="305" spans="1:26" hidden="1" x14ac:dyDescent="0.2">
      <c r="A305" t="s">
        <v>741</v>
      </c>
      <c r="B305" t="s">
        <v>742</v>
      </c>
      <c r="C305" s="1">
        <v>46109</v>
      </c>
      <c r="D305" t="s">
        <v>123</v>
      </c>
      <c r="E305">
        <v>7</v>
      </c>
      <c r="F305">
        <v>7.7</v>
      </c>
      <c r="G305" t="s">
        <v>81</v>
      </c>
      <c r="H305" t="s">
        <v>51</v>
      </c>
      <c r="I305" s="1">
        <v>46109.250694444447</v>
      </c>
      <c r="J305" s="1">
        <v>46109.260416666664</v>
      </c>
      <c r="K305" s="1">
        <v>46109.270833333336</v>
      </c>
      <c r="L305" s="1">
        <v>46109.275694444441</v>
      </c>
      <c r="M305" s="1">
        <v>46109.297222222223</v>
      </c>
      <c r="N305" s="1">
        <v>46109.320833333331</v>
      </c>
      <c r="O305">
        <v>1</v>
      </c>
      <c r="P305" t="s">
        <v>52</v>
      </c>
      <c r="Q305" t="s">
        <v>82</v>
      </c>
      <c r="R305" t="s">
        <v>211</v>
      </c>
      <c r="S305" t="s">
        <v>84</v>
      </c>
      <c r="T305">
        <v>4000</v>
      </c>
      <c r="U305" t="s">
        <v>35</v>
      </c>
      <c r="V305" t="s">
        <v>36</v>
      </c>
      <c r="W305">
        <v>1</v>
      </c>
      <c r="X305" t="s">
        <v>37</v>
      </c>
      <c r="Y305">
        <v>5</v>
      </c>
      <c r="Z305" t="s">
        <v>134</v>
      </c>
    </row>
    <row r="306" spans="1:26" hidden="1" x14ac:dyDescent="0.2">
      <c r="A306" t="s">
        <v>743</v>
      </c>
      <c r="B306" t="s">
        <v>744</v>
      </c>
      <c r="C306" s="1">
        <v>46064</v>
      </c>
      <c r="D306" t="s">
        <v>267</v>
      </c>
      <c r="E306">
        <v>22</v>
      </c>
      <c r="F306">
        <v>8.3000000000000007</v>
      </c>
      <c r="G306" t="s">
        <v>50</v>
      </c>
      <c r="H306" t="s">
        <v>30</v>
      </c>
      <c r="I306" s="1">
        <v>46064.270833333336</v>
      </c>
      <c r="J306" s="1">
        <v>46064.279861111114</v>
      </c>
      <c r="K306" s="1">
        <v>46064.3</v>
      </c>
      <c r="L306" s="1">
        <v>46064.306944444441</v>
      </c>
      <c r="M306" s="1">
        <v>46064.325694444444</v>
      </c>
      <c r="N306" s="1">
        <v>46064.334027777775</v>
      </c>
      <c r="O306">
        <v>1</v>
      </c>
      <c r="P306" t="s">
        <v>37</v>
      </c>
      <c r="Q306" t="s">
        <v>82</v>
      </c>
      <c r="R306" t="s">
        <v>33</v>
      </c>
      <c r="S306" t="s">
        <v>84</v>
      </c>
      <c r="T306">
        <v>4000</v>
      </c>
      <c r="U306" t="s">
        <v>35</v>
      </c>
      <c r="V306" t="s">
        <v>36</v>
      </c>
      <c r="W306">
        <v>1</v>
      </c>
      <c r="X306" t="s">
        <v>37</v>
      </c>
      <c r="Y306">
        <v>4</v>
      </c>
      <c r="Z306" t="s">
        <v>131</v>
      </c>
    </row>
    <row r="307" spans="1:26" x14ac:dyDescent="0.2">
      <c r="A307" t="s">
        <v>745</v>
      </c>
      <c r="B307" t="s">
        <v>746</v>
      </c>
      <c r="C307" s="1">
        <v>46057</v>
      </c>
      <c r="D307" t="s">
        <v>123</v>
      </c>
      <c r="E307">
        <v>20</v>
      </c>
      <c r="F307">
        <v>5.4</v>
      </c>
      <c r="G307" t="s">
        <v>76</v>
      </c>
      <c r="H307" t="s">
        <v>65</v>
      </c>
      <c r="I307" s="1">
        <v>46057.408333333333</v>
      </c>
      <c r="J307" s="1">
        <v>46057.418749999997</v>
      </c>
      <c r="K307" s="1">
        <v>46057.473611111112</v>
      </c>
      <c r="L307" s="1">
        <v>46057.486805555556</v>
      </c>
      <c r="M307" s="1">
        <v>46057.495833333334</v>
      </c>
      <c r="N307" s="1">
        <v>46057.504861111112</v>
      </c>
      <c r="O307">
        <v>1</v>
      </c>
      <c r="P307" t="s">
        <v>37</v>
      </c>
      <c r="Q307" t="s">
        <v>96</v>
      </c>
      <c r="R307" t="s">
        <v>130</v>
      </c>
      <c r="S307" t="s">
        <v>98</v>
      </c>
      <c r="T307">
        <v>3000</v>
      </c>
      <c r="U307" t="s">
        <v>35</v>
      </c>
      <c r="V307" t="s">
        <v>36</v>
      </c>
      <c r="W307">
        <v>1</v>
      </c>
      <c r="X307" t="s">
        <v>37</v>
      </c>
      <c r="Y307">
        <v>2</v>
      </c>
      <c r="Z307" t="s">
        <v>168</v>
      </c>
    </row>
    <row r="308" spans="1:26" hidden="1" x14ac:dyDescent="0.2">
      <c r="A308" t="s">
        <v>747</v>
      </c>
      <c r="B308" t="s">
        <v>748</v>
      </c>
      <c r="C308" s="1">
        <v>46045</v>
      </c>
      <c r="D308" t="s">
        <v>114</v>
      </c>
      <c r="E308">
        <v>27</v>
      </c>
      <c r="F308">
        <v>6.5</v>
      </c>
      <c r="G308" t="s">
        <v>57</v>
      </c>
      <c r="H308" t="s">
        <v>30</v>
      </c>
      <c r="I308" s="1">
        <v>46045.384722222225</v>
      </c>
      <c r="J308" s="1">
        <v>46045.402777777781</v>
      </c>
      <c r="K308" s="1">
        <v>46045.456944444442</v>
      </c>
      <c r="L308" s="1">
        <v>46045.461805555555</v>
      </c>
      <c r="M308" s="1">
        <v>46045.502083333333</v>
      </c>
      <c r="N308" s="1">
        <v>46045.525694444441</v>
      </c>
      <c r="O308">
        <v>5</v>
      </c>
      <c r="P308" t="s">
        <v>52</v>
      </c>
      <c r="Q308" t="s">
        <v>69</v>
      </c>
      <c r="R308" t="s">
        <v>70</v>
      </c>
      <c r="S308" t="s">
        <v>71</v>
      </c>
      <c r="T308">
        <v>2000</v>
      </c>
      <c r="U308" t="s">
        <v>35</v>
      </c>
      <c r="V308" t="s">
        <v>36</v>
      </c>
      <c r="W308">
        <v>1</v>
      </c>
      <c r="X308" t="s">
        <v>37</v>
      </c>
      <c r="Y308">
        <v>5</v>
      </c>
      <c r="Z308" t="s">
        <v>38</v>
      </c>
    </row>
    <row r="309" spans="1:26" hidden="1" x14ac:dyDescent="0.2">
      <c r="A309" t="s">
        <v>749</v>
      </c>
      <c r="B309" t="s">
        <v>750</v>
      </c>
      <c r="C309" s="1">
        <v>46083</v>
      </c>
      <c r="D309" t="s">
        <v>41</v>
      </c>
      <c r="E309">
        <v>21</v>
      </c>
      <c r="F309">
        <v>11.3</v>
      </c>
      <c r="G309" t="s">
        <v>50</v>
      </c>
      <c r="H309" t="s">
        <v>95</v>
      </c>
      <c r="I309" s="1">
        <v>46083.374305555553</v>
      </c>
      <c r="J309" s="1">
        <v>46083.392361111109</v>
      </c>
      <c r="K309" s="1">
        <v>46083.428472222222</v>
      </c>
      <c r="L309" s="1">
        <v>46083.438888888886</v>
      </c>
      <c r="M309" s="1">
        <v>46083.46597222222</v>
      </c>
      <c r="N309" s="1">
        <v>46083.490972222222</v>
      </c>
      <c r="O309">
        <v>1</v>
      </c>
      <c r="P309" t="s">
        <v>238</v>
      </c>
      <c r="Q309" t="s">
        <v>82</v>
      </c>
      <c r="R309" t="s">
        <v>83</v>
      </c>
      <c r="S309" t="s">
        <v>84</v>
      </c>
      <c r="T309">
        <v>4000</v>
      </c>
      <c r="U309" t="s">
        <v>35</v>
      </c>
      <c r="V309" t="s">
        <v>36</v>
      </c>
      <c r="W309">
        <v>1</v>
      </c>
      <c r="X309" t="s">
        <v>37</v>
      </c>
      <c r="Y309">
        <v>3</v>
      </c>
      <c r="Z309" t="s">
        <v>61</v>
      </c>
    </row>
    <row r="310" spans="1:26" hidden="1" x14ac:dyDescent="0.2">
      <c r="A310" t="s">
        <v>751</v>
      </c>
      <c r="B310" t="s">
        <v>752</v>
      </c>
      <c r="C310" s="1">
        <v>46100</v>
      </c>
      <c r="D310" t="s">
        <v>254</v>
      </c>
      <c r="E310">
        <v>11</v>
      </c>
      <c r="F310">
        <v>7.2</v>
      </c>
      <c r="G310" t="s">
        <v>29</v>
      </c>
      <c r="H310" t="s">
        <v>167</v>
      </c>
      <c r="I310" s="1">
        <v>46100.348611111112</v>
      </c>
      <c r="J310" s="1">
        <v>46100.365972222222</v>
      </c>
      <c r="K310" s="1">
        <v>46100.379166666666</v>
      </c>
      <c r="L310" s="1">
        <v>46100.388888888891</v>
      </c>
      <c r="M310" s="1">
        <v>46100.419444444444</v>
      </c>
      <c r="N310" s="1">
        <v>46100.443055555559</v>
      </c>
      <c r="O310">
        <v>4</v>
      </c>
      <c r="P310" t="s">
        <v>37</v>
      </c>
      <c r="Q310" t="s">
        <v>82</v>
      </c>
      <c r="R310" t="s">
        <v>77</v>
      </c>
      <c r="S310" t="s">
        <v>84</v>
      </c>
      <c r="T310">
        <v>4000</v>
      </c>
      <c r="U310" t="s">
        <v>35</v>
      </c>
      <c r="V310" t="s">
        <v>36</v>
      </c>
      <c r="W310">
        <v>1</v>
      </c>
      <c r="X310" t="s">
        <v>37</v>
      </c>
      <c r="Y310">
        <v>3</v>
      </c>
      <c r="Z310" t="s">
        <v>72</v>
      </c>
    </row>
    <row r="311" spans="1:26" hidden="1" x14ac:dyDescent="0.2">
      <c r="A311" t="s">
        <v>753</v>
      </c>
      <c r="B311" t="s">
        <v>754</v>
      </c>
      <c r="C311" s="1">
        <v>46031</v>
      </c>
      <c r="D311" t="s">
        <v>289</v>
      </c>
      <c r="E311">
        <v>32</v>
      </c>
      <c r="F311">
        <v>10.3</v>
      </c>
      <c r="G311" t="s">
        <v>50</v>
      </c>
      <c r="H311" t="s">
        <v>65</v>
      </c>
      <c r="I311" s="1">
        <v>46031.38958333333</v>
      </c>
      <c r="J311" s="1">
        <v>46031.4</v>
      </c>
      <c r="K311" s="1">
        <v>46031.454861111109</v>
      </c>
      <c r="L311" s="1">
        <v>46031.463194444441</v>
      </c>
      <c r="M311" s="1">
        <v>46031.477777777778</v>
      </c>
      <c r="N311" s="1">
        <v>46031.484027777777</v>
      </c>
      <c r="O311">
        <v>6</v>
      </c>
      <c r="P311" t="s">
        <v>37</v>
      </c>
      <c r="Q311" t="s">
        <v>82</v>
      </c>
      <c r="R311" t="s">
        <v>239</v>
      </c>
      <c r="S311" t="s">
        <v>84</v>
      </c>
      <c r="T311">
        <v>4000</v>
      </c>
      <c r="U311" t="s">
        <v>35</v>
      </c>
      <c r="V311" t="s">
        <v>36</v>
      </c>
      <c r="W311">
        <v>1</v>
      </c>
      <c r="X311" t="s">
        <v>37</v>
      </c>
      <c r="Y311">
        <v>4</v>
      </c>
      <c r="Z311" t="s">
        <v>72</v>
      </c>
    </row>
    <row r="312" spans="1:26" hidden="1" x14ac:dyDescent="0.2">
      <c r="A312" t="s">
        <v>755</v>
      </c>
      <c r="B312" t="s">
        <v>756</v>
      </c>
      <c r="C312" s="1">
        <v>46094</v>
      </c>
      <c r="D312" t="s">
        <v>28</v>
      </c>
      <c r="E312">
        <v>24</v>
      </c>
      <c r="F312">
        <v>11.6</v>
      </c>
      <c r="G312" t="s">
        <v>29</v>
      </c>
      <c r="H312" t="s">
        <v>65</v>
      </c>
      <c r="I312" s="1">
        <v>46094.268750000003</v>
      </c>
      <c r="J312" s="1">
        <v>46094.286805555559</v>
      </c>
      <c r="K312" s="1">
        <v>46094.34652777778</v>
      </c>
      <c r="L312" s="1">
        <v>46094.35833333333</v>
      </c>
      <c r="M312" s="1">
        <v>46094.379166666666</v>
      </c>
      <c r="N312" s="1">
        <v>46094.404166666667</v>
      </c>
      <c r="O312">
        <v>6</v>
      </c>
      <c r="P312" t="s">
        <v>37</v>
      </c>
      <c r="Q312" t="s">
        <v>43</v>
      </c>
      <c r="R312" t="s">
        <v>158</v>
      </c>
      <c r="S312" t="s">
        <v>45</v>
      </c>
      <c r="T312">
        <v>2500</v>
      </c>
      <c r="U312" t="s">
        <v>35</v>
      </c>
      <c r="V312" t="s">
        <v>36</v>
      </c>
      <c r="W312">
        <v>1</v>
      </c>
      <c r="X312" t="s">
        <v>37</v>
      </c>
      <c r="Y312">
        <v>5</v>
      </c>
      <c r="Z312" t="s">
        <v>86</v>
      </c>
    </row>
    <row r="313" spans="1:26" hidden="1" x14ac:dyDescent="0.2">
      <c r="A313" t="s">
        <v>757</v>
      </c>
      <c r="B313" t="s">
        <v>758</v>
      </c>
      <c r="C313" s="1">
        <v>46023</v>
      </c>
      <c r="D313" t="s">
        <v>137</v>
      </c>
      <c r="E313">
        <v>14</v>
      </c>
      <c r="F313">
        <v>7.6</v>
      </c>
      <c r="G313" t="s">
        <v>76</v>
      </c>
      <c r="H313" t="s">
        <v>157</v>
      </c>
      <c r="I313" s="1">
        <v>46023.359027777777</v>
      </c>
      <c r="J313" s="1">
        <v>46023.375</v>
      </c>
      <c r="K313" s="1">
        <v>46023.421527777777</v>
      </c>
      <c r="L313" s="1">
        <v>46023.429166666669</v>
      </c>
      <c r="M313" s="1">
        <v>46023.445138888892</v>
      </c>
      <c r="N313" s="1">
        <v>46023.462500000001</v>
      </c>
      <c r="O313">
        <v>3</v>
      </c>
      <c r="P313" t="s">
        <v>37</v>
      </c>
      <c r="Q313" t="s">
        <v>82</v>
      </c>
      <c r="R313" t="s">
        <v>211</v>
      </c>
      <c r="S313" t="s">
        <v>84</v>
      </c>
      <c r="T313">
        <v>4000</v>
      </c>
      <c r="U313" t="s">
        <v>35</v>
      </c>
      <c r="V313" t="s">
        <v>36</v>
      </c>
      <c r="W313">
        <v>1</v>
      </c>
      <c r="X313" t="s">
        <v>37</v>
      </c>
      <c r="Y313">
        <v>5</v>
      </c>
      <c r="Z313" t="s">
        <v>168</v>
      </c>
    </row>
    <row r="314" spans="1:26" x14ac:dyDescent="0.2">
      <c r="A314" t="s">
        <v>759</v>
      </c>
      <c r="B314" t="s">
        <v>760</v>
      </c>
      <c r="C314" s="1">
        <v>46034</v>
      </c>
      <c r="D314" t="s">
        <v>254</v>
      </c>
      <c r="E314">
        <v>13</v>
      </c>
      <c r="F314">
        <v>10.8</v>
      </c>
      <c r="G314" t="s">
        <v>29</v>
      </c>
      <c r="H314" t="s">
        <v>167</v>
      </c>
      <c r="I314" s="1">
        <v>46034.409722222219</v>
      </c>
      <c r="J314" s="1">
        <v>46034.425000000003</v>
      </c>
      <c r="K314" s="1">
        <v>46034.436111111114</v>
      </c>
      <c r="L314" s="1">
        <v>46034.439583333333</v>
      </c>
      <c r="M314" s="1">
        <v>46034.477777777778</v>
      </c>
      <c r="N314" s="1">
        <v>46034.505555555559</v>
      </c>
      <c r="O314">
        <v>7</v>
      </c>
      <c r="P314" t="s">
        <v>37</v>
      </c>
      <c r="Q314" t="s">
        <v>32</v>
      </c>
      <c r="R314" t="s">
        <v>140</v>
      </c>
      <c r="S314" t="s">
        <v>34</v>
      </c>
      <c r="T314">
        <v>5000</v>
      </c>
      <c r="U314" t="s">
        <v>35</v>
      </c>
      <c r="V314" t="s">
        <v>36</v>
      </c>
      <c r="W314">
        <v>1</v>
      </c>
      <c r="X314" t="s">
        <v>37</v>
      </c>
      <c r="Y314">
        <v>1</v>
      </c>
      <c r="Z314" t="s">
        <v>168</v>
      </c>
    </row>
    <row r="315" spans="1:26" hidden="1" x14ac:dyDescent="0.2">
      <c r="A315" t="s">
        <v>761</v>
      </c>
      <c r="B315" t="s">
        <v>762</v>
      </c>
      <c r="C315" s="1">
        <v>46073</v>
      </c>
      <c r="D315" t="s">
        <v>105</v>
      </c>
      <c r="E315">
        <v>30</v>
      </c>
      <c r="F315">
        <v>7.1</v>
      </c>
      <c r="G315" t="s">
        <v>81</v>
      </c>
      <c r="H315" t="s">
        <v>95</v>
      </c>
      <c r="I315" s="1">
        <v>46073.367361111108</v>
      </c>
      <c r="J315" s="1">
        <v>46073.374305555553</v>
      </c>
      <c r="K315" s="1">
        <v>46073.42291666667</v>
      </c>
      <c r="L315" s="1">
        <v>46073.429166666669</v>
      </c>
      <c r="M315" s="1">
        <v>46073.444444444445</v>
      </c>
      <c r="N315" s="1">
        <v>46073.472222222219</v>
      </c>
      <c r="O315">
        <v>4</v>
      </c>
      <c r="P315" t="s">
        <v>37</v>
      </c>
      <c r="Q315" t="s">
        <v>96</v>
      </c>
      <c r="R315" t="s">
        <v>97</v>
      </c>
      <c r="S315" t="s">
        <v>98</v>
      </c>
      <c r="T315">
        <v>3000</v>
      </c>
      <c r="U315" t="s">
        <v>35</v>
      </c>
      <c r="V315" t="s">
        <v>36</v>
      </c>
      <c r="W315">
        <v>1</v>
      </c>
      <c r="X315" t="s">
        <v>37</v>
      </c>
      <c r="Y315">
        <v>4</v>
      </c>
      <c r="Z315" t="s">
        <v>46</v>
      </c>
    </row>
    <row r="316" spans="1:26" hidden="1" x14ac:dyDescent="0.2">
      <c r="A316" t="s">
        <v>763</v>
      </c>
      <c r="B316" t="s">
        <v>764</v>
      </c>
      <c r="C316" s="1">
        <v>46039</v>
      </c>
      <c r="D316" t="s">
        <v>123</v>
      </c>
      <c r="E316">
        <v>6</v>
      </c>
      <c r="F316">
        <v>5.2</v>
      </c>
      <c r="G316" t="s">
        <v>50</v>
      </c>
      <c r="H316" t="s">
        <v>30</v>
      </c>
      <c r="I316" s="1">
        <v>46039.32708333333</v>
      </c>
      <c r="J316" s="1">
        <v>46039.333333333336</v>
      </c>
      <c r="K316" s="1">
        <v>46039.347222222219</v>
      </c>
      <c r="L316" s="1">
        <v>46039.353472222225</v>
      </c>
      <c r="M316" s="1">
        <v>46039.388888888891</v>
      </c>
      <c r="N316" s="1">
        <v>46039.410416666666</v>
      </c>
      <c r="O316">
        <v>7</v>
      </c>
      <c r="P316" t="s">
        <v>37</v>
      </c>
      <c r="Q316" t="s">
        <v>32</v>
      </c>
      <c r="R316" t="s">
        <v>77</v>
      </c>
      <c r="S316" t="s">
        <v>34</v>
      </c>
      <c r="T316">
        <v>5000</v>
      </c>
      <c r="U316" t="s">
        <v>35</v>
      </c>
      <c r="V316" t="s">
        <v>36</v>
      </c>
      <c r="W316">
        <v>1</v>
      </c>
      <c r="X316" t="s">
        <v>37</v>
      </c>
      <c r="Y316">
        <v>4</v>
      </c>
      <c r="Z316" t="s">
        <v>296</v>
      </c>
    </row>
    <row r="317" spans="1:26" hidden="1" x14ac:dyDescent="0.2">
      <c r="A317" t="s">
        <v>765</v>
      </c>
      <c r="B317" t="s">
        <v>766</v>
      </c>
      <c r="C317" s="1">
        <v>46088</v>
      </c>
      <c r="D317" t="s">
        <v>181</v>
      </c>
      <c r="E317">
        <v>29</v>
      </c>
      <c r="F317">
        <v>6.8</v>
      </c>
      <c r="G317" t="s">
        <v>57</v>
      </c>
      <c r="H317" t="s">
        <v>157</v>
      </c>
      <c r="I317" s="1">
        <v>46088.356944444444</v>
      </c>
      <c r="J317" s="1">
        <v>46088.36041666667</v>
      </c>
      <c r="K317" s="1">
        <v>46088.418055555558</v>
      </c>
      <c r="L317" s="1">
        <v>46088.431944444441</v>
      </c>
      <c r="M317" s="1">
        <v>46088.470833333333</v>
      </c>
      <c r="N317" s="1">
        <v>46088.484722222223</v>
      </c>
      <c r="O317">
        <v>6</v>
      </c>
      <c r="P317" t="s">
        <v>37</v>
      </c>
      <c r="Q317" t="s">
        <v>69</v>
      </c>
      <c r="R317" t="s">
        <v>70</v>
      </c>
      <c r="S317" t="s">
        <v>71</v>
      </c>
      <c r="T317">
        <v>2000</v>
      </c>
      <c r="U317" t="s">
        <v>35</v>
      </c>
      <c r="V317" t="s">
        <v>36</v>
      </c>
      <c r="W317">
        <v>1</v>
      </c>
      <c r="X317" t="s">
        <v>37</v>
      </c>
      <c r="Y317">
        <v>4</v>
      </c>
      <c r="Z317" t="s">
        <v>102</v>
      </c>
    </row>
    <row r="318" spans="1:26" hidden="1" x14ac:dyDescent="0.2">
      <c r="A318" t="s">
        <v>767</v>
      </c>
      <c r="B318" t="s">
        <v>768</v>
      </c>
      <c r="C318" s="1">
        <v>46084</v>
      </c>
      <c r="D318" t="s">
        <v>114</v>
      </c>
      <c r="E318">
        <v>35</v>
      </c>
      <c r="F318">
        <v>11.7</v>
      </c>
      <c r="G318" t="s">
        <v>29</v>
      </c>
      <c r="H318" t="s">
        <v>95</v>
      </c>
      <c r="I318" s="1">
        <v>46084.379166666666</v>
      </c>
      <c r="J318" s="1">
        <v>46084.398611111108</v>
      </c>
      <c r="K318" s="1">
        <v>46084.45208333333</v>
      </c>
      <c r="L318" s="1">
        <v>46084.461111111108</v>
      </c>
      <c r="M318" s="1">
        <v>46084.488194444442</v>
      </c>
      <c r="N318" s="1">
        <v>46084.51458333333</v>
      </c>
      <c r="O318">
        <v>1</v>
      </c>
      <c r="P318" t="s">
        <v>37</v>
      </c>
      <c r="Q318" t="s">
        <v>96</v>
      </c>
      <c r="R318" t="s">
        <v>90</v>
      </c>
      <c r="S318" t="s">
        <v>98</v>
      </c>
      <c r="T318">
        <v>3000</v>
      </c>
      <c r="U318" t="s">
        <v>35</v>
      </c>
      <c r="V318" t="s">
        <v>36</v>
      </c>
      <c r="W318">
        <v>1</v>
      </c>
      <c r="X318" t="s">
        <v>37</v>
      </c>
      <c r="Y318">
        <v>5</v>
      </c>
      <c r="Z318" t="s">
        <v>134</v>
      </c>
    </row>
    <row r="319" spans="1:26" hidden="1" x14ac:dyDescent="0.2">
      <c r="A319" t="s">
        <v>769</v>
      </c>
      <c r="B319" t="s">
        <v>770</v>
      </c>
      <c r="C319" s="1">
        <v>46032</v>
      </c>
      <c r="D319" t="s">
        <v>94</v>
      </c>
      <c r="E319">
        <v>8</v>
      </c>
      <c r="F319">
        <v>11.2</v>
      </c>
      <c r="G319" t="s">
        <v>81</v>
      </c>
      <c r="H319" t="s">
        <v>42</v>
      </c>
      <c r="I319" s="1">
        <v>46032.251388888886</v>
      </c>
      <c r="J319" s="1">
        <v>46032.265277777777</v>
      </c>
      <c r="K319" s="1">
        <v>46032.3125</v>
      </c>
      <c r="L319" s="1">
        <v>46032.326388888891</v>
      </c>
      <c r="M319" s="1">
        <v>46032.35833333333</v>
      </c>
      <c r="N319" s="1">
        <v>46032.376388888886</v>
      </c>
      <c r="O319">
        <v>4</v>
      </c>
      <c r="P319" t="s">
        <v>37</v>
      </c>
      <c r="Q319" t="s">
        <v>69</v>
      </c>
      <c r="R319" t="s">
        <v>251</v>
      </c>
      <c r="S319" t="s">
        <v>71</v>
      </c>
      <c r="T319">
        <v>2000</v>
      </c>
      <c r="U319" t="s">
        <v>91</v>
      </c>
      <c r="V319" t="s">
        <v>36</v>
      </c>
      <c r="W319">
        <v>1</v>
      </c>
      <c r="X319" t="s">
        <v>37</v>
      </c>
      <c r="Y319">
        <v>3</v>
      </c>
      <c r="Z319" t="s">
        <v>38</v>
      </c>
    </row>
    <row r="320" spans="1:26" hidden="1" x14ac:dyDescent="0.2">
      <c r="A320" t="s">
        <v>771</v>
      </c>
      <c r="B320" t="s">
        <v>772</v>
      </c>
      <c r="C320" s="1">
        <v>46061</v>
      </c>
      <c r="D320" t="s">
        <v>233</v>
      </c>
      <c r="E320">
        <v>8</v>
      </c>
      <c r="F320">
        <v>9</v>
      </c>
      <c r="G320" t="s">
        <v>81</v>
      </c>
      <c r="H320" t="s">
        <v>95</v>
      </c>
      <c r="I320" s="1">
        <v>46061.351388888892</v>
      </c>
      <c r="J320" s="1">
        <v>46061.355555555558</v>
      </c>
      <c r="K320" s="1">
        <v>46061.388194444444</v>
      </c>
      <c r="L320" s="1">
        <v>46061.39166666667</v>
      </c>
      <c r="M320" s="1">
        <v>46061.411111111112</v>
      </c>
      <c r="N320" s="1">
        <v>46061.436111111114</v>
      </c>
      <c r="O320">
        <v>1</v>
      </c>
      <c r="P320" t="s">
        <v>238</v>
      </c>
      <c r="Q320" t="s">
        <v>69</v>
      </c>
      <c r="R320" t="s">
        <v>251</v>
      </c>
      <c r="S320" t="s">
        <v>71</v>
      </c>
      <c r="T320">
        <v>2000</v>
      </c>
      <c r="U320" t="s">
        <v>35</v>
      </c>
      <c r="V320" t="s">
        <v>36</v>
      </c>
      <c r="W320">
        <v>1</v>
      </c>
      <c r="X320" t="s">
        <v>37</v>
      </c>
      <c r="Y320">
        <v>3</v>
      </c>
      <c r="Z320" t="s">
        <v>161</v>
      </c>
    </row>
    <row r="321" spans="1:26" hidden="1" x14ac:dyDescent="0.2">
      <c r="A321" t="s">
        <v>773</v>
      </c>
      <c r="B321" t="s">
        <v>774</v>
      </c>
      <c r="C321" s="1">
        <v>46055</v>
      </c>
      <c r="D321" t="s">
        <v>178</v>
      </c>
      <c r="E321">
        <v>14</v>
      </c>
      <c r="F321">
        <v>9.3000000000000007</v>
      </c>
      <c r="G321" t="s">
        <v>76</v>
      </c>
      <c r="H321" t="s">
        <v>42</v>
      </c>
      <c r="I321" s="1">
        <v>46055.280555555553</v>
      </c>
      <c r="J321" s="1">
        <v>46055.289583333331</v>
      </c>
      <c r="K321" s="1">
        <v>46055.317361111112</v>
      </c>
      <c r="L321" s="1">
        <v>46055.331250000003</v>
      </c>
      <c r="M321" s="1">
        <v>46055.345833333333</v>
      </c>
      <c r="N321" s="1">
        <v>46055.37222222222</v>
      </c>
      <c r="O321">
        <v>7</v>
      </c>
      <c r="P321" t="s">
        <v>238</v>
      </c>
      <c r="Q321" t="s">
        <v>32</v>
      </c>
      <c r="R321" t="s">
        <v>278</v>
      </c>
      <c r="S321" t="s">
        <v>34</v>
      </c>
      <c r="T321">
        <v>5000</v>
      </c>
      <c r="U321" t="s">
        <v>91</v>
      </c>
      <c r="V321" t="s">
        <v>36</v>
      </c>
      <c r="W321">
        <v>1</v>
      </c>
      <c r="X321" t="s">
        <v>37</v>
      </c>
      <c r="Y321">
        <v>5</v>
      </c>
      <c r="Z321" t="s">
        <v>46</v>
      </c>
    </row>
    <row r="322" spans="1:26" hidden="1" x14ac:dyDescent="0.2">
      <c r="A322" t="s">
        <v>775</v>
      </c>
      <c r="B322" t="s">
        <v>776</v>
      </c>
      <c r="C322" s="1">
        <v>46075</v>
      </c>
      <c r="D322" t="s">
        <v>137</v>
      </c>
      <c r="E322">
        <v>33</v>
      </c>
      <c r="F322">
        <v>9.8000000000000007</v>
      </c>
      <c r="G322" t="s">
        <v>57</v>
      </c>
      <c r="H322" t="s">
        <v>95</v>
      </c>
      <c r="I322" s="1">
        <v>46075.352083333331</v>
      </c>
      <c r="J322" s="1">
        <v>46075.371527777781</v>
      </c>
      <c r="K322" s="1">
        <v>46075.40902777778</v>
      </c>
      <c r="L322" s="1">
        <v>46075.413194444445</v>
      </c>
      <c r="M322" s="1">
        <v>46075.448611111111</v>
      </c>
      <c r="N322" s="1">
        <v>46075.463194444441</v>
      </c>
      <c r="O322">
        <v>7</v>
      </c>
      <c r="P322" t="s">
        <v>37</v>
      </c>
      <c r="Q322" t="s">
        <v>43</v>
      </c>
      <c r="R322" t="s">
        <v>158</v>
      </c>
      <c r="S322" t="s">
        <v>45</v>
      </c>
      <c r="T322">
        <v>2500</v>
      </c>
      <c r="U322" t="s">
        <v>35</v>
      </c>
      <c r="V322" t="s">
        <v>36</v>
      </c>
      <c r="W322">
        <v>1</v>
      </c>
      <c r="X322" t="s">
        <v>37</v>
      </c>
      <c r="Y322">
        <v>4</v>
      </c>
      <c r="Z322" t="s">
        <v>72</v>
      </c>
    </row>
    <row r="323" spans="1:26" hidden="1" x14ac:dyDescent="0.2">
      <c r="A323" t="s">
        <v>777</v>
      </c>
      <c r="B323" t="s">
        <v>778</v>
      </c>
      <c r="C323" s="1">
        <v>46052</v>
      </c>
      <c r="D323" t="s">
        <v>220</v>
      </c>
      <c r="E323">
        <v>21</v>
      </c>
      <c r="F323">
        <v>5.2</v>
      </c>
      <c r="G323" t="s">
        <v>50</v>
      </c>
      <c r="H323" t="s">
        <v>51</v>
      </c>
      <c r="I323" s="1">
        <v>46052.300694444442</v>
      </c>
      <c r="J323" s="1">
        <v>46052.321527777778</v>
      </c>
      <c r="K323" s="1">
        <v>46052.368055555555</v>
      </c>
      <c r="L323" s="1">
        <v>46052.379861111112</v>
      </c>
      <c r="M323" s="1">
        <v>46052.416666666664</v>
      </c>
      <c r="N323" s="1">
        <v>46052.434027777781</v>
      </c>
      <c r="O323">
        <v>5</v>
      </c>
      <c r="P323" t="s">
        <v>37</v>
      </c>
      <c r="Q323" t="s">
        <v>43</v>
      </c>
      <c r="R323" t="s">
        <v>200</v>
      </c>
      <c r="S323" t="s">
        <v>45</v>
      </c>
      <c r="T323">
        <v>2500</v>
      </c>
      <c r="U323" t="s">
        <v>35</v>
      </c>
      <c r="V323" t="s">
        <v>59</v>
      </c>
      <c r="W323">
        <v>3</v>
      </c>
      <c r="X323" t="s">
        <v>193</v>
      </c>
      <c r="Y323">
        <v>4</v>
      </c>
      <c r="Z323" t="s">
        <v>134</v>
      </c>
    </row>
    <row r="324" spans="1:26" hidden="1" x14ac:dyDescent="0.2">
      <c r="A324" t="s">
        <v>779</v>
      </c>
      <c r="B324" t="s">
        <v>780</v>
      </c>
      <c r="C324" s="1">
        <v>46065</v>
      </c>
      <c r="D324" t="s">
        <v>49</v>
      </c>
      <c r="E324">
        <v>21</v>
      </c>
      <c r="F324">
        <v>9.1999999999999993</v>
      </c>
      <c r="G324" t="s">
        <v>50</v>
      </c>
      <c r="H324" t="s">
        <v>157</v>
      </c>
      <c r="I324" s="1">
        <v>46065.386805555558</v>
      </c>
      <c r="J324" s="1">
        <v>46065.404861111114</v>
      </c>
      <c r="K324" s="1">
        <v>46065.432638888888</v>
      </c>
      <c r="L324" s="1">
        <v>46065.44027777778</v>
      </c>
      <c r="M324" s="1">
        <v>46065.470138888886</v>
      </c>
      <c r="N324" s="1">
        <v>46065.488194444442</v>
      </c>
      <c r="O324">
        <v>6</v>
      </c>
      <c r="P324" t="s">
        <v>37</v>
      </c>
      <c r="Q324" t="s">
        <v>96</v>
      </c>
      <c r="R324" t="s">
        <v>90</v>
      </c>
      <c r="S324" t="s">
        <v>98</v>
      </c>
      <c r="T324">
        <v>3000</v>
      </c>
      <c r="U324" t="s">
        <v>35</v>
      </c>
      <c r="V324" t="s">
        <v>36</v>
      </c>
      <c r="W324">
        <v>1</v>
      </c>
      <c r="X324" t="s">
        <v>37</v>
      </c>
      <c r="Y324">
        <v>5</v>
      </c>
      <c r="Z324" t="s">
        <v>46</v>
      </c>
    </row>
    <row r="325" spans="1:26" x14ac:dyDescent="0.2">
      <c r="A325" t="s">
        <v>781</v>
      </c>
      <c r="B325" t="s">
        <v>782</v>
      </c>
      <c r="C325" s="1">
        <v>46024</v>
      </c>
      <c r="D325" t="s">
        <v>181</v>
      </c>
      <c r="E325">
        <v>33</v>
      </c>
      <c r="F325">
        <v>6.8</v>
      </c>
      <c r="G325" t="s">
        <v>76</v>
      </c>
      <c r="H325" t="s">
        <v>167</v>
      </c>
      <c r="I325" s="1">
        <v>46024.28402777778</v>
      </c>
      <c r="J325" s="1">
        <v>46024.288194444445</v>
      </c>
      <c r="K325" s="1">
        <v>46024.297222222223</v>
      </c>
      <c r="L325" s="1">
        <v>46024.302083333336</v>
      </c>
      <c r="M325" s="1">
        <v>46024.311111111114</v>
      </c>
      <c r="N325" s="1">
        <v>46024.34097222222</v>
      </c>
      <c r="O325">
        <v>6</v>
      </c>
      <c r="P325" t="s">
        <v>37</v>
      </c>
      <c r="Q325" t="s">
        <v>32</v>
      </c>
      <c r="R325" t="s">
        <v>77</v>
      </c>
      <c r="S325" t="s">
        <v>34</v>
      </c>
      <c r="T325">
        <v>5000</v>
      </c>
      <c r="U325" t="s">
        <v>35</v>
      </c>
      <c r="V325" t="s">
        <v>36</v>
      </c>
      <c r="W325">
        <v>1</v>
      </c>
      <c r="X325" t="s">
        <v>37</v>
      </c>
      <c r="Y325">
        <v>2</v>
      </c>
      <c r="Z325" t="s">
        <v>117</v>
      </c>
    </row>
    <row r="326" spans="1:26" hidden="1" x14ac:dyDescent="0.2">
      <c r="A326" t="s">
        <v>783</v>
      </c>
      <c r="B326" t="s">
        <v>784</v>
      </c>
      <c r="C326" s="1">
        <v>46100</v>
      </c>
      <c r="D326" t="s">
        <v>123</v>
      </c>
      <c r="E326">
        <v>16</v>
      </c>
      <c r="F326">
        <v>11.2</v>
      </c>
      <c r="G326" t="s">
        <v>57</v>
      </c>
      <c r="H326" t="s">
        <v>167</v>
      </c>
      <c r="I326" s="1">
        <v>46100.302083333336</v>
      </c>
      <c r="J326" s="1">
        <v>46100.31527777778</v>
      </c>
      <c r="K326" s="1">
        <v>46100.328472222223</v>
      </c>
      <c r="L326" s="1">
        <v>46100.341666666667</v>
      </c>
      <c r="M326" s="1">
        <v>46100.36041666667</v>
      </c>
      <c r="N326" s="1">
        <v>46100.382638888892</v>
      </c>
      <c r="O326">
        <v>6</v>
      </c>
      <c r="P326" t="s">
        <v>37</v>
      </c>
      <c r="Q326" t="s">
        <v>43</v>
      </c>
      <c r="R326" t="s">
        <v>44</v>
      </c>
      <c r="S326" t="s">
        <v>45</v>
      </c>
      <c r="T326">
        <v>2500</v>
      </c>
      <c r="U326" t="s">
        <v>35</v>
      </c>
      <c r="V326" t="s">
        <v>36</v>
      </c>
      <c r="W326">
        <v>1</v>
      </c>
      <c r="X326" t="s">
        <v>37</v>
      </c>
      <c r="Y326">
        <v>3</v>
      </c>
      <c r="Z326" t="s">
        <v>117</v>
      </c>
    </row>
    <row r="327" spans="1:26" hidden="1" x14ac:dyDescent="0.2">
      <c r="A327" t="s">
        <v>785</v>
      </c>
      <c r="B327" t="s">
        <v>786</v>
      </c>
      <c r="C327" s="1">
        <v>46030</v>
      </c>
      <c r="D327" t="s">
        <v>220</v>
      </c>
      <c r="E327">
        <v>8</v>
      </c>
      <c r="F327">
        <v>6.1</v>
      </c>
      <c r="G327" t="s">
        <v>76</v>
      </c>
      <c r="H327" t="s">
        <v>95</v>
      </c>
      <c r="I327" s="1">
        <v>46030.327777777777</v>
      </c>
      <c r="J327" s="1">
        <v>46030.332638888889</v>
      </c>
      <c r="K327" s="1">
        <v>46030.382638888892</v>
      </c>
      <c r="L327" s="1">
        <v>46030.390277777777</v>
      </c>
      <c r="M327" s="1">
        <v>46030.424305555556</v>
      </c>
      <c r="N327" s="1">
        <v>46030.445138888892</v>
      </c>
      <c r="O327">
        <v>2</v>
      </c>
      <c r="P327" t="s">
        <v>37</v>
      </c>
      <c r="Q327" t="s">
        <v>43</v>
      </c>
      <c r="R327" t="s">
        <v>58</v>
      </c>
      <c r="S327" t="s">
        <v>45</v>
      </c>
      <c r="T327">
        <v>2500</v>
      </c>
      <c r="U327" t="s">
        <v>35</v>
      </c>
      <c r="V327" t="s">
        <v>36</v>
      </c>
      <c r="W327">
        <v>1</v>
      </c>
      <c r="X327" t="s">
        <v>37</v>
      </c>
      <c r="Y327">
        <v>4</v>
      </c>
      <c r="Z327" t="s">
        <v>215</v>
      </c>
    </row>
    <row r="328" spans="1:26" hidden="1" x14ac:dyDescent="0.2">
      <c r="A328" t="s">
        <v>787</v>
      </c>
      <c r="B328" t="s">
        <v>788</v>
      </c>
      <c r="C328" s="1">
        <v>46036</v>
      </c>
      <c r="D328" t="s">
        <v>171</v>
      </c>
      <c r="E328">
        <v>11</v>
      </c>
      <c r="F328">
        <v>4.3</v>
      </c>
      <c r="G328" t="s">
        <v>29</v>
      </c>
      <c r="H328" t="s">
        <v>65</v>
      </c>
      <c r="I328" s="1">
        <v>46036.379166666666</v>
      </c>
      <c r="J328" s="1">
        <v>46036.388194444444</v>
      </c>
      <c r="K328" s="1">
        <v>46036.43472222222</v>
      </c>
      <c r="L328" s="1">
        <v>46036.438194444447</v>
      </c>
      <c r="M328" s="1">
        <v>46036.466666666667</v>
      </c>
      <c r="N328" s="1">
        <v>46036.476388888892</v>
      </c>
      <c r="O328">
        <v>6</v>
      </c>
      <c r="P328" t="s">
        <v>37</v>
      </c>
      <c r="Q328" t="s">
        <v>43</v>
      </c>
      <c r="R328" t="s">
        <v>58</v>
      </c>
      <c r="S328" t="s">
        <v>45</v>
      </c>
      <c r="T328">
        <v>2500</v>
      </c>
      <c r="U328" t="s">
        <v>91</v>
      </c>
      <c r="V328" t="s">
        <v>36</v>
      </c>
      <c r="W328">
        <v>1</v>
      </c>
      <c r="X328" t="s">
        <v>37</v>
      </c>
      <c r="Y328">
        <v>3</v>
      </c>
      <c r="Z328" t="s">
        <v>38</v>
      </c>
    </row>
    <row r="329" spans="1:26" hidden="1" x14ac:dyDescent="0.2">
      <c r="A329" t="s">
        <v>789</v>
      </c>
      <c r="B329" t="s">
        <v>790</v>
      </c>
      <c r="C329" s="1">
        <v>46073</v>
      </c>
      <c r="D329" t="s">
        <v>254</v>
      </c>
      <c r="E329">
        <v>35</v>
      </c>
      <c r="F329">
        <v>7.5</v>
      </c>
      <c r="G329" t="s">
        <v>29</v>
      </c>
      <c r="H329" t="s">
        <v>65</v>
      </c>
      <c r="I329" s="1">
        <v>46073.289583333331</v>
      </c>
      <c r="J329" s="1">
        <v>46073.293055555558</v>
      </c>
      <c r="K329" s="1">
        <v>46073.334027777775</v>
      </c>
      <c r="L329" s="1">
        <v>46073.347916666666</v>
      </c>
      <c r="M329" s="1">
        <v>46073.359722222223</v>
      </c>
      <c r="N329" s="1">
        <v>46073.388194444444</v>
      </c>
      <c r="O329">
        <v>5</v>
      </c>
      <c r="P329" t="s">
        <v>37</v>
      </c>
      <c r="Q329" t="s">
        <v>32</v>
      </c>
      <c r="R329" t="s">
        <v>53</v>
      </c>
      <c r="S329" t="s">
        <v>34</v>
      </c>
      <c r="T329">
        <v>5000</v>
      </c>
      <c r="U329" t="s">
        <v>35</v>
      </c>
      <c r="V329" t="s">
        <v>36</v>
      </c>
      <c r="W329">
        <v>1</v>
      </c>
      <c r="X329" t="s">
        <v>37</v>
      </c>
      <c r="Y329">
        <v>4</v>
      </c>
      <c r="Z329" t="s">
        <v>134</v>
      </c>
    </row>
    <row r="330" spans="1:26" hidden="1" x14ac:dyDescent="0.2">
      <c r="A330" t="s">
        <v>791</v>
      </c>
      <c r="B330" t="s">
        <v>792</v>
      </c>
      <c r="C330" s="1">
        <v>46034</v>
      </c>
      <c r="D330" t="s">
        <v>242</v>
      </c>
      <c r="E330">
        <v>10</v>
      </c>
      <c r="F330">
        <v>10.7</v>
      </c>
      <c r="G330" t="s">
        <v>76</v>
      </c>
      <c r="H330" t="s">
        <v>30</v>
      </c>
      <c r="I330" s="1">
        <v>46034.285416666666</v>
      </c>
      <c r="J330" s="1">
        <v>46034.292361111111</v>
      </c>
      <c r="K330" s="1">
        <v>46034.347916666666</v>
      </c>
      <c r="L330" s="1">
        <v>46034.352083333331</v>
      </c>
      <c r="M330" s="1">
        <v>46034.375694444447</v>
      </c>
      <c r="N330" s="1">
        <v>46034.387499999997</v>
      </c>
      <c r="O330">
        <v>3</v>
      </c>
      <c r="P330" t="s">
        <v>37</v>
      </c>
      <c r="Q330" t="s">
        <v>69</v>
      </c>
      <c r="R330" t="s">
        <v>251</v>
      </c>
      <c r="S330" t="s">
        <v>71</v>
      </c>
      <c r="T330">
        <v>2000</v>
      </c>
      <c r="U330" t="s">
        <v>35</v>
      </c>
      <c r="V330" t="s">
        <v>36</v>
      </c>
      <c r="W330">
        <v>1</v>
      </c>
      <c r="X330" t="s">
        <v>37</v>
      </c>
      <c r="Y330">
        <v>4</v>
      </c>
      <c r="Z330" t="s">
        <v>117</v>
      </c>
    </row>
    <row r="331" spans="1:26" hidden="1" x14ac:dyDescent="0.2">
      <c r="A331" t="s">
        <v>793</v>
      </c>
      <c r="B331" t="s">
        <v>794</v>
      </c>
      <c r="C331" s="1">
        <v>46079</v>
      </c>
      <c r="D331" t="s">
        <v>233</v>
      </c>
      <c r="E331">
        <v>7</v>
      </c>
      <c r="F331">
        <v>5.5</v>
      </c>
      <c r="G331" t="s">
        <v>81</v>
      </c>
      <c r="H331" t="s">
        <v>95</v>
      </c>
      <c r="I331" s="1">
        <v>46079.336805555555</v>
      </c>
      <c r="J331" s="1">
        <v>46079.348611111112</v>
      </c>
      <c r="K331" s="1">
        <v>46079.361111111109</v>
      </c>
      <c r="L331" s="1">
        <v>46079.370833333334</v>
      </c>
      <c r="M331" s="1">
        <v>46079.399305555555</v>
      </c>
      <c r="N331" s="1">
        <v>46079.426388888889</v>
      </c>
      <c r="O331">
        <v>7</v>
      </c>
      <c r="P331" t="s">
        <v>37</v>
      </c>
      <c r="Q331" t="s">
        <v>82</v>
      </c>
      <c r="R331" t="s">
        <v>83</v>
      </c>
      <c r="S331" t="s">
        <v>84</v>
      </c>
      <c r="T331">
        <v>4000</v>
      </c>
      <c r="U331" t="s">
        <v>91</v>
      </c>
      <c r="V331" t="s">
        <v>36</v>
      </c>
      <c r="W331">
        <v>1</v>
      </c>
      <c r="X331" t="s">
        <v>37</v>
      </c>
      <c r="Y331">
        <v>4</v>
      </c>
      <c r="Z331" t="s">
        <v>99</v>
      </c>
    </row>
    <row r="332" spans="1:26" hidden="1" x14ac:dyDescent="0.2">
      <c r="A332" t="s">
        <v>795</v>
      </c>
      <c r="B332" t="s">
        <v>796</v>
      </c>
      <c r="C332" s="1">
        <v>46074</v>
      </c>
      <c r="D332" t="s">
        <v>28</v>
      </c>
      <c r="E332">
        <v>38</v>
      </c>
      <c r="F332">
        <v>7.7</v>
      </c>
      <c r="G332" t="s">
        <v>81</v>
      </c>
      <c r="H332" t="s">
        <v>95</v>
      </c>
      <c r="I332" s="1">
        <v>46074.381249999999</v>
      </c>
      <c r="J332" s="1">
        <v>46074.397222222222</v>
      </c>
      <c r="K332" s="1">
        <v>46074.424305555556</v>
      </c>
      <c r="L332" s="1">
        <v>46074.429166666669</v>
      </c>
      <c r="M332" s="1">
        <v>46074.4375</v>
      </c>
      <c r="N332" s="1">
        <v>46074.447222222225</v>
      </c>
      <c r="O332">
        <v>4</v>
      </c>
      <c r="P332" t="s">
        <v>37</v>
      </c>
      <c r="Q332" t="s">
        <v>82</v>
      </c>
      <c r="R332" t="s">
        <v>239</v>
      </c>
      <c r="S332" t="s">
        <v>84</v>
      </c>
      <c r="T332">
        <v>4000</v>
      </c>
      <c r="U332" t="s">
        <v>35</v>
      </c>
      <c r="V332" t="s">
        <v>59</v>
      </c>
      <c r="W332">
        <v>1</v>
      </c>
      <c r="X332" t="s">
        <v>85</v>
      </c>
      <c r="Y332">
        <v>5</v>
      </c>
      <c r="Z332" t="s">
        <v>296</v>
      </c>
    </row>
    <row r="333" spans="1:26" hidden="1" x14ac:dyDescent="0.2">
      <c r="A333" t="s">
        <v>797</v>
      </c>
      <c r="B333" t="s">
        <v>798</v>
      </c>
      <c r="C333" s="1">
        <v>46045</v>
      </c>
      <c r="D333" t="s">
        <v>105</v>
      </c>
      <c r="E333">
        <v>11</v>
      </c>
      <c r="F333">
        <v>7.6</v>
      </c>
      <c r="G333" t="s">
        <v>57</v>
      </c>
      <c r="H333" t="s">
        <v>42</v>
      </c>
      <c r="I333" s="1">
        <v>46045.354861111111</v>
      </c>
      <c r="J333" s="1">
        <v>46045.359722222223</v>
      </c>
      <c r="K333" s="1">
        <v>46045.375694444447</v>
      </c>
      <c r="L333" s="1">
        <v>46045.381249999999</v>
      </c>
      <c r="M333" s="1">
        <v>46045.409722222219</v>
      </c>
      <c r="N333" s="1">
        <v>46045.439583333333</v>
      </c>
      <c r="O333">
        <v>7</v>
      </c>
      <c r="P333" t="s">
        <v>37</v>
      </c>
      <c r="Q333" t="s">
        <v>32</v>
      </c>
      <c r="R333" t="s">
        <v>33</v>
      </c>
      <c r="S333" t="s">
        <v>34</v>
      </c>
      <c r="T333">
        <v>5000</v>
      </c>
      <c r="U333" t="s">
        <v>35</v>
      </c>
      <c r="V333" t="s">
        <v>36</v>
      </c>
      <c r="W333">
        <v>1</v>
      </c>
      <c r="X333" t="s">
        <v>37</v>
      </c>
      <c r="Y333">
        <v>4</v>
      </c>
      <c r="Z333" t="s">
        <v>46</v>
      </c>
    </row>
    <row r="334" spans="1:26" hidden="1" x14ac:dyDescent="0.2">
      <c r="A334" t="s">
        <v>799</v>
      </c>
      <c r="B334" t="s">
        <v>800</v>
      </c>
      <c r="C334" s="1">
        <v>46074</v>
      </c>
      <c r="D334" t="s">
        <v>289</v>
      </c>
      <c r="E334">
        <v>25</v>
      </c>
      <c r="F334">
        <v>10.7</v>
      </c>
      <c r="G334" t="s">
        <v>57</v>
      </c>
      <c r="H334" t="s">
        <v>42</v>
      </c>
      <c r="I334" s="1">
        <v>46074.257638888892</v>
      </c>
      <c r="J334" s="1">
        <v>46074.273611111108</v>
      </c>
      <c r="K334" s="1">
        <v>46074.29583333333</v>
      </c>
      <c r="L334" s="1">
        <v>46074.306250000001</v>
      </c>
      <c r="M334" s="1">
        <v>46074.315972222219</v>
      </c>
      <c r="N334" s="1">
        <v>46074.324305555558</v>
      </c>
      <c r="O334">
        <v>3</v>
      </c>
      <c r="P334" t="s">
        <v>115</v>
      </c>
      <c r="Q334" t="s">
        <v>32</v>
      </c>
      <c r="R334" t="s">
        <v>278</v>
      </c>
      <c r="S334" t="s">
        <v>34</v>
      </c>
      <c r="T334">
        <v>5000</v>
      </c>
      <c r="U334" t="s">
        <v>35</v>
      </c>
      <c r="V334" t="s">
        <v>36</v>
      </c>
      <c r="W334">
        <v>1</v>
      </c>
      <c r="X334" t="s">
        <v>37</v>
      </c>
      <c r="Y334">
        <v>3</v>
      </c>
      <c r="Z334" t="s">
        <v>54</v>
      </c>
    </row>
    <row r="335" spans="1:26" hidden="1" x14ac:dyDescent="0.2">
      <c r="A335" t="s">
        <v>801</v>
      </c>
      <c r="B335" t="s">
        <v>802</v>
      </c>
      <c r="C335" s="1">
        <v>46028</v>
      </c>
      <c r="D335" t="s">
        <v>123</v>
      </c>
      <c r="E335">
        <v>15</v>
      </c>
      <c r="F335">
        <v>4.0999999999999996</v>
      </c>
      <c r="G335" t="s">
        <v>50</v>
      </c>
      <c r="H335" t="s">
        <v>51</v>
      </c>
      <c r="I335" s="1">
        <v>46028.250694444447</v>
      </c>
      <c r="J335" s="1">
        <v>46028.254166666666</v>
      </c>
      <c r="K335" s="1">
        <v>46028.276388888888</v>
      </c>
      <c r="L335" s="1">
        <v>46028.28125</v>
      </c>
      <c r="M335" s="1">
        <v>46028.319444444445</v>
      </c>
      <c r="N335" s="1">
        <v>46028.348611111112</v>
      </c>
      <c r="O335">
        <v>3</v>
      </c>
      <c r="P335" t="s">
        <v>37</v>
      </c>
      <c r="Q335" t="s">
        <v>32</v>
      </c>
      <c r="R335" t="s">
        <v>140</v>
      </c>
      <c r="S335" t="s">
        <v>34</v>
      </c>
      <c r="T335">
        <v>5000</v>
      </c>
      <c r="U335" t="s">
        <v>35</v>
      </c>
      <c r="V335" t="s">
        <v>36</v>
      </c>
      <c r="W335">
        <v>1</v>
      </c>
      <c r="X335" t="s">
        <v>37</v>
      </c>
      <c r="Y335">
        <v>5</v>
      </c>
      <c r="Z335" t="s">
        <v>54</v>
      </c>
    </row>
    <row r="336" spans="1:26" hidden="1" x14ac:dyDescent="0.2">
      <c r="A336" t="s">
        <v>803</v>
      </c>
      <c r="B336" t="s">
        <v>804</v>
      </c>
      <c r="C336" s="1">
        <v>46104</v>
      </c>
      <c r="D336" t="s">
        <v>49</v>
      </c>
      <c r="E336">
        <v>31</v>
      </c>
      <c r="F336">
        <v>5.9</v>
      </c>
      <c r="G336" t="s">
        <v>57</v>
      </c>
      <c r="H336" t="s">
        <v>65</v>
      </c>
      <c r="I336" s="1">
        <v>46104.372916666667</v>
      </c>
      <c r="J336" s="1">
        <v>46104.377083333333</v>
      </c>
      <c r="K336" s="1">
        <v>46104.436805555553</v>
      </c>
      <c r="L336" s="1">
        <v>46104.443749999999</v>
      </c>
      <c r="M336" s="1">
        <v>46104.481944444444</v>
      </c>
      <c r="N336" s="1">
        <v>46104.506944444445</v>
      </c>
      <c r="O336">
        <v>5</v>
      </c>
      <c r="P336" t="s">
        <v>37</v>
      </c>
      <c r="Q336" t="s">
        <v>69</v>
      </c>
      <c r="R336" t="s">
        <v>70</v>
      </c>
      <c r="S336" t="s">
        <v>71</v>
      </c>
      <c r="T336">
        <v>2000</v>
      </c>
      <c r="U336" t="s">
        <v>35</v>
      </c>
      <c r="V336" t="s">
        <v>36</v>
      </c>
      <c r="W336">
        <v>1</v>
      </c>
      <c r="X336" t="s">
        <v>37</v>
      </c>
      <c r="Y336">
        <v>4</v>
      </c>
      <c r="Z336" t="s">
        <v>102</v>
      </c>
    </row>
    <row r="337" spans="1:26" hidden="1" x14ac:dyDescent="0.2">
      <c r="A337" t="s">
        <v>805</v>
      </c>
      <c r="B337" t="s">
        <v>806</v>
      </c>
      <c r="C337" s="1">
        <v>46053</v>
      </c>
      <c r="D337" t="s">
        <v>267</v>
      </c>
      <c r="E337">
        <v>28</v>
      </c>
      <c r="F337">
        <v>10.9</v>
      </c>
      <c r="G337" t="s">
        <v>81</v>
      </c>
      <c r="H337" t="s">
        <v>65</v>
      </c>
      <c r="I337" s="1">
        <v>46053.288888888892</v>
      </c>
      <c r="J337" s="1">
        <v>46053.302083333336</v>
      </c>
      <c r="K337" s="1">
        <v>46053.364583333336</v>
      </c>
      <c r="L337" s="1">
        <v>46053.37222222222</v>
      </c>
      <c r="M337" s="1">
        <v>46053.390972222223</v>
      </c>
      <c r="N337" s="1">
        <v>46053.396527777775</v>
      </c>
      <c r="O337">
        <v>2</v>
      </c>
      <c r="P337" t="s">
        <v>106</v>
      </c>
      <c r="Q337" t="s">
        <v>32</v>
      </c>
      <c r="R337" t="s">
        <v>77</v>
      </c>
      <c r="S337" t="s">
        <v>34</v>
      </c>
      <c r="T337">
        <v>5000</v>
      </c>
      <c r="U337" t="s">
        <v>35</v>
      </c>
      <c r="V337" t="s">
        <v>59</v>
      </c>
      <c r="W337">
        <v>4</v>
      </c>
      <c r="X337" t="s">
        <v>193</v>
      </c>
      <c r="Y337">
        <v>3</v>
      </c>
      <c r="Z337" t="s">
        <v>134</v>
      </c>
    </row>
    <row r="338" spans="1:26" hidden="1" x14ac:dyDescent="0.2">
      <c r="A338" t="s">
        <v>807</v>
      </c>
      <c r="B338" t="s">
        <v>808</v>
      </c>
      <c r="C338" s="1">
        <v>46029</v>
      </c>
      <c r="D338" t="s">
        <v>105</v>
      </c>
      <c r="E338">
        <v>18</v>
      </c>
      <c r="F338">
        <v>7.5</v>
      </c>
      <c r="G338" t="s">
        <v>76</v>
      </c>
      <c r="H338" t="s">
        <v>65</v>
      </c>
      <c r="I338" s="1">
        <v>46029.393055555556</v>
      </c>
      <c r="J338" s="1">
        <v>46029.413194444445</v>
      </c>
      <c r="K338" s="1">
        <v>46029.460416666669</v>
      </c>
      <c r="L338" s="1">
        <v>46029.464583333334</v>
      </c>
      <c r="M338" s="1">
        <v>46029.475694444445</v>
      </c>
      <c r="N338" s="1">
        <v>46029.481249999997</v>
      </c>
      <c r="O338">
        <v>5</v>
      </c>
      <c r="P338" t="s">
        <v>238</v>
      </c>
      <c r="Q338" t="s">
        <v>96</v>
      </c>
      <c r="R338" t="s">
        <v>214</v>
      </c>
      <c r="S338" t="s">
        <v>98</v>
      </c>
      <c r="T338">
        <v>3000</v>
      </c>
      <c r="U338" t="s">
        <v>35</v>
      </c>
      <c r="V338" t="s">
        <v>36</v>
      </c>
      <c r="W338">
        <v>1</v>
      </c>
      <c r="X338" t="s">
        <v>37</v>
      </c>
      <c r="Y338">
        <v>5</v>
      </c>
      <c r="Z338" t="s">
        <v>38</v>
      </c>
    </row>
    <row r="339" spans="1:26" hidden="1" x14ac:dyDescent="0.2">
      <c r="A339" t="s">
        <v>809</v>
      </c>
      <c r="B339" t="s">
        <v>810</v>
      </c>
      <c r="C339" s="1">
        <v>46098</v>
      </c>
      <c r="D339" t="s">
        <v>254</v>
      </c>
      <c r="E339">
        <v>17</v>
      </c>
      <c r="F339">
        <v>10</v>
      </c>
      <c r="G339" t="s">
        <v>76</v>
      </c>
      <c r="H339" t="s">
        <v>95</v>
      </c>
      <c r="I339" s="1">
        <v>46098.388194444444</v>
      </c>
      <c r="J339" s="1">
        <v>46098.393750000003</v>
      </c>
      <c r="K339" s="1">
        <v>46098.429166666669</v>
      </c>
      <c r="L339" s="1">
        <v>46098.4375</v>
      </c>
      <c r="M339" s="1">
        <v>46098.448611111111</v>
      </c>
      <c r="N339" s="1">
        <v>46098.462500000001</v>
      </c>
      <c r="O339">
        <v>6</v>
      </c>
      <c r="P339" t="s">
        <v>37</v>
      </c>
      <c r="Q339" t="s">
        <v>96</v>
      </c>
      <c r="R339" t="s">
        <v>97</v>
      </c>
      <c r="S339" t="s">
        <v>98</v>
      </c>
      <c r="T339">
        <v>3000</v>
      </c>
      <c r="U339" t="s">
        <v>35</v>
      </c>
      <c r="V339" t="s">
        <v>59</v>
      </c>
      <c r="W339">
        <v>1</v>
      </c>
      <c r="X339" t="s">
        <v>193</v>
      </c>
      <c r="Y339">
        <v>4</v>
      </c>
      <c r="Z339" t="s">
        <v>102</v>
      </c>
    </row>
    <row r="340" spans="1:26" x14ac:dyDescent="0.2">
      <c r="A340" t="s">
        <v>811</v>
      </c>
      <c r="B340" t="s">
        <v>812</v>
      </c>
      <c r="C340" s="1">
        <v>46041</v>
      </c>
      <c r="D340" t="s">
        <v>267</v>
      </c>
      <c r="E340">
        <v>16</v>
      </c>
      <c r="F340">
        <v>7.1</v>
      </c>
      <c r="G340" t="s">
        <v>57</v>
      </c>
      <c r="H340" t="s">
        <v>157</v>
      </c>
      <c r="I340" s="1">
        <v>46041.37777777778</v>
      </c>
      <c r="J340" s="1">
        <v>46041.385416666664</v>
      </c>
      <c r="K340" s="1">
        <v>46041.447916666664</v>
      </c>
      <c r="L340" s="1">
        <v>46041.459027777775</v>
      </c>
      <c r="M340" s="1">
        <v>46041.477777777778</v>
      </c>
      <c r="N340" s="1">
        <v>46041.489583333336</v>
      </c>
      <c r="O340">
        <v>3</v>
      </c>
      <c r="P340" t="s">
        <v>52</v>
      </c>
      <c r="Q340" t="s">
        <v>69</v>
      </c>
      <c r="R340" t="s">
        <v>70</v>
      </c>
      <c r="S340" t="s">
        <v>71</v>
      </c>
      <c r="T340">
        <v>2000</v>
      </c>
      <c r="U340" t="s">
        <v>35</v>
      </c>
      <c r="V340" t="s">
        <v>36</v>
      </c>
      <c r="W340">
        <v>1</v>
      </c>
      <c r="X340" t="s">
        <v>37</v>
      </c>
      <c r="Y340">
        <v>2</v>
      </c>
      <c r="Z340" t="s">
        <v>72</v>
      </c>
    </row>
    <row r="341" spans="1:26" hidden="1" x14ac:dyDescent="0.2">
      <c r="A341" t="s">
        <v>813</v>
      </c>
      <c r="B341" t="s">
        <v>814</v>
      </c>
      <c r="C341" s="1">
        <v>46076</v>
      </c>
      <c r="D341" t="s">
        <v>126</v>
      </c>
      <c r="E341">
        <v>23</v>
      </c>
      <c r="F341">
        <v>8.8000000000000007</v>
      </c>
      <c r="G341" t="s">
        <v>81</v>
      </c>
      <c r="H341" t="s">
        <v>95</v>
      </c>
      <c r="I341" s="1">
        <v>46076.352083333331</v>
      </c>
      <c r="J341" s="1">
        <v>46076.367361111108</v>
      </c>
      <c r="K341" s="1">
        <v>46076.394444444442</v>
      </c>
      <c r="L341" s="1">
        <v>46076.399305555555</v>
      </c>
      <c r="M341" s="1">
        <v>46076.424305555556</v>
      </c>
      <c r="N341" s="1">
        <v>46076.450694444444</v>
      </c>
      <c r="O341">
        <v>4</v>
      </c>
      <c r="P341" t="s">
        <v>37</v>
      </c>
      <c r="Q341" t="s">
        <v>96</v>
      </c>
      <c r="R341" t="s">
        <v>164</v>
      </c>
      <c r="S341" t="s">
        <v>98</v>
      </c>
      <c r="T341">
        <v>3000</v>
      </c>
      <c r="U341" t="s">
        <v>35</v>
      </c>
      <c r="V341" t="s">
        <v>36</v>
      </c>
      <c r="W341">
        <v>1</v>
      </c>
      <c r="X341" t="s">
        <v>37</v>
      </c>
      <c r="Y341">
        <v>4</v>
      </c>
      <c r="Z341" t="s">
        <v>102</v>
      </c>
    </row>
    <row r="342" spans="1:26" hidden="1" x14ac:dyDescent="0.2">
      <c r="A342" t="s">
        <v>815</v>
      </c>
      <c r="B342" t="s">
        <v>816</v>
      </c>
      <c r="C342" s="1">
        <v>46054</v>
      </c>
      <c r="D342" t="s">
        <v>41</v>
      </c>
      <c r="E342">
        <v>19</v>
      </c>
      <c r="F342">
        <v>11.1</v>
      </c>
      <c r="G342" t="s">
        <v>81</v>
      </c>
      <c r="H342" t="s">
        <v>95</v>
      </c>
      <c r="I342" s="1">
        <v>46054.411805555559</v>
      </c>
      <c r="J342" s="1">
        <v>46054.427777777775</v>
      </c>
      <c r="K342" s="1">
        <v>46054.43472222222</v>
      </c>
      <c r="L342" s="1">
        <v>46054.447222222225</v>
      </c>
      <c r="M342" s="1">
        <v>46054.455555555556</v>
      </c>
      <c r="N342" s="1">
        <v>46054.460416666669</v>
      </c>
      <c r="O342">
        <v>4</v>
      </c>
      <c r="P342" t="s">
        <v>37</v>
      </c>
      <c r="Q342" t="s">
        <v>96</v>
      </c>
      <c r="R342" t="s">
        <v>97</v>
      </c>
      <c r="S342" t="s">
        <v>98</v>
      </c>
      <c r="T342">
        <v>3000</v>
      </c>
      <c r="U342" t="s">
        <v>35</v>
      </c>
      <c r="V342" t="s">
        <v>36</v>
      </c>
      <c r="W342">
        <v>1</v>
      </c>
      <c r="X342" t="s">
        <v>37</v>
      </c>
      <c r="Y342">
        <v>4</v>
      </c>
      <c r="Z342" t="s">
        <v>61</v>
      </c>
    </row>
    <row r="343" spans="1:26" hidden="1" x14ac:dyDescent="0.2">
      <c r="A343" t="s">
        <v>817</v>
      </c>
      <c r="B343" t="s">
        <v>818</v>
      </c>
      <c r="C343" s="1">
        <v>46080</v>
      </c>
      <c r="D343" t="s">
        <v>186</v>
      </c>
      <c r="E343">
        <v>40</v>
      </c>
      <c r="F343">
        <v>10</v>
      </c>
      <c r="G343" t="s">
        <v>50</v>
      </c>
      <c r="H343" t="s">
        <v>95</v>
      </c>
      <c r="I343" s="1">
        <v>46080.272916666669</v>
      </c>
      <c r="J343" s="1">
        <v>46080.28402777778</v>
      </c>
      <c r="K343" s="1">
        <v>46080.316666666666</v>
      </c>
      <c r="L343" s="1">
        <v>46080.324999999997</v>
      </c>
      <c r="M343" s="1">
        <v>46080.36041666667</v>
      </c>
      <c r="N343" s="1">
        <v>46080.367361111108</v>
      </c>
      <c r="O343">
        <v>1</v>
      </c>
      <c r="P343" t="s">
        <v>37</v>
      </c>
      <c r="Q343" t="s">
        <v>82</v>
      </c>
      <c r="R343" t="s">
        <v>286</v>
      </c>
      <c r="S343" t="s">
        <v>84</v>
      </c>
      <c r="T343">
        <v>4000</v>
      </c>
      <c r="U343" t="s">
        <v>35</v>
      </c>
      <c r="V343" t="s">
        <v>36</v>
      </c>
      <c r="W343">
        <v>1</v>
      </c>
      <c r="X343" t="s">
        <v>37</v>
      </c>
      <c r="Y343">
        <v>5</v>
      </c>
      <c r="Z343" t="s">
        <v>38</v>
      </c>
    </row>
    <row r="344" spans="1:26" hidden="1" x14ac:dyDescent="0.2">
      <c r="A344" t="s">
        <v>819</v>
      </c>
      <c r="B344" t="s">
        <v>820</v>
      </c>
      <c r="C344" s="1">
        <v>46026</v>
      </c>
      <c r="D344" t="s">
        <v>225</v>
      </c>
      <c r="E344">
        <v>30</v>
      </c>
      <c r="F344">
        <v>5.5</v>
      </c>
      <c r="G344" t="s">
        <v>76</v>
      </c>
      <c r="H344" t="s">
        <v>30</v>
      </c>
      <c r="I344" s="1">
        <v>46026.331944444442</v>
      </c>
      <c r="J344" s="1">
        <v>46026.350694444445</v>
      </c>
      <c r="K344" s="1">
        <v>46026.357638888891</v>
      </c>
      <c r="L344" s="1">
        <v>46026.362500000003</v>
      </c>
      <c r="M344" s="1">
        <v>46026.386111111111</v>
      </c>
      <c r="N344" s="1">
        <v>46026.404166666667</v>
      </c>
      <c r="O344">
        <v>5</v>
      </c>
      <c r="P344" t="s">
        <v>115</v>
      </c>
      <c r="Q344" t="s">
        <v>43</v>
      </c>
      <c r="R344" t="s">
        <v>158</v>
      </c>
      <c r="S344" t="s">
        <v>45</v>
      </c>
      <c r="T344">
        <v>2500</v>
      </c>
      <c r="U344" t="s">
        <v>35</v>
      </c>
      <c r="V344" t="s">
        <v>36</v>
      </c>
      <c r="W344">
        <v>1</v>
      </c>
      <c r="X344" t="s">
        <v>37</v>
      </c>
      <c r="Y344">
        <v>4</v>
      </c>
      <c r="Z344" t="s">
        <v>215</v>
      </c>
    </row>
    <row r="345" spans="1:26" hidden="1" x14ac:dyDescent="0.2">
      <c r="A345" t="s">
        <v>821</v>
      </c>
      <c r="B345" t="s">
        <v>822</v>
      </c>
      <c r="C345" s="1">
        <v>46110</v>
      </c>
      <c r="D345" t="s">
        <v>89</v>
      </c>
      <c r="E345">
        <v>8</v>
      </c>
      <c r="F345">
        <v>8.1</v>
      </c>
      <c r="G345" t="s">
        <v>76</v>
      </c>
      <c r="H345" t="s">
        <v>51</v>
      </c>
      <c r="I345" s="1">
        <v>46110.269444444442</v>
      </c>
      <c r="J345" s="1">
        <v>46110.28125</v>
      </c>
      <c r="K345" s="1">
        <v>46110.320138888892</v>
      </c>
      <c r="L345" s="1">
        <v>46110.333333333336</v>
      </c>
      <c r="M345" s="1">
        <v>46110.367361111108</v>
      </c>
      <c r="N345" s="1">
        <v>46110.37222222222</v>
      </c>
      <c r="O345">
        <v>3</v>
      </c>
      <c r="P345" t="s">
        <v>37</v>
      </c>
      <c r="Q345" t="s">
        <v>69</v>
      </c>
      <c r="R345" t="s">
        <v>251</v>
      </c>
      <c r="S345" t="s">
        <v>71</v>
      </c>
      <c r="T345">
        <v>2000</v>
      </c>
      <c r="U345" t="s">
        <v>35</v>
      </c>
      <c r="V345" t="s">
        <v>36</v>
      </c>
      <c r="W345">
        <v>1</v>
      </c>
      <c r="X345" t="s">
        <v>37</v>
      </c>
      <c r="Y345">
        <v>4</v>
      </c>
      <c r="Z345" t="s">
        <v>61</v>
      </c>
    </row>
    <row r="346" spans="1:26" hidden="1" x14ac:dyDescent="0.2">
      <c r="A346" t="s">
        <v>823</v>
      </c>
      <c r="B346" t="s">
        <v>824</v>
      </c>
      <c r="C346" s="1">
        <v>46040</v>
      </c>
      <c r="D346" t="s">
        <v>289</v>
      </c>
      <c r="E346">
        <v>12</v>
      </c>
      <c r="F346">
        <v>9.1999999999999993</v>
      </c>
      <c r="G346" t="s">
        <v>81</v>
      </c>
      <c r="H346" t="s">
        <v>42</v>
      </c>
      <c r="I346" s="1">
        <v>46040.374305555553</v>
      </c>
      <c r="J346" s="1">
        <v>46040.381944444445</v>
      </c>
      <c r="K346" s="1">
        <v>46040.408333333333</v>
      </c>
      <c r="L346" s="1">
        <v>46040.418749999997</v>
      </c>
      <c r="M346" s="1">
        <v>46040.440972222219</v>
      </c>
      <c r="N346" s="1">
        <v>46040.456250000003</v>
      </c>
      <c r="O346">
        <v>5</v>
      </c>
      <c r="P346" t="s">
        <v>37</v>
      </c>
      <c r="Q346" t="s">
        <v>82</v>
      </c>
      <c r="R346" t="s">
        <v>77</v>
      </c>
      <c r="S346" t="s">
        <v>84</v>
      </c>
      <c r="T346">
        <v>4000</v>
      </c>
      <c r="U346" t="s">
        <v>35</v>
      </c>
      <c r="V346" t="s">
        <v>36</v>
      </c>
      <c r="W346">
        <v>1</v>
      </c>
      <c r="X346" t="s">
        <v>37</v>
      </c>
      <c r="Y346">
        <v>4</v>
      </c>
      <c r="Z346" t="s">
        <v>72</v>
      </c>
    </row>
    <row r="347" spans="1:26" hidden="1" x14ac:dyDescent="0.2">
      <c r="A347" t="s">
        <v>825</v>
      </c>
      <c r="B347" t="s">
        <v>826</v>
      </c>
      <c r="C347" s="1">
        <v>46090</v>
      </c>
      <c r="D347" t="s">
        <v>64</v>
      </c>
      <c r="E347">
        <v>39</v>
      </c>
      <c r="F347">
        <v>9.4</v>
      </c>
      <c r="G347" t="s">
        <v>81</v>
      </c>
      <c r="H347" t="s">
        <v>167</v>
      </c>
      <c r="I347" s="1">
        <v>46090.329861111109</v>
      </c>
      <c r="J347" s="1">
        <v>46090.34652777778</v>
      </c>
      <c r="K347" s="1">
        <v>46090.386111111111</v>
      </c>
      <c r="L347" s="1">
        <v>46090.390972222223</v>
      </c>
      <c r="M347" s="1">
        <v>46090.40625</v>
      </c>
      <c r="N347" s="1">
        <v>46090.429861111108</v>
      </c>
      <c r="O347">
        <v>1</v>
      </c>
      <c r="P347" t="s">
        <v>106</v>
      </c>
      <c r="Q347" t="s">
        <v>32</v>
      </c>
      <c r="R347" t="s">
        <v>53</v>
      </c>
      <c r="S347" t="s">
        <v>34</v>
      </c>
      <c r="T347">
        <v>5000</v>
      </c>
      <c r="U347" t="s">
        <v>35</v>
      </c>
      <c r="V347" t="s">
        <v>59</v>
      </c>
      <c r="W347">
        <v>1</v>
      </c>
      <c r="X347" t="s">
        <v>85</v>
      </c>
      <c r="Y347">
        <v>3</v>
      </c>
      <c r="Z347" t="s">
        <v>38</v>
      </c>
    </row>
    <row r="348" spans="1:26" hidden="1" x14ac:dyDescent="0.2">
      <c r="A348" t="s">
        <v>827</v>
      </c>
      <c r="B348" t="s">
        <v>828</v>
      </c>
      <c r="C348" s="1">
        <v>46086</v>
      </c>
      <c r="D348" t="s">
        <v>123</v>
      </c>
      <c r="E348">
        <v>6</v>
      </c>
      <c r="F348">
        <v>6.3</v>
      </c>
      <c r="G348" t="s">
        <v>81</v>
      </c>
      <c r="H348" t="s">
        <v>95</v>
      </c>
      <c r="I348" s="1">
        <v>46086.334027777775</v>
      </c>
      <c r="J348" s="1">
        <v>46086.345138888886</v>
      </c>
      <c r="K348" s="1">
        <v>46086.388888888891</v>
      </c>
      <c r="L348" s="1">
        <v>46086.402083333334</v>
      </c>
      <c r="M348" s="1">
        <v>46086.441666666666</v>
      </c>
      <c r="N348" s="1">
        <v>46086.445833333331</v>
      </c>
      <c r="O348">
        <v>3</v>
      </c>
      <c r="P348" t="s">
        <v>238</v>
      </c>
      <c r="Q348" t="s">
        <v>82</v>
      </c>
      <c r="R348" t="s">
        <v>77</v>
      </c>
      <c r="S348" t="s">
        <v>84</v>
      </c>
      <c r="T348">
        <v>4000</v>
      </c>
      <c r="U348" t="s">
        <v>35</v>
      </c>
      <c r="V348" t="s">
        <v>36</v>
      </c>
      <c r="W348">
        <v>1</v>
      </c>
      <c r="X348" t="s">
        <v>37</v>
      </c>
      <c r="Y348">
        <v>5</v>
      </c>
      <c r="Z348" t="s">
        <v>134</v>
      </c>
    </row>
    <row r="349" spans="1:26" hidden="1" x14ac:dyDescent="0.2">
      <c r="A349" t="s">
        <v>829</v>
      </c>
      <c r="B349" t="s">
        <v>830</v>
      </c>
      <c r="C349" s="1">
        <v>46075</v>
      </c>
      <c r="D349" t="s">
        <v>254</v>
      </c>
      <c r="E349">
        <v>36</v>
      </c>
      <c r="F349">
        <v>8.6999999999999993</v>
      </c>
      <c r="G349" t="s">
        <v>81</v>
      </c>
      <c r="H349" t="s">
        <v>42</v>
      </c>
      <c r="I349" s="1">
        <v>46075.347222222219</v>
      </c>
      <c r="J349" s="1">
        <v>46075.36041666667</v>
      </c>
      <c r="K349" s="1">
        <v>46075.407638888886</v>
      </c>
      <c r="L349" s="1">
        <v>46075.417361111111</v>
      </c>
      <c r="M349" s="1">
        <v>46075.449305555558</v>
      </c>
      <c r="N349" s="1">
        <v>46075.458333333336</v>
      </c>
      <c r="O349">
        <v>7</v>
      </c>
      <c r="P349" t="s">
        <v>37</v>
      </c>
      <c r="Q349" t="s">
        <v>96</v>
      </c>
      <c r="R349" t="s">
        <v>214</v>
      </c>
      <c r="S349" t="s">
        <v>98</v>
      </c>
      <c r="T349">
        <v>3000</v>
      </c>
      <c r="U349" t="s">
        <v>35</v>
      </c>
      <c r="V349" t="s">
        <v>36</v>
      </c>
      <c r="W349">
        <v>1</v>
      </c>
      <c r="X349" t="s">
        <v>37</v>
      </c>
      <c r="Y349">
        <v>4</v>
      </c>
      <c r="Z349" t="s">
        <v>161</v>
      </c>
    </row>
    <row r="350" spans="1:26" hidden="1" x14ac:dyDescent="0.2">
      <c r="A350" t="s">
        <v>831</v>
      </c>
      <c r="B350" t="s">
        <v>832</v>
      </c>
      <c r="C350" s="1">
        <v>46041</v>
      </c>
      <c r="D350" t="s">
        <v>242</v>
      </c>
      <c r="E350">
        <v>15</v>
      </c>
      <c r="F350">
        <v>8.9</v>
      </c>
      <c r="G350" t="s">
        <v>57</v>
      </c>
      <c r="H350" t="s">
        <v>30</v>
      </c>
      <c r="I350" s="1">
        <v>46041.345138888886</v>
      </c>
      <c r="J350" s="1">
        <v>46041.354861111111</v>
      </c>
      <c r="K350" s="1">
        <v>46041.37777777778</v>
      </c>
      <c r="L350" s="1">
        <v>46041.384722222225</v>
      </c>
      <c r="M350" s="1">
        <v>46041.42291666667</v>
      </c>
      <c r="N350" s="1">
        <v>46041.432638888888</v>
      </c>
      <c r="O350">
        <v>2</v>
      </c>
      <c r="P350" t="s">
        <v>238</v>
      </c>
      <c r="Q350" t="s">
        <v>96</v>
      </c>
      <c r="R350" t="s">
        <v>97</v>
      </c>
      <c r="S350" t="s">
        <v>98</v>
      </c>
      <c r="T350">
        <v>3000</v>
      </c>
      <c r="U350" t="s">
        <v>91</v>
      </c>
      <c r="V350" t="s">
        <v>36</v>
      </c>
      <c r="W350">
        <v>1</v>
      </c>
      <c r="X350" t="s">
        <v>37</v>
      </c>
      <c r="Y350">
        <v>4</v>
      </c>
      <c r="Z350" t="s">
        <v>99</v>
      </c>
    </row>
    <row r="351" spans="1:26" hidden="1" x14ac:dyDescent="0.2">
      <c r="A351" t="s">
        <v>833</v>
      </c>
      <c r="B351" t="s">
        <v>834</v>
      </c>
      <c r="C351" s="1">
        <v>46049</v>
      </c>
      <c r="D351" t="s">
        <v>75</v>
      </c>
      <c r="E351">
        <v>27</v>
      </c>
      <c r="F351">
        <v>5.2</v>
      </c>
      <c r="G351" t="s">
        <v>50</v>
      </c>
      <c r="H351" t="s">
        <v>65</v>
      </c>
      <c r="I351" s="1">
        <v>46049.27847222222</v>
      </c>
      <c r="J351" s="1">
        <v>46049.293749999997</v>
      </c>
      <c r="K351" s="1">
        <v>46049.32708333333</v>
      </c>
      <c r="L351" s="1">
        <v>46049.332638888889</v>
      </c>
      <c r="M351" s="1">
        <v>46049.340277777781</v>
      </c>
      <c r="N351" s="1">
        <v>46049.361111111109</v>
      </c>
      <c r="O351">
        <v>4</v>
      </c>
      <c r="P351" t="s">
        <v>37</v>
      </c>
      <c r="Q351" t="s">
        <v>32</v>
      </c>
      <c r="R351" t="s">
        <v>66</v>
      </c>
      <c r="S351" t="s">
        <v>34</v>
      </c>
      <c r="T351">
        <v>5000</v>
      </c>
      <c r="U351" t="s">
        <v>91</v>
      </c>
      <c r="V351" t="s">
        <v>59</v>
      </c>
      <c r="W351">
        <v>2</v>
      </c>
      <c r="X351" t="s">
        <v>116</v>
      </c>
      <c r="Y351">
        <v>5</v>
      </c>
      <c r="Z351" t="s">
        <v>131</v>
      </c>
    </row>
    <row r="352" spans="1:26" x14ac:dyDescent="0.2">
      <c r="A352" t="s">
        <v>835</v>
      </c>
      <c r="B352" t="s">
        <v>836</v>
      </c>
      <c r="C352" s="1">
        <v>46065</v>
      </c>
      <c r="D352" t="s">
        <v>105</v>
      </c>
      <c r="E352">
        <v>23</v>
      </c>
      <c r="F352">
        <v>11.8</v>
      </c>
      <c r="G352" t="s">
        <v>81</v>
      </c>
      <c r="H352" t="s">
        <v>30</v>
      </c>
      <c r="I352" s="1">
        <v>46065.275694444441</v>
      </c>
      <c r="J352" s="1">
        <v>46065.296527777777</v>
      </c>
      <c r="K352" s="1">
        <v>46065.353472222225</v>
      </c>
      <c r="L352" s="1">
        <v>46065.366666666669</v>
      </c>
      <c r="M352" s="1">
        <v>46065.388194444444</v>
      </c>
      <c r="N352" s="1">
        <v>46065.396527777775</v>
      </c>
      <c r="O352">
        <v>6</v>
      </c>
      <c r="P352" t="s">
        <v>37</v>
      </c>
      <c r="Q352" t="s">
        <v>96</v>
      </c>
      <c r="R352" t="s">
        <v>97</v>
      </c>
      <c r="S352" t="s">
        <v>98</v>
      </c>
      <c r="T352">
        <v>3000</v>
      </c>
      <c r="U352" t="s">
        <v>35</v>
      </c>
      <c r="V352" t="s">
        <v>36</v>
      </c>
      <c r="W352">
        <v>1</v>
      </c>
      <c r="X352" t="s">
        <v>37</v>
      </c>
      <c r="Y352">
        <v>2</v>
      </c>
      <c r="Z352" t="s">
        <v>102</v>
      </c>
    </row>
    <row r="353" spans="1:26" hidden="1" x14ac:dyDescent="0.2">
      <c r="A353" t="s">
        <v>837</v>
      </c>
      <c r="B353" t="s">
        <v>838</v>
      </c>
      <c r="C353" s="1">
        <v>46102</v>
      </c>
      <c r="D353" t="s">
        <v>64</v>
      </c>
      <c r="E353">
        <v>27</v>
      </c>
      <c r="F353">
        <v>4.7</v>
      </c>
      <c r="G353" t="s">
        <v>29</v>
      </c>
      <c r="H353" t="s">
        <v>65</v>
      </c>
      <c r="I353" s="1">
        <v>46102.363888888889</v>
      </c>
      <c r="J353" s="1">
        <v>46102.371527777781</v>
      </c>
      <c r="K353" s="1">
        <v>46102.429861111108</v>
      </c>
      <c r="L353" s="1">
        <v>46102.438194444447</v>
      </c>
      <c r="M353" s="1">
        <v>46102.479861111111</v>
      </c>
      <c r="N353" s="1">
        <v>46102.495138888888</v>
      </c>
      <c r="O353">
        <v>2</v>
      </c>
      <c r="P353" t="s">
        <v>31</v>
      </c>
      <c r="Q353" t="s">
        <v>82</v>
      </c>
      <c r="R353" t="s">
        <v>214</v>
      </c>
      <c r="S353" t="s">
        <v>84</v>
      </c>
      <c r="T353">
        <v>4000</v>
      </c>
      <c r="U353" t="s">
        <v>35</v>
      </c>
      <c r="V353" t="s">
        <v>36</v>
      </c>
      <c r="W353">
        <v>1</v>
      </c>
      <c r="X353" t="s">
        <v>37</v>
      </c>
      <c r="Y353">
        <v>5</v>
      </c>
      <c r="Z353" t="s">
        <v>131</v>
      </c>
    </row>
    <row r="354" spans="1:26" hidden="1" x14ac:dyDescent="0.2">
      <c r="A354" t="s">
        <v>839</v>
      </c>
      <c r="B354" t="s">
        <v>840</v>
      </c>
      <c r="C354" s="1">
        <v>46047</v>
      </c>
      <c r="D354" t="s">
        <v>186</v>
      </c>
      <c r="E354">
        <v>37</v>
      </c>
      <c r="F354">
        <v>11.5</v>
      </c>
      <c r="G354" t="s">
        <v>76</v>
      </c>
      <c r="H354" t="s">
        <v>157</v>
      </c>
      <c r="I354" s="1">
        <v>46047.275694444441</v>
      </c>
      <c r="J354" s="1">
        <v>46047.294444444444</v>
      </c>
      <c r="K354" s="1">
        <v>46047.338888888888</v>
      </c>
      <c r="L354" s="1">
        <v>46047.35</v>
      </c>
      <c r="M354" s="1">
        <v>46047.373611111114</v>
      </c>
      <c r="N354" s="1">
        <v>46047.393055555556</v>
      </c>
      <c r="O354">
        <v>1</v>
      </c>
      <c r="P354" t="s">
        <v>37</v>
      </c>
      <c r="Q354" t="s">
        <v>96</v>
      </c>
      <c r="R354" t="s">
        <v>130</v>
      </c>
      <c r="S354" t="s">
        <v>98</v>
      </c>
      <c r="T354">
        <v>3000</v>
      </c>
      <c r="U354" t="s">
        <v>35</v>
      </c>
      <c r="V354" t="s">
        <v>59</v>
      </c>
      <c r="W354">
        <v>1</v>
      </c>
      <c r="X354" t="s">
        <v>85</v>
      </c>
      <c r="Y354">
        <v>5</v>
      </c>
      <c r="Z354" t="s">
        <v>72</v>
      </c>
    </row>
    <row r="355" spans="1:26" hidden="1" x14ac:dyDescent="0.2">
      <c r="A355" t="s">
        <v>841</v>
      </c>
      <c r="B355" t="s">
        <v>842</v>
      </c>
      <c r="C355" s="1">
        <v>46079</v>
      </c>
      <c r="D355" t="s">
        <v>149</v>
      </c>
      <c r="E355">
        <v>32</v>
      </c>
      <c r="F355">
        <v>9.8000000000000007</v>
      </c>
      <c r="G355" t="s">
        <v>50</v>
      </c>
      <c r="H355" t="s">
        <v>95</v>
      </c>
      <c r="I355" s="1">
        <v>46079.397916666669</v>
      </c>
      <c r="J355" s="1">
        <v>46079.413888888892</v>
      </c>
      <c r="K355" s="1">
        <v>46079.473611111112</v>
      </c>
      <c r="L355" s="1">
        <v>46079.478472222225</v>
      </c>
      <c r="M355" s="1">
        <v>46079.491666666669</v>
      </c>
      <c r="N355" s="1">
        <v>46079.504166666666</v>
      </c>
      <c r="O355">
        <v>3</v>
      </c>
      <c r="P355" t="s">
        <v>37</v>
      </c>
      <c r="Q355" t="s">
        <v>82</v>
      </c>
      <c r="R355" t="s">
        <v>239</v>
      </c>
      <c r="S355" t="s">
        <v>84</v>
      </c>
      <c r="T355">
        <v>4000</v>
      </c>
      <c r="U355" t="s">
        <v>35</v>
      </c>
      <c r="V355" t="s">
        <v>59</v>
      </c>
      <c r="W355">
        <v>1</v>
      </c>
      <c r="X355" t="s">
        <v>374</v>
      </c>
      <c r="Y355">
        <v>5</v>
      </c>
      <c r="Z355" t="s">
        <v>117</v>
      </c>
    </row>
    <row r="356" spans="1:26" hidden="1" x14ac:dyDescent="0.2">
      <c r="A356" t="s">
        <v>843</v>
      </c>
      <c r="B356" t="s">
        <v>844</v>
      </c>
      <c r="C356" s="1">
        <v>46075</v>
      </c>
      <c r="D356" t="s">
        <v>105</v>
      </c>
      <c r="E356">
        <v>16</v>
      </c>
      <c r="F356">
        <v>8.4</v>
      </c>
      <c r="G356" t="s">
        <v>81</v>
      </c>
      <c r="H356" t="s">
        <v>42</v>
      </c>
      <c r="I356" s="1">
        <v>46075.412499999999</v>
      </c>
      <c r="J356" s="1">
        <v>46075.418749999997</v>
      </c>
      <c r="K356" s="1">
        <v>46075.443055555559</v>
      </c>
      <c r="L356" s="1">
        <v>46075.45</v>
      </c>
      <c r="M356" s="1">
        <v>46075.473611111112</v>
      </c>
      <c r="N356" s="1">
        <v>46075.489583333336</v>
      </c>
      <c r="O356">
        <v>5</v>
      </c>
      <c r="P356" t="s">
        <v>37</v>
      </c>
      <c r="Q356" t="s">
        <v>96</v>
      </c>
      <c r="R356" t="s">
        <v>97</v>
      </c>
      <c r="S356" t="s">
        <v>98</v>
      </c>
      <c r="T356">
        <v>3000</v>
      </c>
      <c r="U356" t="s">
        <v>35</v>
      </c>
      <c r="V356" t="s">
        <v>36</v>
      </c>
      <c r="W356">
        <v>1</v>
      </c>
      <c r="X356" t="s">
        <v>37</v>
      </c>
      <c r="Y356">
        <v>4</v>
      </c>
      <c r="Z356" t="s">
        <v>72</v>
      </c>
    </row>
    <row r="357" spans="1:26" hidden="1" x14ac:dyDescent="0.2">
      <c r="A357" t="s">
        <v>845</v>
      </c>
      <c r="B357" t="s">
        <v>846</v>
      </c>
      <c r="C357" s="1">
        <v>46082</v>
      </c>
      <c r="D357" t="s">
        <v>41</v>
      </c>
      <c r="E357">
        <v>14</v>
      </c>
      <c r="F357">
        <v>6.1</v>
      </c>
      <c r="G357" t="s">
        <v>50</v>
      </c>
      <c r="H357" t="s">
        <v>51</v>
      </c>
      <c r="I357" s="1">
        <v>46082.365972222222</v>
      </c>
      <c r="J357" s="1">
        <v>46082.384027777778</v>
      </c>
      <c r="K357" s="1">
        <v>46082.415972222225</v>
      </c>
      <c r="L357" s="1">
        <v>46082.428472222222</v>
      </c>
      <c r="M357" s="1">
        <v>46082.443055555559</v>
      </c>
      <c r="N357" s="1">
        <v>46082.468055555553</v>
      </c>
      <c r="O357">
        <v>6</v>
      </c>
      <c r="P357" t="s">
        <v>37</v>
      </c>
      <c r="Q357" t="s">
        <v>32</v>
      </c>
      <c r="R357" t="s">
        <v>107</v>
      </c>
      <c r="S357" t="s">
        <v>34</v>
      </c>
      <c r="T357">
        <v>5000</v>
      </c>
      <c r="U357" t="s">
        <v>35</v>
      </c>
      <c r="V357" t="s">
        <v>36</v>
      </c>
      <c r="W357">
        <v>1</v>
      </c>
      <c r="X357" t="s">
        <v>37</v>
      </c>
      <c r="Y357">
        <v>4</v>
      </c>
      <c r="Z357" t="s">
        <v>117</v>
      </c>
    </row>
    <row r="358" spans="1:26" hidden="1" x14ac:dyDescent="0.2">
      <c r="A358" t="s">
        <v>847</v>
      </c>
      <c r="B358" t="s">
        <v>848</v>
      </c>
      <c r="C358" s="1">
        <v>46069</v>
      </c>
      <c r="D358" t="s">
        <v>254</v>
      </c>
      <c r="E358">
        <v>32</v>
      </c>
      <c r="F358">
        <v>10.9</v>
      </c>
      <c r="G358" t="s">
        <v>50</v>
      </c>
      <c r="H358" t="s">
        <v>30</v>
      </c>
      <c r="I358" s="1">
        <v>46069.395138888889</v>
      </c>
      <c r="J358" s="1">
        <v>46069.400694444441</v>
      </c>
      <c r="K358" s="1">
        <v>46069.44027777778</v>
      </c>
      <c r="L358" s="1">
        <v>46069.443749999999</v>
      </c>
      <c r="M358" s="1">
        <v>46069.461805555555</v>
      </c>
      <c r="N358" s="1">
        <v>46069.472222222219</v>
      </c>
      <c r="O358">
        <v>5</v>
      </c>
      <c r="P358" t="s">
        <v>129</v>
      </c>
      <c r="Q358" t="s">
        <v>43</v>
      </c>
      <c r="R358" t="s">
        <v>44</v>
      </c>
      <c r="S358" t="s">
        <v>45</v>
      </c>
      <c r="T358">
        <v>2500</v>
      </c>
      <c r="U358" t="s">
        <v>35</v>
      </c>
      <c r="V358" t="s">
        <v>36</v>
      </c>
      <c r="W358">
        <v>1</v>
      </c>
      <c r="X358" t="s">
        <v>37</v>
      </c>
      <c r="Y358">
        <v>4</v>
      </c>
      <c r="Z358" t="s">
        <v>102</v>
      </c>
    </row>
    <row r="359" spans="1:26" hidden="1" x14ac:dyDescent="0.2">
      <c r="A359" t="s">
        <v>849</v>
      </c>
      <c r="B359" t="s">
        <v>850</v>
      </c>
      <c r="C359" s="1">
        <v>46069</v>
      </c>
      <c r="D359" t="s">
        <v>181</v>
      </c>
      <c r="E359">
        <v>23</v>
      </c>
      <c r="F359">
        <v>6.3</v>
      </c>
      <c r="G359" t="s">
        <v>29</v>
      </c>
      <c r="H359" t="s">
        <v>65</v>
      </c>
      <c r="I359" s="1">
        <v>46069.28402777778</v>
      </c>
      <c r="J359" s="1">
        <v>46069.304166666669</v>
      </c>
      <c r="K359" s="1">
        <v>46069.366666666669</v>
      </c>
      <c r="L359" s="1">
        <v>46069.373611111114</v>
      </c>
      <c r="M359" s="1">
        <v>46069.413888888892</v>
      </c>
      <c r="N359" s="1">
        <v>46069.421527777777</v>
      </c>
      <c r="O359">
        <v>5</v>
      </c>
      <c r="P359" t="s">
        <v>37</v>
      </c>
      <c r="Q359" t="s">
        <v>96</v>
      </c>
      <c r="R359" t="s">
        <v>90</v>
      </c>
      <c r="S359" t="s">
        <v>98</v>
      </c>
      <c r="T359">
        <v>3000</v>
      </c>
      <c r="U359" t="s">
        <v>35</v>
      </c>
      <c r="V359" t="s">
        <v>59</v>
      </c>
      <c r="W359">
        <v>3</v>
      </c>
      <c r="X359" t="s">
        <v>353</v>
      </c>
      <c r="Y359">
        <v>5</v>
      </c>
      <c r="Z359" t="s">
        <v>38</v>
      </c>
    </row>
    <row r="360" spans="1:26" hidden="1" x14ac:dyDescent="0.2">
      <c r="A360" t="s">
        <v>851</v>
      </c>
      <c r="B360" t="s">
        <v>852</v>
      </c>
      <c r="C360" s="1">
        <v>46035</v>
      </c>
      <c r="D360" t="s">
        <v>75</v>
      </c>
      <c r="E360">
        <v>14</v>
      </c>
      <c r="F360">
        <v>4.0999999999999996</v>
      </c>
      <c r="G360" t="s">
        <v>81</v>
      </c>
      <c r="H360" t="s">
        <v>167</v>
      </c>
      <c r="I360" s="1">
        <v>46035.315972222219</v>
      </c>
      <c r="J360" s="1">
        <v>46035.336111111108</v>
      </c>
      <c r="K360" s="1">
        <v>46035.386111111111</v>
      </c>
      <c r="L360" s="1">
        <v>46035.398611111108</v>
      </c>
      <c r="M360" s="1">
        <v>46035.420138888891</v>
      </c>
      <c r="N360" s="1">
        <v>46035.430555555555</v>
      </c>
      <c r="O360">
        <v>1</v>
      </c>
      <c r="P360" t="s">
        <v>31</v>
      </c>
      <c r="Q360" t="s">
        <v>69</v>
      </c>
      <c r="R360" t="s">
        <v>251</v>
      </c>
      <c r="S360" t="s">
        <v>71</v>
      </c>
      <c r="T360">
        <v>2000</v>
      </c>
      <c r="U360" t="s">
        <v>35</v>
      </c>
      <c r="V360" t="s">
        <v>36</v>
      </c>
      <c r="W360">
        <v>1</v>
      </c>
      <c r="X360" t="s">
        <v>37</v>
      </c>
      <c r="Y360">
        <v>5</v>
      </c>
      <c r="Z360" t="s">
        <v>215</v>
      </c>
    </row>
    <row r="361" spans="1:26" hidden="1" x14ac:dyDescent="0.2">
      <c r="A361" t="s">
        <v>853</v>
      </c>
      <c r="B361" t="s">
        <v>854</v>
      </c>
      <c r="C361" s="1">
        <v>46091</v>
      </c>
      <c r="D361" t="s">
        <v>114</v>
      </c>
      <c r="E361">
        <v>31</v>
      </c>
      <c r="F361">
        <v>7.7</v>
      </c>
      <c r="G361" t="s">
        <v>29</v>
      </c>
      <c r="H361" t="s">
        <v>51</v>
      </c>
      <c r="I361" s="1">
        <v>46091.395138888889</v>
      </c>
      <c r="J361" s="1">
        <v>46091.401388888888</v>
      </c>
      <c r="K361" s="1">
        <v>46091.409722222219</v>
      </c>
      <c r="L361" s="1">
        <v>46091.423611111109</v>
      </c>
      <c r="M361" s="1">
        <v>46091.445833333331</v>
      </c>
      <c r="N361" s="1">
        <v>46091.462500000001</v>
      </c>
      <c r="O361">
        <v>6</v>
      </c>
      <c r="P361" t="s">
        <v>37</v>
      </c>
      <c r="Q361" t="s">
        <v>69</v>
      </c>
      <c r="R361" t="s">
        <v>111</v>
      </c>
      <c r="S361" t="s">
        <v>71</v>
      </c>
      <c r="T361">
        <v>2000</v>
      </c>
      <c r="U361" t="s">
        <v>35</v>
      </c>
      <c r="V361" t="s">
        <v>59</v>
      </c>
      <c r="W361">
        <v>3</v>
      </c>
      <c r="X361" t="s">
        <v>85</v>
      </c>
      <c r="Y361">
        <v>5</v>
      </c>
      <c r="Z361" t="s">
        <v>102</v>
      </c>
    </row>
    <row r="362" spans="1:26" hidden="1" x14ac:dyDescent="0.2">
      <c r="A362" t="s">
        <v>855</v>
      </c>
      <c r="B362" t="s">
        <v>856</v>
      </c>
      <c r="C362" s="1">
        <v>46051</v>
      </c>
      <c r="D362" t="s">
        <v>123</v>
      </c>
      <c r="E362">
        <v>19</v>
      </c>
      <c r="F362">
        <v>6.5</v>
      </c>
      <c r="G362" t="s">
        <v>57</v>
      </c>
      <c r="H362" t="s">
        <v>95</v>
      </c>
      <c r="I362" s="1">
        <v>46051.263888888891</v>
      </c>
      <c r="J362" s="1">
        <v>46051.276388888888</v>
      </c>
      <c r="K362" s="1">
        <v>46051.293055555558</v>
      </c>
      <c r="L362" s="1">
        <v>46051.29791666667</v>
      </c>
      <c r="M362" s="1">
        <v>46051.305555555555</v>
      </c>
      <c r="N362" s="1">
        <v>46051.329861111109</v>
      </c>
      <c r="O362">
        <v>7</v>
      </c>
      <c r="P362" t="s">
        <v>37</v>
      </c>
      <c r="Q362" t="s">
        <v>82</v>
      </c>
      <c r="R362" t="s">
        <v>211</v>
      </c>
      <c r="S362" t="s">
        <v>84</v>
      </c>
      <c r="T362">
        <v>4000</v>
      </c>
      <c r="U362" t="s">
        <v>35</v>
      </c>
      <c r="V362" t="s">
        <v>36</v>
      </c>
      <c r="W362">
        <v>1</v>
      </c>
      <c r="X362" t="s">
        <v>37</v>
      </c>
      <c r="Y362">
        <v>5</v>
      </c>
      <c r="Z362" t="s">
        <v>215</v>
      </c>
    </row>
    <row r="363" spans="1:26" hidden="1" x14ac:dyDescent="0.2">
      <c r="A363" t="s">
        <v>857</v>
      </c>
      <c r="B363" t="s">
        <v>858</v>
      </c>
      <c r="C363" s="1">
        <v>46083</v>
      </c>
      <c r="D363" t="s">
        <v>28</v>
      </c>
      <c r="E363">
        <v>9</v>
      </c>
      <c r="F363">
        <v>6.4</v>
      </c>
      <c r="G363" t="s">
        <v>29</v>
      </c>
      <c r="H363" t="s">
        <v>42</v>
      </c>
      <c r="I363" s="1">
        <v>46083.26666666667</v>
      </c>
      <c r="J363" s="1">
        <v>46083.287499999999</v>
      </c>
      <c r="K363" s="1">
        <v>46083.304861111108</v>
      </c>
      <c r="L363" s="1">
        <v>46083.3125</v>
      </c>
      <c r="M363" s="1">
        <v>46083.345138888886</v>
      </c>
      <c r="N363" s="1">
        <v>46083.356944444444</v>
      </c>
      <c r="O363">
        <v>2</v>
      </c>
      <c r="P363" t="s">
        <v>37</v>
      </c>
      <c r="Q363" t="s">
        <v>96</v>
      </c>
      <c r="R363" t="s">
        <v>90</v>
      </c>
      <c r="S363" t="s">
        <v>98</v>
      </c>
      <c r="T363">
        <v>3000</v>
      </c>
      <c r="U363" t="s">
        <v>35</v>
      </c>
      <c r="V363" t="s">
        <v>36</v>
      </c>
      <c r="W363">
        <v>1</v>
      </c>
      <c r="X363" t="s">
        <v>37</v>
      </c>
      <c r="Y363">
        <v>5</v>
      </c>
      <c r="Z363" t="s">
        <v>161</v>
      </c>
    </row>
    <row r="364" spans="1:26" hidden="1" x14ac:dyDescent="0.2">
      <c r="A364" t="s">
        <v>859</v>
      </c>
      <c r="B364" t="s">
        <v>860</v>
      </c>
      <c r="C364" s="1">
        <v>46067</v>
      </c>
      <c r="D364" t="s">
        <v>242</v>
      </c>
      <c r="E364">
        <v>37</v>
      </c>
      <c r="F364">
        <v>10.199999999999999</v>
      </c>
      <c r="G364" t="s">
        <v>81</v>
      </c>
      <c r="H364" t="s">
        <v>95</v>
      </c>
      <c r="I364" s="1">
        <v>46067.339583333334</v>
      </c>
      <c r="J364" s="1">
        <v>46067.355555555558</v>
      </c>
      <c r="K364" s="1">
        <v>46067.368055555555</v>
      </c>
      <c r="L364" s="1">
        <v>46067.373611111114</v>
      </c>
      <c r="M364" s="1">
        <v>46067.40625</v>
      </c>
      <c r="N364" s="1">
        <v>46067.409722222219</v>
      </c>
      <c r="O364">
        <v>5</v>
      </c>
      <c r="P364" t="s">
        <v>106</v>
      </c>
      <c r="Q364" t="s">
        <v>82</v>
      </c>
      <c r="R364" t="s">
        <v>239</v>
      </c>
      <c r="S364" t="s">
        <v>84</v>
      </c>
      <c r="T364">
        <v>4000</v>
      </c>
      <c r="U364" t="s">
        <v>91</v>
      </c>
      <c r="V364" t="s">
        <v>36</v>
      </c>
      <c r="W364">
        <v>1</v>
      </c>
      <c r="X364" t="s">
        <v>37</v>
      </c>
      <c r="Y364">
        <v>5</v>
      </c>
      <c r="Z364" t="s">
        <v>102</v>
      </c>
    </row>
    <row r="365" spans="1:26" hidden="1" x14ac:dyDescent="0.2">
      <c r="A365" t="s">
        <v>861</v>
      </c>
      <c r="B365" t="s">
        <v>862</v>
      </c>
      <c r="C365" s="1">
        <v>46050</v>
      </c>
      <c r="D365" t="s">
        <v>171</v>
      </c>
      <c r="E365">
        <v>28</v>
      </c>
      <c r="F365">
        <v>9.6</v>
      </c>
      <c r="G365" t="s">
        <v>57</v>
      </c>
      <c r="H365" t="s">
        <v>157</v>
      </c>
      <c r="I365" s="1">
        <v>46050.369444444441</v>
      </c>
      <c r="J365" s="1">
        <v>46050.375</v>
      </c>
      <c r="K365" s="1">
        <v>46050.397916666669</v>
      </c>
      <c r="L365" s="1">
        <v>46050.40902777778</v>
      </c>
      <c r="M365" s="1">
        <v>46050.432638888888</v>
      </c>
      <c r="N365" s="1">
        <v>46050.454861111109</v>
      </c>
      <c r="O365">
        <v>2</v>
      </c>
      <c r="P365" t="s">
        <v>37</v>
      </c>
      <c r="Q365" t="s">
        <v>69</v>
      </c>
      <c r="R365" t="s">
        <v>70</v>
      </c>
      <c r="S365" t="s">
        <v>71</v>
      </c>
      <c r="T365">
        <v>2000</v>
      </c>
      <c r="U365" t="s">
        <v>35</v>
      </c>
      <c r="V365" t="s">
        <v>36</v>
      </c>
      <c r="W365">
        <v>1</v>
      </c>
      <c r="X365" t="s">
        <v>37</v>
      </c>
      <c r="Y365">
        <v>4</v>
      </c>
      <c r="Z365" t="s">
        <v>72</v>
      </c>
    </row>
    <row r="366" spans="1:26" hidden="1" x14ac:dyDescent="0.2">
      <c r="A366" t="s">
        <v>863</v>
      </c>
      <c r="B366" t="s">
        <v>864</v>
      </c>
      <c r="C366" s="1">
        <v>46089</v>
      </c>
      <c r="D366" t="s">
        <v>123</v>
      </c>
      <c r="E366">
        <v>23</v>
      </c>
      <c r="F366">
        <v>8.5</v>
      </c>
      <c r="G366" t="s">
        <v>29</v>
      </c>
      <c r="H366" t="s">
        <v>51</v>
      </c>
      <c r="I366" s="1">
        <v>46089.307638888888</v>
      </c>
      <c r="J366" s="1">
        <v>46089.321527777778</v>
      </c>
      <c r="K366" s="1">
        <v>46089.338194444441</v>
      </c>
      <c r="L366" s="1">
        <v>46089.35</v>
      </c>
      <c r="M366" s="1">
        <v>46089.369444444441</v>
      </c>
      <c r="N366" s="1">
        <v>46089.393055555556</v>
      </c>
      <c r="O366">
        <v>5</v>
      </c>
      <c r="P366" t="s">
        <v>37</v>
      </c>
      <c r="Q366" t="s">
        <v>43</v>
      </c>
      <c r="R366" t="s">
        <v>58</v>
      </c>
      <c r="S366" t="s">
        <v>45</v>
      </c>
      <c r="T366">
        <v>2500</v>
      </c>
      <c r="U366" t="s">
        <v>35</v>
      </c>
      <c r="V366" t="s">
        <v>59</v>
      </c>
      <c r="W366">
        <v>2</v>
      </c>
      <c r="X366" t="s">
        <v>374</v>
      </c>
      <c r="Y366">
        <v>4</v>
      </c>
      <c r="Z366" t="s">
        <v>46</v>
      </c>
    </row>
    <row r="367" spans="1:26" hidden="1" x14ac:dyDescent="0.2">
      <c r="A367" t="s">
        <v>865</v>
      </c>
      <c r="B367" t="s">
        <v>866</v>
      </c>
      <c r="C367" s="1">
        <v>46047</v>
      </c>
      <c r="D367" t="s">
        <v>230</v>
      </c>
      <c r="E367">
        <v>28</v>
      </c>
      <c r="F367">
        <v>5.4</v>
      </c>
      <c r="G367" t="s">
        <v>50</v>
      </c>
      <c r="H367" t="s">
        <v>30</v>
      </c>
      <c r="I367" s="1">
        <v>46047.268055555556</v>
      </c>
      <c r="J367" s="1">
        <v>46047.279861111114</v>
      </c>
      <c r="K367" s="1">
        <v>46047.325694444444</v>
      </c>
      <c r="L367" s="1">
        <v>46047.330555555556</v>
      </c>
      <c r="M367" s="1">
        <v>46047.342361111114</v>
      </c>
      <c r="N367" s="1">
        <v>46047.352083333331</v>
      </c>
      <c r="O367">
        <v>4</v>
      </c>
      <c r="P367" t="s">
        <v>37</v>
      </c>
      <c r="Q367" t="s">
        <v>32</v>
      </c>
      <c r="R367" t="s">
        <v>53</v>
      </c>
      <c r="S367" t="s">
        <v>34</v>
      </c>
      <c r="T367">
        <v>5000</v>
      </c>
      <c r="U367" t="s">
        <v>35</v>
      </c>
      <c r="V367" t="s">
        <v>36</v>
      </c>
      <c r="W367">
        <v>1</v>
      </c>
      <c r="X367" t="s">
        <v>37</v>
      </c>
      <c r="Y367">
        <v>5</v>
      </c>
      <c r="Z367" t="s">
        <v>296</v>
      </c>
    </row>
    <row r="368" spans="1:26" hidden="1" x14ac:dyDescent="0.2">
      <c r="A368" t="s">
        <v>867</v>
      </c>
      <c r="B368" t="s">
        <v>868</v>
      </c>
      <c r="C368" s="1">
        <v>46069</v>
      </c>
      <c r="D368" t="s">
        <v>267</v>
      </c>
      <c r="E368">
        <v>30</v>
      </c>
      <c r="F368">
        <v>5</v>
      </c>
      <c r="G368" t="s">
        <v>50</v>
      </c>
      <c r="H368" t="s">
        <v>30</v>
      </c>
      <c r="I368" s="1">
        <v>46069.338194444441</v>
      </c>
      <c r="J368" s="1">
        <v>46069.347222222219</v>
      </c>
      <c r="K368" s="1">
        <v>46069.405555555553</v>
      </c>
      <c r="L368" s="1">
        <v>46069.414583333331</v>
      </c>
      <c r="M368" s="1">
        <v>46069.454861111109</v>
      </c>
      <c r="N368" s="1">
        <v>46069.475694444445</v>
      </c>
      <c r="O368">
        <v>3</v>
      </c>
      <c r="P368" t="s">
        <v>37</v>
      </c>
      <c r="Q368" t="s">
        <v>96</v>
      </c>
      <c r="R368" t="s">
        <v>164</v>
      </c>
      <c r="S368" t="s">
        <v>98</v>
      </c>
      <c r="T368">
        <v>3000</v>
      </c>
      <c r="U368" t="s">
        <v>35</v>
      </c>
      <c r="V368" t="s">
        <v>36</v>
      </c>
      <c r="W368">
        <v>1</v>
      </c>
      <c r="X368" t="s">
        <v>37</v>
      </c>
      <c r="Y368">
        <v>4</v>
      </c>
      <c r="Z368" t="s">
        <v>161</v>
      </c>
    </row>
    <row r="369" spans="1:26" hidden="1" x14ac:dyDescent="0.2">
      <c r="A369" t="s">
        <v>869</v>
      </c>
      <c r="B369" t="s">
        <v>870</v>
      </c>
      <c r="C369" s="1">
        <v>46081</v>
      </c>
      <c r="D369" t="s">
        <v>28</v>
      </c>
      <c r="E369">
        <v>36</v>
      </c>
      <c r="F369">
        <v>8</v>
      </c>
      <c r="G369" t="s">
        <v>57</v>
      </c>
      <c r="H369" t="s">
        <v>51</v>
      </c>
      <c r="I369" s="1">
        <v>46081.267361111109</v>
      </c>
      <c r="J369" s="1">
        <v>46081.286805555559</v>
      </c>
      <c r="K369" s="1">
        <v>46081.29791666667</v>
      </c>
      <c r="L369" s="1">
        <v>46081.302777777775</v>
      </c>
      <c r="M369" s="1">
        <v>46081.331250000003</v>
      </c>
      <c r="N369" s="1">
        <v>46081.335416666669</v>
      </c>
      <c r="O369">
        <v>2</v>
      </c>
      <c r="P369" t="s">
        <v>37</v>
      </c>
      <c r="Q369" t="s">
        <v>32</v>
      </c>
      <c r="R369" t="s">
        <v>33</v>
      </c>
      <c r="S369" t="s">
        <v>34</v>
      </c>
      <c r="T369">
        <v>5000</v>
      </c>
      <c r="U369" t="s">
        <v>35</v>
      </c>
      <c r="V369" t="s">
        <v>36</v>
      </c>
      <c r="W369">
        <v>1</v>
      </c>
      <c r="X369" t="s">
        <v>37</v>
      </c>
      <c r="Y369">
        <v>4</v>
      </c>
      <c r="Z369" t="s">
        <v>117</v>
      </c>
    </row>
    <row r="370" spans="1:26" hidden="1" x14ac:dyDescent="0.2">
      <c r="A370" t="s">
        <v>871</v>
      </c>
      <c r="B370" t="s">
        <v>872</v>
      </c>
      <c r="C370" s="1">
        <v>46107</v>
      </c>
      <c r="D370" t="s">
        <v>137</v>
      </c>
      <c r="E370">
        <v>34</v>
      </c>
      <c r="F370">
        <v>5.6</v>
      </c>
      <c r="G370" t="s">
        <v>50</v>
      </c>
      <c r="H370" t="s">
        <v>157</v>
      </c>
      <c r="I370" s="1">
        <v>46107.339583333334</v>
      </c>
      <c r="J370" s="1">
        <v>46107.348611111112</v>
      </c>
      <c r="K370" s="1">
        <v>46107.40347222222</v>
      </c>
      <c r="L370" s="1">
        <v>46107.413888888892</v>
      </c>
      <c r="M370" s="1">
        <v>46107.444444444445</v>
      </c>
      <c r="N370" s="1">
        <v>46107.47152777778</v>
      </c>
      <c r="O370">
        <v>1</v>
      </c>
      <c r="P370" t="s">
        <v>37</v>
      </c>
      <c r="Q370" t="s">
        <v>69</v>
      </c>
      <c r="R370" t="s">
        <v>70</v>
      </c>
      <c r="S370" t="s">
        <v>71</v>
      </c>
      <c r="T370">
        <v>2000</v>
      </c>
      <c r="U370" t="s">
        <v>35</v>
      </c>
      <c r="V370" t="s">
        <v>36</v>
      </c>
      <c r="W370">
        <v>1</v>
      </c>
      <c r="X370" t="s">
        <v>37</v>
      </c>
      <c r="Y370">
        <v>5</v>
      </c>
      <c r="Z370" t="s">
        <v>168</v>
      </c>
    </row>
    <row r="371" spans="1:26" hidden="1" x14ac:dyDescent="0.2">
      <c r="A371" t="s">
        <v>873</v>
      </c>
      <c r="B371" t="s">
        <v>874</v>
      </c>
      <c r="C371" s="1">
        <v>46063</v>
      </c>
      <c r="D371" t="s">
        <v>230</v>
      </c>
      <c r="E371">
        <v>34</v>
      </c>
      <c r="F371">
        <v>4.3</v>
      </c>
      <c r="G371" t="s">
        <v>57</v>
      </c>
      <c r="H371" t="s">
        <v>65</v>
      </c>
      <c r="I371" s="1">
        <v>46063.366666666669</v>
      </c>
      <c r="J371" s="1">
        <v>46063.386805555558</v>
      </c>
      <c r="K371" s="1">
        <v>46063.420138888891</v>
      </c>
      <c r="L371" s="1">
        <v>46063.427083333336</v>
      </c>
      <c r="M371" s="1">
        <v>46063.455555555556</v>
      </c>
      <c r="N371" s="1">
        <v>46063.477777777778</v>
      </c>
      <c r="O371">
        <v>2</v>
      </c>
      <c r="P371" t="s">
        <v>37</v>
      </c>
      <c r="Q371" t="s">
        <v>43</v>
      </c>
      <c r="R371" t="s">
        <v>200</v>
      </c>
      <c r="S371" t="s">
        <v>45</v>
      </c>
      <c r="T371">
        <v>2500</v>
      </c>
      <c r="U371" t="s">
        <v>35</v>
      </c>
      <c r="V371" t="s">
        <v>36</v>
      </c>
      <c r="W371">
        <v>1</v>
      </c>
      <c r="X371" t="s">
        <v>37</v>
      </c>
      <c r="Y371">
        <v>4</v>
      </c>
      <c r="Z371" t="s">
        <v>72</v>
      </c>
    </row>
    <row r="372" spans="1:26" x14ac:dyDescent="0.2">
      <c r="A372" t="s">
        <v>875</v>
      </c>
      <c r="B372" t="s">
        <v>876</v>
      </c>
      <c r="C372" s="1">
        <v>46093</v>
      </c>
      <c r="D372" t="s">
        <v>94</v>
      </c>
      <c r="E372">
        <v>35</v>
      </c>
      <c r="F372">
        <v>8.5</v>
      </c>
      <c r="G372" t="s">
        <v>57</v>
      </c>
      <c r="H372" t="s">
        <v>65</v>
      </c>
      <c r="I372" s="1">
        <v>46093.259722222225</v>
      </c>
      <c r="J372" s="1">
        <v>46093.271527777775</v>
      </c>
      <c r="K372" s="1">
        <v>46093.301388888889</v>
      </c>
      <c r="L372" s="1">
        <v>46093.31527777778</v>
      </c>
      <c r="M372" s="1">
        <v>46093.347916666666</v>
      </c>
      <c r="N372" s="1">
        <v>46093.368055555555</v>
      </c>
      <c r="O372">
        <v>5</v>
      </c>
      <c r="P372" t="s">
        <v>37</v>
      </c>
      <c r="Q372" t="s">
        <v>69</v>
      </c>
      <c r="R372" t="s">
        <v>70</v>
      </c>
      <c r="S372" t="s">
        <v>71</v>
      </c>
      <c r="T372">
        <v>2000</v>
      </c>
      <c r="U372" t="s">
        <v>35</v>
      </c>
      <c r="V372" t="s">
        <v>36</v>
      </c>
      <c r="W372">
        <v>1</v>
      </c>
      <c r="X372" t="s">
        <v>37</v>
      </c>
      <c r="Y372">
        <v>2</v>
      </c>
      <c r="Z372" t="s">
        <v>215</v>
      </c>
    </row>
    <row r="373" spans="1:26" hidden="1" x14ac:dyDescent="0.2">
      <c r="A373" t="s">
        <v>877</v>
      </c>
      <c r="B373" t="s">
        <v>878</v>
      </c>
      <c r="C373" s="1">
        <v>46039</v>
      </c>
      <c r="D373" t="s">
        <v>64</v>
      </c>
      <c r="E373">
        <v>6</v>
      </c>
      <c r="F373">
        <v>10.1</v>
      </c>
      <c r="G373" t="s">
        <v>76</v>
      </c>
      <c r="H373" t="s">
        <v>157</v>
      </c>
      <c r="I373" s="1">
        <v>46039.26666666667</v>
      </c>
      <c r="J373" s="1">
        <v>46039.279166666667</v>
      </c>
      <c r="K373" s="1">
        <v>46039.316666666666</v>
      </c>
      <c r="L373" s="1">
        <v>46039.327777777777</v>
      </c>
      <c r="M373" s="1">
        <v>46039.352777777778</v>
      </c>
      <c r="N373" s="1">
        <v>46039.371527777781</v>
      </c>
      <c r="O373">
        <v>1</v>
      </c>
      <c r="P373" t="s">
        <v>37</v>
      </c>
      <c r="Q373" t="s">
        <v>96</v>
      </c>
      <c r="R373" t="s">
        <v>214</v>
      </c>
      <c r="S373" t="s">
        <v>98</v>
      </c>
      <c r="T373">
        <v>3000</v>
      </c>
      <c r="U373" t="s">
        <v>35</v>
      </c>
      <c r="V373" t="s">
        <v>36</v>
      </c>
      <c r="W373">
        <v>1</v>
      </c>
      <c r="X373" t="s">
        <v>37</v>
      </c>
      <c r="Y373">
        <v>4</v>
      </c>
      <c r="Z373" t="s">
        <v>86</v>
      </c>
    </row>
    <row r="374" spans="1:26" hidden="1" x14ac:dyDescent="0.2">
      <c r="A374" t="s">
        <v>879</v>
      </c>
      <c r="B374" t="s">
        <v>880</v>
      </c>
      <c r="C374" s="1">
        <v>46062</v>
      </c>
      <c r="D374" t="s">
        <v>28</v>
      </c>
      <c r="E374">
        <v>6</v>
      </c>
      <c r="F374">
        <v>8.3000000000000007</v>
      </c>
      <c r="G374" t="s">
        <v>29</v>
      </c>
      <c r="H374" t="s">
        <v>157</v>
      </c>
      <c r="I374" s="1">
        <v>46062.366666666669</v>
      </c>
      <c r="J374" s="1">
        <v>46062.379166666666</v>
      </c>
      <c r="K374" s="1">
        <v>46062.436111111114</v>
      </c>
      <c r="L374" s="1">
        <v>46062.448611111111</v>
      </c>
      <c r="M374" s="1">
        <v>46062.467361111114</v>
      </c>
      <c r="N374" s="1">
        <v>46062.47152777778</v>
      </c>
      <c r="O374">
        <v>6</v>
      </c>
      <c r="P374" t="s">
        <v>37</v>
      </c>
      <c r="Q374" t="s">
        <v>96</v>
      </c>
      <c r="R374" t="s">
        <v>164</v>
      </c>
      <c r="S374" t="s">
        <v>98</v>
      </c>
      <c r="T374">
        <v>3000</v>
      </c>
      <c r="U374" t="s">
        <v>35</v>
      </c>
      <c r="V374" t="s">
        <v>36</v>
      </c>
      <c r="W374">
        <v>1</v>
      </c>
      <c r="X374" t="s">
        <v>37</v>
      </c>
      <c r="Y374">
        <v>4</v>
      </c>
      <c r="Z374" t="s">
        <v>99</v>
      </c>
    </row>
    <row r="375" spans="1:26" hidden="1" x14ac:dyDescent="0.2">
      <c r="A375" t="s">
        <v>881</v>
      </c>
      <c r="B375" t="s">
        <v>882</v>
      </c>
      <c r="C375" s="1">
        <v>46035</v>
      </c>
      <c r="D375" t="s">
        <v>154</v>
      </c>
      <c r="E375">
        <v>18</v>
      </c>
      <c r="F375">
        <v>6.7</v>
      </c>
      <c r="G375" t="s">
        <v>81</v>
      </c>
      <c r="H375" t="s">
        <v>42</v>
      </c>
      <c r="I375" s="1">
        <v>46035.385416666664</v>
      </c>
      <c r="J375" s="1">
        <v>46035.40347222222</v>
      </c>
      <c r="K375" s="1">
        <v>46035.44027777778</v>
      </c>
      <c r="L375" s="1">
        <v>46035.447222222225</v>
      </c>
      <c r="M375" s="1">
        <v>46035.481249999997</v>
      </c>
      <c r="N375" s="1">
        <v>46035.497916666667</v>
      </c>
      <c r="O375">
        <v>3</v>
      </c>
      <c r="P375" t="s">
        <v>37</v>
      </c>
      <c r="Q375" t="s">
        <v>43</v>
      </c>
      <c r="R375" t="s">
        <v>90</v>
      </c>
      <c r="S375" t="s">
        <v>45</v>
      </c>
      <c r="T375">
        <v>2500</v>
      </c>
      <c r="U375" t="s">
        <v>35</v>
      </c>
      <c r="V375" t="s">
        <v>36</v>
      </c>
      <c r="W375">
        <v>1</v>
      </c>
      <c r="X375" t="s">
        <v>37</v>
      </c>
      <c r="Y375">
        <v>5</v>
      </c>
      <c r="Z375" t="s">
        <v>117</v>
      </c>
    </row>
    <row r="376" spans="1:26" hidden="1" x14ac:dyDescent="0.2">
      <c r="A376" t="s">
        <v>883</v>
      </c>
      <c r="B376" t="s">
        <v>884</v>
      </c>
      <c r="C376" s="1">
        <v>46050</v>
      </c>
      <c r="D376" t="s">
        <v>149</v>
      </c>
      <c r="E376">
        <v>24</v>
      </c>
      <c r="F376">
        <v>12</v>
      </c>
      <c r="G376" t="s">
        <v>50</v>
      </c>
      <c r="H376" t="s">
        <v>42</v>
      </c>
      <c r="I376" s="1">
        <v>46050.289583333331</v>
      </c>
      <c r="J376" s="1">
        <v>46050.306250000001</v>
      </c>
      <c r="K376" s="1">
        <v>46050.320833333331</v>
      </c>
      <c r="L376" s="1">
        <v>46050.326388888891</v>
      </c>
      <c r="M376" s="1">
        <v>46050.359027777777</v>
      </c>
      <c r="N376" s="1">
        <v>46050.377083333333</v>
      </c>
      <c r="O376">
        <v>3</v>
      </c>
      <c r="P376" t="s">
        <v>31</v>
      </c>
      <c r="Q376" t="s">
        <v>96</v>
      </c>
      <c r="R376" t="s">
        <v>90</v>
      </c>
      <c r="S376" t="s">
        <v>98</v>
      </c>
      <c r="T376">
        <v>3000</v>
      </c>
      <c r="U376" t="s">
        <v>35</v>
      </c>
      <c r="V376" t="s">
        <v>36</v>
      </c>
      <c r="W376">
        <v>1</v>
      </c>
      <c r="X376" t="s">
        <v>37</v>
      </c>
      <c r="Y376">
        <v>5</v>
      </c>
      <c r="Z376" t="s">
        <v>134</v>
      </c>
    </row>
    <row r="377" spans="1:26" hidden="1" x14ac:dyDescent="0.2">
      <c r="A377" t="s">
        <v>885</v>
      </c>
      <c r="B377" t="s">
        <v>886</v>
      </c>
      <c r="C377" s="1">
        <v>46087</v>
      </c>
      <c r="D377" t="s">
        <v>154</v>
      </c>
      <c r="E377">
        <v>39</v>
      </c>
      <c r="F377">
        <v>6.5</v>
      </c>
      <c r="G377" t="s">
        <v>50</v>
      </c>
      <c r="H377" t="s">
        <v>157</v>
      </c>
      <c r="I377" s="1">
        <v>46087.294444444444</v>
      </c>
      <c r="J377" s="1">
        <v>46087.311111111114</v>
      </c>
      <c r="K377" s="1">
        <v>46087.363194444442</v>
      </c>
      <c r="L377" s="1">
        <v>46087.376388888886</v>
      </c>
      <c r="M377" s="1">
        <v>46087.412499999999</v>
      </c>
      <c r="N377" s="1">
        <v>46087.44027777778</v>
      </c>
      <c r="O377">
        <v>2</v>
      </c>
      <c r="P377" t="s">
        <v>37</v>
      </c>
      <c r="Q377" t="s">
        <v>96</v>
      </c>
      <c r="R377" t="s">
        <v>97</v>
      </c>
      <c r="S377" t="s">
        <v>98</v>
      </c>
      <c r="T377">
        <v>3000</v>
      </c>
      <c r="U377" t="s">
        <v>35</v>
      </c>
      <c r="V377" t="s">
        <v>36</v>
      </c>
      <c r="W377">
        <v>1</v>
      </c>
      <c r="X377" t="s">
        <v>37</v>
      </c>
      <c r="Y377">
        <v>3</v>
      </c>
      <c r="Z377" t="s">
        <v>72</v>
      </c>
    </row>
    <row r="378" spans="1:26" hidden="1" x14ac:dyDescent="0.2">
      <c r="A378" t="s">
        <v>887</v>
      </c>
      <c r="B378" t="s">
        <v>888</v>
      </c>
      <c r="C378" s="1">
        <v>46107</v>
      </c>
      <c r="D378" t="s">
        <v>64</v>
      </c>
      <c r="E378">
        <v>39</v>
      </c>
      <c r="F378">
        <v>10.5</v>
      </c>
      <c r="G378" t="s">
        <v>50</v>
      </c>
      <c r="H378" t="s">
        <v>65</v>
      </c>
      <c r="I378" s="1">
        <v>46107.379166666666</v>
      </c>
      <c r="J378" s="1">
        <v>46107.396527777775</v>
      </c>
      <c r="K378" s="1">
        <v>46107.408333333333</v>
      </c>
      <c r="L378" s="1">
        <v>46107.415972222225</v>
      </c>
      <c r="M378" s="1">
        <v>46107.438888888886</v>
      </c>
      <c r="N378" s="1">
        <v>46107.462500000001</v>
      </c>
      <c r="O378">
        <v>2</v>
      </c>
      <c r="P378" t="s">
        <v>52</v>
      </c>
      <c r="Q378" t="s">
        <v>43</v>
      </c>
      <c r="R378" t="s">
        <v>58</v>
      </c>
      <c r="S378" t="s">
        <v>45</v>
      </c>
      <c r="T378">
        <v>2500</v>
      </c>
      <c r="U378" t="s">
        <v>35</v>
      </c>
      <c r="V378" t="s">
        <v>36</v>
      </c>
      <c r="W378">
        <v>1</v>
      </c>
      <c r="X378" t="s">
        <v>37</v>
      </c>
      <c r="Y378">
        <v>4</v>
      </c>
      <c r="Z378" t="s">
        <v>99</v>
      </c>
    </row>
    <row r="379" spans="1:26" hidden="1" x14ac:dyDescent="0.2">
      <c r="A379" t="s">
        <v>889</v>
      </c>
      <c r="B379" t="s">
        <v>890</v>
      </c>
      <c r="C379" s="1">
        <v>46104</v>
      </c>
      <c r="D379" t="s">
        <v>267</v>
      </c>
      <c r="E379">
        <v>23</v>
      </c>
      <c r="F379">
        <v>9.1999999999999993</v>
      </c>
      <c r="G379" t="s">
        <v>76</v>
      </c>
      <c r="H379" t="s">
        <v>30</v>
      </c>
      <c r="I379" s="1">
        <v>46104.356249999997</v>
      </c>
      <c r="J379" s="1">
        <v>46104.364583333336</v>
      </c>
      <c r="K379" s="1">
        <v>46104.406944444447</v>
      </c>
      <c r="L379" s="1">
        <v>46104.415277777778</v>
      </c>
      <c r="M379" s="1">
        <v>46104.427083333336</v>
      </c>
      <c r="N379" s="1">
        <v>46104.436805555553</v>
      </c>
      <c r="O379">
        <v>2</v>
      </c>
      <c r="P379" t="s">
        <v>129</v>
      </c>
      <c r="Q379" t="s">
        <v>43</v>
      </c>
      <c r="R379" t="s">
        <v>58</v>
      </c>
      <c r="S379" t="s">
        <v>45</v>
      </c>
      <c r="T379">
        <v>2500</v>
      </c>
      <c r="U379" t="s">
        <v>35</v>
      </c>
      <c r="V379" t="s">
        <v>36</v>
      </c>
      <c r="W379">
        <v>1</v>
      </c>
      <c r="X379" t="s">
        <v>37</v>
      </c>
      <c r="Y379">
        <v>4</v>
      </c>
      <c r="Z379" t="s">
        <v>134</v>
      </c>
    </row>
    <row r="380" spans="1:26" hidden="1" x14ac:dyDescent="0.2">
      <c r="A380" t="s">
        <v>891</v>
      </c>
      <c r="B380" t="s">
        <v>892</v>
      </c>
      <c r="C380" s="1">
        <v>46048</v>
      </c>
      <c r="D380" t="s">
        <v>126</v>
      </c>
      <c r="E380">
        <v>6</v>
      </c>
      <c r="F380">
        <v>6.1</v>
      </c>
      <c r="G380" t="s">
        <v>76</v>
      </c>
      <c r="H380" t="s">
        <v>30</v>
      </c>
      <c r="I380" s="1">
        <v>46048.347222222219</v>
      </c>
      <c r="J380" s="1">
        <v>46048.354166666664</v>
      </c>
      <c r="K380" s="1">
        <v>46048.364583333336</v>
      </c>
      <c r="L380" s="1">
        <v>46048.378472222219</v>
      </c>
      <c r="M380" s="1">
        <v>46048.420138888891</v>
      </c>
      <c r="N380" s="1">
        <v>46048.424305555556</v>
      </c>
      <c r="O380">
        <v>1</v>
      </c>
      <c r="P380" t="s">
        <v>37</v>
      </c>
      <c r="Q380" t="s">
        <v>96</v>
      </c>
      <c r="R380" t="s">
        <v>164</v>
      </c>
      <c r="S380" t="s">
        <v>98</v>
      </c>
      <c r="T380">
        <v>3000</v>
      </c>
      <c r="U380" t="s">
        <v>35</v>
      </c>
      <c r="V380" t="s">
        <v>36</v>
      </c>
      <c r="W380">
        <v>1</v>
      </c>
      <c r="X380" t="s">
        <v>37</v>
      </c>
      <c r="Y380">
        <v>5</v>
      </c>
      <c r="Z380" t="s">
        <v>86</v>
      </c>
    </row>
    <row r="381" spans="1:26" hidden="1" x14ac:dyDescent="0.2">
      <c r="A381" t="s">
        <v>893</v>
      </c>
      <c r="B381" t="s">
        <v>894</v>
      </c>
      <c r="C381" s="1">
        <v>46069</v>
      </c>
      <c r="D381" t="s">
        <v>94</v>
      </c>
      <c r="E381">
        <v>13</v>
      </c>
      <c r="F381">
        <v>5.9</v>
      </c>
      <c r="G381" t="s">
        <v>81</v>
      </c>
      <c r="H381" t="s">
        <v>30</v>
      </c>
      <c r="I381" s="1">
        <v>46069.338888888888</v>
      </c>
      <c r="J381" s="1">
        <v>46069.344444444447</v>
      </c>
      <c r="K381" s="1">
        <v>46069.397222222222</v>
      </c>
      <c r="L381" s="1">
        <v>46069.40625</v>
      </c>
      <c r="M381" s="1">
        <v>46069.43472222222</v>
      </c>
      <c r="N381" s="1">
        <v>46069.441666666666</v>
      </c>
      <c r="O381">
        <v>2</v>
      </c>
      <c r="P381" t="s">
        <v>37</v>
      </c>
      <c r="Q381" t="s">
        <v>32</v>
      </c>
      <c r="R381" t="s">
        <v>140</v>
      </c>
      <c r="S381" t="s">
        <v>34</v>
      </c>
      <c r="T381">
        <v>5000</v>
      </c>
      <c r="U381" t="s">
        <v>35</v>
      </c>
      <c r="V381" t="s">
        <v>36</v>
      </c>
      <c r="W381">
        <v>1</v>
      </c>
      <c r="X381" t="s">
        <v>37</v>
      </c>
      <c r="Y381">
        <v>5</v>
      </c>
      <c r="Z381" t="s">
        <v>38</v>
      </c>
    </row>
    <row r="382" spans="1:26" hidden="1" x14ac:dyDescent="0.2">
      <c r="A382" t="s">
        <v>895</v>
      </c>
      <c r="B382" t="s">
        <v>896</v>
      </c>
      <c r="C382" s="1">
        <v>46053</v>
      </c>
      <c r="D382" t="s">
        <v>171</v>
      </c>
      <c r="E382">
        <v>14</v>
      </c>
      <c r="F382">
        <v>4.9000000000000004</v>
      </c>
      <c r="G382" t="s">
        <v>57</v>
      </c>
      <c r="H382" t="s">
        <v>167</v>
      </c>
      <c r="I382" s="1">
        <v>46053.327777777777</v>
      </c>
      <c r="J382" s="1">
        <v>46053.340277777781</v>
      </c>
      <c r="K382" s="1">
        <v>46053.369444444441</v>
      </c>
      <c r="L382" s="1">
        <v>46053.373611111114</v>
      </c>
      <c r="M382" s="1">
        <v>46053.402083333334</v>
      </c>
      <c r="N382" s="1">
        <v>46053.429166666669</v>
      </c>
      <c r="O382">
        <v>3</v>
      </c>
      <c r="P382" t="s">
        <v>37</v>
      </c>
      <c r="Q382" t="s">
        <v>43</v>
      </c>
      <c r="R382" t="s">
        <v>158</v>
      </c>
      <c r="S382" t="s">
        <v>45</v>
      </c>
      <c r="T382">
        <v>2500</v>
      </c>
      <c r="U382" t="s">
        <v>35</v>
      </c>
      <c r="V382" t="s">
        <v>36</v>
      </c>
      <c r="W382">
        <v>1</v>
      </c>
      <c r="X382" t="s">
        <v>37</v>
      </c>
      <c r="Y382">
        <v>4</v>
      </c>
      <c r="Z382" t="s">
        <v>54</v>
      </c>
    </row>
    <row r="383" spans="1:26" hidden="1" x14ac:dyDescent="0.2">
      <c r="A383" t="s">
        <v>897</v>
      </c>
      <c r="B383" t="s">
        <v>898</v>
      </c>
      <c r="C383" s="1">
        <v>46041</v>
      </c>
      <c r="D383" t="s">
        <v>242</v>
      </c>
      <c r="E383">
        <v>24</v>
      </c>
      <c r="F383">
        <v>4.2</v>
      </c>
      <c r="G383" t="s">
        <v>81</v>
      </c>
      <c r="H383" t="s">
        <v>51</v>
      </c>
      <c r="I383" s="1">
        <v>46041.399305555555</v>
      </c>
      <c r="J383" s="1">
        <v>46041.418749999997</v>
      </c>
      <c r="K383" s="1">
        <v>46041.429861111108</v>
      </c>
      <c r="L383" s="1">
        <v>46041.438194444447</v>
      </c>
      <c r="M383" s="1">
        <v>46041.456250000003</v>
      </c>
      <c r="N383" s="1">
        <v>46041.484027777777</v>
      </c>
      <c r="O383">
        <v>4</v>
      </c>
      <c r="P383" t="s">
        <v>37</v>
      </c>
      <c r="Q383" t="s">
        <v>43</v>
      </c>
      <c r="R383" t="s">
        <v>58</v>
      </c>
      <c r="S383" t="s">
        <v>45</v>
      </c>
      <c r="T383">
        <v>2500</v>
      </c>
      <c r="U383" t="s">
        <v>91</v>
      </c>
      <c r="V383" t="s">
        <v>36</v>
      </c>
      <c r="W383">
        <v>1</v>
      </c>
      <c r="X383" t="s">
        <v>37</v>
      </c>
      <c r="Y383">
        <v>5</v>
      </c>
      <c r="Z383" t="s">
        <v>117</v>
      </c>
    </row>
    <row r="384" spans="1:26" hidden="1" x14ac:dyDescent="0.2">
      <c r="A384" t="s">
        <v>899</v>
      </c>
      <c r="B384" t="s">
        <v>900</v>
      </c>
      <c r="C384" s="1">
        <v>46053</v>
      </c>
      <c r="D384" t="s">
        <v>230</v>
      </c>
      <c r="E384">
        <v>5</v>
      </c>
      <c r="F384">
        <v>11.3</v>
      </c>
      <c r="G384" t="s">
        <v>50</v>
      </c>
      <c r="H384" t="s">
        <v>167</v>
      </c>
      <c r="I384" s="1">
        <v>46053.303472222222</v>
      </c>
      <c r="J384" s="1">
        <v>46053.308333333334</v>
      </c>
      <c r="K384" s="1">
        <v>46053.336111111108</v>
      </c>
      <c r="L384" s="1">
        <v>46053.345833333333</v>
      </c>
      <c r="M384" s="1">
        <v>46053.361805555556</v>
      </c>
      <c r="N384" s="1">
        <v>46053.37222222222</v>
      </c>
      <c r="O384">
        <v>4</v>
      </c>
      <c r="P384" t="s">
        <v>37</v>
      </c>
      <c r="Q384" t="s">
        <v>43</v>
      </c>
      <c r="R384" t="s">
        <v>200</v>
      </c>
      <c r="S384" t="s">
        <v>45</v>
      </c>
      <c r="T384">
        <v>2500</v>
      </c>
      <c r="U384" t="s">
        <v>35</v>
      </c>
      <c r="V384" t="s">
        <v>36</v>
      </c>
      <c r="W384">
        <v>1</v>
      </c>
      <c r="X384" t="s">
        <v>37</v>
      </c>
      <c r="Y384">
        <v>4</v>
      </c>
      <c r="Z384" t="s">
        <v>102</v>
      </c>
    </row>
    <row r="385" spans="1:26" hidden="1" x14ac:dyDescent="0.2">
      <c r="A385" t="s">
        <v>901</v>
      </c>
      <c r="B385" t="s">
        <v>902</v>
      </c>
      <c r="C385" s="1">
        <v>46033</v>
      </c>
      <c r="D385" t="s">
        <v>64</v>
      </c>
      <c r="E385">
        <v>31</v>
      </c>
      <c r="F385">
        <v>11.4</v>
      </c>
      <c r="G385" t="s">
        <v>76</v>
      </c>
      <c r="H385" t="s">
        <v>30</v>
      </c>
      <c r="I385" s="1">
        <v>46033.324999999997</v>
      </c>
      <c r="J385" s="1">
        <v>46033.330555555556</v>
      </c>
      <c r="K385" s="1">
        <v>46033.351388888892</v>
      </c>
      <c r="L385" s="1">
        <v>46033.36041666667</v>
      </c>
      <c r="M385" s="1">
        <v>46033.38958333333</v>
      </c>
      <c r="N385" s="1">
        <v>46033.395833333336</v>
      </c>
      <c r="O385">
        <v>3</v>
      </c>
      <c r="P385" t="s">
        <v>37</v>
      </c>
      <c r="Q385" t="s">
        <v>43</v>
      </c>
      <c r="R385" t="s">
        <v>200</v>
      </c>
      <c r="S385" t="s">
        <v>45</v>
      </c>
      <c r="T385">
        <v>2500</v>
      </c>
      <c r="U385" t="s">
        <v>35</v>
      </c>
      <c r="V385" t="s">
        <v>36</v>
      </c>
      <c r="W385">
        <v>1</v>
      </c>
      <c r="X385" t="s">
        <v>37</v>
      </c>
      <c r="Y385">
        <v>4</v>
      </c>
      <c r="Z385" t="s">
        <v>38</v>
      </c>
    </row>
    <row r="386" spans="1:26" hidden="1" x14ac:dyDescent="0.2">
      <c r="A386" t="s">
        <v>903</v>
      </c>
      <c r="B386" t="s">
        <v>904</v>
      </c>
      <c r="C386" s="1">
        <v>46029</v>
      </c>
      <c r="D386" t="s">
        <v>105</v>
      </c>
      <c r="E386">
        <v>33</v>
      </c>
      <c r="F386">
        <v>10.3</v>
      </c>
      <c r="G386" t="s">
        <v>57</v>
      </c>
      <c r="H386" t="s">
        <v>51</v>
      </c>
      <c r="I386" s="1">
        <v>46029.320833333331</v>
      </c>
      <c r="J386" s="1">
        <v>46029.328472222223</v>
      </c>
      <c r="K386" s="1">
        <v>46029.390972222223</v>
      </c>
      <c r="L386" s="1">
        <v>46029.400694444441</v>
      </c>
      <c r="M386" s="1">
        <v>46029.421527777777</v>
      </c>
      <c r="N386" s="1">
        <v>46029.45</v>
      </c>
      <c r="O386">
        <v>1</v>
      </c>
      <c r="P386" t="s">
        <v>106</v>
      </c>
      <c r="Q386" t="s">
        <v>82</v>
      </c>
      <c r="R386" t="s">
        <v>211</v>
      </c>
      <c r="S386" t="s">
        <v>84</v>
      </c>
      <c r="T386">
        <v>4000</v>
      </c>
      <c r="U386" t="s">
        <v>35</v>
      </c>
      <c r="V386" t="s">
        <v>59</v>
      </c>
      <c r="W386">
        <v>2</v>
      </c>
      <c r="X386" t="s">
        <v>374</v>
      </c>
      <c r="Y386">
        <v>5</v>
      </c>
      <c r="Z386" t="s">
        <v>61</v>
      </c>
    </row>
    <row r="387" spans="1:26" hidden="1" x14ac:dyDescent="0.2">
      <c r="A387" t="s">
        <v>905</v>
      </c>
      <c r="B387" t="s">
        <v>906</v>
      </c>
      <c r="C387" s="1">
        <v>46080</v>
      </c>
      <c r="D387" t="s">
        <v>186</v>
      </c>
      <c r="E387">
        <v>16</v>
      </c>
      <c r="F387">
        <v>9.5</v>
      </c>
      <c r="G387" t="s">
        <v>76</v>
      </c>
      <c r="H387" t="s">
        <v>42</v>
      </c>
      <c r="I387" s="1">
        <v>46080.3</v>
      </c>
      <c r="J387" s="1">
        <v>46080.307638888888</v>
      </c>
      <c r="K387" s="1">
        <v>46080.321527777778</v>
      </c>
      <c r="L387" s="1">
        <v>46080.334027777775</v>
      </c>
      <c r="M387" s="1">
        <v>46080.356944444444</v>
      </c>
      <c r="N387" s="1">
        <v>46080.368055555555</v>
      </c>
      <c r="O387">
        <v>4</v>
      </c>
      <c r="P387" t="s">
        <v>37</v>
      </c>
      <c r="Q387" t="s">
        <v>82</v>
      </c>
      <c r="R387" t="s">
        <v>33</v>
      </c>
      <c r="S387" t="s">
        <v>84</v>
      </c>
      <c r="T387">
        <v>4000</v>
      </c>
      <c r="U387" t="s">
        <v>91</v>
      </c>
      <c r="V387" t="s">
        <v>59</v>
      </c>
      <c r="W387">
        <v>2</v>
      </c>
      <c r="X387" t="s">
        <v>116</v>
      </c>
      <c r="Y387">
        <v>5</v>
      </c>
      <c r="Z387" t="s">
        <v>86</v>
      </c>
    </row>
    <row r="388" spans="1:26" hidden="1" x14ac:dyDescent="0.2">
      <c r="A388" t="s">
        <v>907</v>
      </c>
      <c r="B388" t="s">
        <v>908</v>
      </c>
      <c r="C388" s="1">
        <v>46105</v>
      </c>
      <c r="D388" t="s">
        <v>80</v>
      </c>
      <c r="E388">
        <v>34</v>
      </c>
      <c r="F388">
        <v>5.6</v>
      </c>
      <c r="G388" t="s">
        <v>57</v>
      </c>
      <c r="H388" t="s">
        <v>51</v>
      </c>
      <c r="I388" s="1">
        <v>46105.320833333331</v>
      </c>
      <c r="J388" s="1">
        <v>46105.337500000001</v>
      </c>
      <c r="K388" s="1">
        <v>46105.381944444445</v>
      </c>
      <c r="L388" s="1">
        <v>46105.390972222223</v>
      </c>
      <c r="M388" s="1">
        <v>46105.404166666667</v>
      </c>
      <c r="N388" s="1">
        <v>46105.411111111112</v>
      </c>
      <c r="O388">
        <v>3</v>
      </c>
      <c r="P388" t="s">
        <v>31</v>
      </c>
      <c r="Q388" t="s">
        <v>82</v>
      </c>
      <c r="R388" t="s">
        <v>286</v>
      </c>
      <c r="S388" t="s">
        <v>84</v>
      </c>
      <c r="T388">
        <v>4000</v>
      </c>
      <c r="U388" t="s">
        <v>35</v>
      </c>
      <c r="V388" t="s">
        <v>36</v>
      </c>
      <c r="W388">
        <v>1</v>
      </c>
      <c r="X388" t="s">
        <v>37</v>
      </c>
      <c r="Y388">
        <v>4</v>
      </c>
      <c r="Z388" t="s">
        <v>86</v>
      </c>
    </row>
    <row r="389" spans="1:26" hidden="1" x14ac:dyDescent="0.2">
      <c r="A389" t="s">
        <v>909</v>
      </c>
      <c r="B389" t="s">
        <v>910</v>
      </c>
      <c r="C389" s="1">
        <v>46109</v>
      </c>
      <c r="D389" t="s">
        <v>186</v>
      </c>
      <c r="E389">
        <v>18</v>
      </c>
      <c r="F389">
        <v>5.5</v>
      </c>
      <c r="G389" t="s">
        <v>76</v>
      </c>
      <c r="H389" t="s">
        <v>167</v>
      </c>
      <c r="I389" s="1">
        <v>46109.382638888892</v>
      </c>
      <c r="J389" s="1">
        <v>46109.396527777775</v>
      </c>
      <c r="K389" s="1">
        <v>46109.436805555553</v>
      </c>
      <c r="L389" s="1">
        <v>46109.443055555559</v>
      </c>
      <c r="M389" s="1">
        <v>46109.46875</v>
      </c>
      <c r="N389" s="1">
        <v>46109.481249999997</v>
      </c>
      <c r="O389">
        <v>5</v>
      </c>
      <c r="P389" t="s">
        <v>129</v>
      </c>
      <c r="Q389" t="s">
        <v>32</v>
      </c>
      <c r="R389" t="s">
        <v>120</v>
      </c>
      <c r="S389" t="s">
        <v>34</v>
      </c>
      <c r="T389">
        <v>5000</v>
      </c>
      <c r="U389" t="s">
        <v>35</v>
      </c>
      <c r="V389" t="s">
        <v>36</v>
      </c>
      <c r="W389">
        <v>1</v>
      </c>
      <c r="X389" t="s">
        <v>37</v>
      </c>
      <c r="Y389">
        <v>3</v>
      </c>
      <c r="Z389" t="s">
        <v>61</v>
      </c>
    </row>
    <row r="390" spans="1:26" hidden="1" x14ac:dyDescent="0.2">
      <c r="A390" t="s">
        <v>911</v>
      </c>
      <c r="B390" t="s">
        <v>912</v>
      </c>
      <c r="C390" s="1">
        <v>46026</v>
      </c>
      <c r="D390" t="s">
        <v>149</v>
      </c>
      <c r="E390">
        <v>33</v>
      </c>
      <c r="F390">
        <v>11.3</v>
      </c>
      <c r="G390" t="s">
        <v>76</v>
      </c>
      <c r="H390" t="s">
        <v>65</v>
      </c>
      <c r="I390" s="1">
        <v>46026.371527777781</v>
      </c>
      <c r="J390" s="1">
        <v>46026.388888888891</v>
      </c>
      <c r="K390" s="1">
        <v>46026.436111111114</v>
      </c>
      <c r="L390" s="1">
        <v>46026.440972222219</v>
      </c>
      <c r="M390" s="1">
        <v>46026.447916666664</v>
      </c>
      <c r="N390" s="1">
        <v>46026.472222222219</v>
      </c>
      <c r="O390">
        <v>2</v>
      </c>
      <c r="P390" t="s">
        <v>37</v>
      </c>
      <c r="Q390" t="s">
        <v>96</v>
      </c>
      <c r="R390" t="s">
        <v>164</v>
      </c>
      <c r="S390" t="s">
        <v>98</v>
      </c>
      <c r="T390">
        <v>3000</v>
      </c>
      <c r="U390" t="s">
        <v>91</v>
      </c>
      <c r="V390" t="s">
        <v>36</v>
      </c>
      <c r="W390">
        <v>1</v>
      </c>
      <c r="X390" t="s">
        <v>37</v>
      </c>
      <c r="Y390">
        <v>3</v>
      </c>
      <c r="Z390" t="s">
        <v>168</v>
      </c>
    </row>
    <row r="391" spans="1:26" hidden="1" x14ac:dyDescent="0.2">
      <c r="A391" t="s">
        <v>913</v>
      </c>
      <c r="B391" t="s">
        <v>914</v>
      </c>
      <c r="C391" s="1">
        <v>46099</v>
      </c>
      <c r="D391" t="s">
        <v>49</v>
      </c>
      <c r="E391">
        <v>40</v>
      </c>
      <c r="F391">
        <v>4.5</v>
      </c>
      <c r="G391" t="s">
        <v>76</v>
      </c>
      <c r="H391" t="s">
        <v>95</v>
      </c>
      <c r="I391" s="1">
        <v>46099.333333333336</v>
      </c>
      <c r="J391" s="1">
        <v>46099.344444444447</v>
      </c>
      <c r="K391" s="1">
        <v>46099.404861111114</v>
      </c>
      <c r="L391" s="1">
        <v>46099.40902777778</v>
      </c>
      <c r="M391" s="1">
        <v>46099.415972222225</v>
      </c>
      <c r="N391" s="1">
        <v>46099.430555555555</v>
      </c>
      <c r="O391">
        <v>5</v>
      </c>
      <c r="P391" t="s">
        <v>37</v>
      </c>
      <c r="Q391" t="s">
        <v>32</v>
      </c>
      <c r="R391" t="s">
        <v>77</v>
      </c>
      <c r="S391" t="s">
        <v>34</v>
      </c>
      <c r="T391">
        <v>5000</v>
      </c>
      <c r="U391" t="s">
        <v>35</v>
      </c>
      <c r="V391" t="s">
        <v>36</v>
      </c>
      <c r="W391">
        <v>1</v>
      </c>
      <c r="X391" t="s">
        <v>37</v>
      </c>
      <c r="Y391">
        <v>4</v>
      </c>
      <c r="Z391" t="s">
        <v>86</v>
      </c>
    </row>
    <row r="392" spans="1:26" hidden="1" x14ac:dyDescent="0.2">
      <c r="A392" t="s">
        <v>915</v>
      </c>
      <c r="B392" t="s">
        <v>916</v>
      </c>
      <c r="C392" s="1">
        <v>46028</v>
      </c>
      <c r="D392" t="s">
        <v>254</v>
      </c>
      <c r="E392">
        <v>15</v>
      </c>
      <c r="F392">
        <v>8</v>
      </c>
      <c r="G392" t="s">
        <v>76</v>
      </c>
      <c r="H392" t="s">
        <v>157</v>
      </c>
      <c r="I392" s="1">
        <v>46028.272916666669</v>
      </c>
      <c r="J392" s="1">
        <v>46028.277777777781</v>
      </c>
      <c r="K392" s="1">
        <v>46028.3125</v>
      </c>
      <c r="L392" s="1">
        <v>46028.324999999997</v>
      </c>
      <c r="M392" s="1">
        <v>46028.338194444441</v>
      </c>
      <c r="N392" s="1">
        <v>46028.352777777778</v>
      </c>
      <c r="O392">
        <v>1</v>
      </c>
      <c r="P392" t="s">
        <v>37</v>
      </c>
      <c r="Q392" t="s">
        <v>82</v>
      </c>
      <c r="R392" t="s">
        <v>33</v>
      </c>
      <c r="S392" t="s">
        <v>84</v>
      </c>
      <c r="T392">
        <v>4000</v>
      </c>
      <c r="U392" t="s">
        <v>91</v>
      </c>
      <c r="V392" t="s">
        <v>36</v>
      </c>
      <c r="W392">
        <v>1</v>
      </c>
      <c r="X392" t="s">
        <v>37</v>
      </c>
      <c r="Y392">
        <v>5</v>
      </c>
      <c r="Z392" t="s">
        <v>161</v>
      </c>
    </row>
    <row r="393" spans="1:26" hidden="1" x14ac:dyDescent="0.2">
      <c r="A393" t="s">
        <v>917</v>
      </c>
      <c r="B393" t="s">
        <v>918</v>
      </c>
      <c r="C393" s="1">
        <v>46078</v>
      </c>
      <c r="D393" t="s">
        <v>149</v>
      </c>
      <c r="E393">
        <v>21</v>
      </c>
      <c r="F393">
        <v>8.1</v>
      </c>
      <c r="G393" t="s">
        <v>50</v>
      </c>
      <c r="H393" t="s">
        <v>95</v>
      </c>
      <c r="I393" s="1">
        <v>46078.305555555555</v>
      </c>
      <c r="J393" s="1">
        <v>46078.324999999997</v>
      </c>
      <c r="K393" s="1">
        <v>46078.375</v>
      </c>
      <c r="L393" s="1">
        <v>46078.381249999999</v>
      </c>
      <c r="M393" s="1">
        <v>46078.412499999999</v>
      </c>
      <c r="N393" s="1">
        <v>46078.443749999999</v>
      </c>
      <c r="O393">
        <v>7</v>
      </c>
      <c r="P393" t="s">
        <v>37</v>
      </c>
      <c r="Q393" t="s">
        <v>96</v>
      </c>
      <c r="R393" t="s">
        <v>130</v>
      </c>
      <c r="S393" t="s">
        <v>98</v>
      </c>
      <c r="T393">
        <v>3000</v>
      </c>
      <c r="U393" t="s">
        <v>35</v>
      </c>
      <c r="V393" t="s">
        <v>36</v>
      </c>
      <c r="W393">
        <v>1</v>
      </c>
      <c r="X393" t="s">
        <v>37</v>
      </c>
      <c r="Y393">
        <v>3</v>
      </c>
      <c r="Z393" t="s">
        <v>72</v>
      </c>
    </row>
    <row r="394" spans="1:26" x14ac:dyDescent="0.2">
      <c r="A394" t="s">
        <v>919</v>
      </c>
      <c r="B394" t="s">
        <v>920</v>
      </c>
      <c r="C394" s="1">
        <v>46043</v>
      </c>
      <c r="D394" t="s">
        <v>114</v>
      </c>
      <c r="E394">
        <v>12</v>
      </c>
      <c r="F394">
        <v>12</v>
      </c>
      <c r="G394" t="s">
        <v>50</v>
      </c>
      <c r="H394" t="s">
        <v>51</v>
      </c>
      <c r="I394" s="1">
        <v>46043.328472222223</v>
      </c>
      <c r="J394" s="1">
        <v>46043.339583333334</v>
      </c>
      <c r="K394" s="1">
        <v>46043.395833333336</v>
      </c>
      <c r="L394" s="1">
        <v>46043.409722222219</v>
      </c>
      <c r="M394" s="1">
        <v>46043.436805555553</v>
      </c>
      <c r="N394" s="1">
        <v>46043.461805555555</v>
      </c>
      <c r="O394">
        <v>1</v>
      </c>
      <c r="P394" t="s">
        <v>37</v>
      </c>
      <c r="Q394" t="s">
        <v>43</v>
      </c>
      <c r="R394" t="s">
        <v>200</v>
      </c>
      <c r="S394" t="s">
        <v>45</v>
      </c>
      <c r="T394">
        <v>2500</v>
      </c>
      <c r="U394" t="s">
        <v>35</v>
      </c>
      <c r="V394" t="s">
        <v>36</v>
      </c>
      <c r="W394">
        <v>1</v>
      </c>
      <c r="X394" t="s">
        <v>37</v>
      </c>
      <c r="Y394">
        <v>2</v>
      </c>
      <c r="Z394" t="s">
        <v>46</v>
      </c>
    </row>
    <row r="395" spans="1:26" hidden="1" x14ac:dyDescent="0.2">
      <c r="A395" t="s">
        <v>921</v>
      </c>
      <c r="B395" t="s">
        <v>922</v>
      </c>
      <c r="C395" s="1">
        <v>46046</v>
      </c>
      <c r="D395" t="s">
        <v>64</v>
      </c>
      <c r="E395">
        <v>37</v>
      </c>
      <c r="F395">
        <v>10.6</v>
      </c>
      <c r="G395" t="s">
        <v>81</v>
      </c>
      <c r="H395" t="s">
        <v>30</v>
      </c>
      <c r="I395" s="1">
        <v>46046.353472222225</v>
      </c>
      <c r="J395" s="1">
        <v>46046.361111111109</v>
      </c>
      <c r="K395" s="1">
        <v>46046.419444444444</v>
      </c>
      <c r="L395" s="1">
        <v>46046.42291666667</v>
      </c>
      <c r="M395" s="1">
        <v>46046.452777777777</v>
      </c>
      <c r="N395" s="1">
        <v>46046.481249999997</v>
      </c>
      <c r="O395">
        <v>2</v>
      </c>
      <c r="P395" t="s">
        <v>37</v>
      </c>
      <c r="Q395" t="s">
        <v>82</v>
      </c>
      <c r="R395" t="s">
        <v>211</v>
      </c>
      <c r="S395" t="s">
        <v>84</v>
      </c>
      <c r="T395">
        <v>4000</v>
      </c>
      <c r="U395" t="s">
        <v>35</v>
      </c>
      <c r="V395" t="s">
        <v>36</v>
      </c>
      <c r="W395">
        <v>1</v>
      </c>
      <c r="X395" t="s">
        <v>37</v>
      </c>
      <c r="Y395">
        <v>5</v>
      </c>
      <c r="Z395" t="s">
        <v>86</v>
      </c>
    </row>
    <row r="396" spans="1:26" hidden="1" x14ac:dyDescent="0.2">
      <c r="A396" t="s">
        <v>923</v>
      </c>
      <c r="B396" t="s">
        <v>924</v>
      </c>
      <c r="C396" s="1">
        <v>46026</v>
      </c>
      <c r="D396" t="s">
        <v>149</v>
      </c>
      <c r="E396">
        <v>28</v>
      </c>
      <c r="F396">
        <v>8.6999999999999993</v>
      </c>
      <c r="G396" t="s">
        <v>29</v>
      </c>
      <c r="H396" t="s">
        <v>42</v>
      </c>
      <c r="I396" s="1">
        <v>46026.306944444441</v>
      </c>
      <c r="J396" s="1">
        <v>46026.313194444447</v>
      </c>
      <c r="K396" s="1">
        <v>46026.322222222225</v>
      </c>
      <c r="L396" s="1">
        <v>46026.32708333333</v>
      </c>
      <c r="M396" s="1">
        <v>46026.354166666664</v>
      </c>
      <c r="N396" s="1">
        <v>46026.378472222219</v>
      </c>
      <c r="O396">
        <v>4</v>
      </c>
      <c r="P396" t="s">
        <v>37</v>
      </c>
      <c r="Q396" t="s">
        <v>32</v>
      </c>
      <c r="R396" t="s">
        <v>140</v>
      </c>
      <c r="S396" t="s">
        <v>34</v>
      </c>
      <c r="T396">
        <v>5000</v>
      </c>
      <c r="U396" t="s">
        <v>35</v>
      </c>
      <c r="V396" t="s">
        <v>36</v>
      </c>
      <c r="W396">
        <v>1</v>
      </c>
      <c r="X396" t="s">
        <v>37</v>
      </c>
      <c r="Y396">
        <v>4</v>
      </c>
      <c r="Z396" t="s">
        <v>102</v>
      </c>
    </row>
    <row r="397" spans="1:26" hidden="1" x14ac:dyDescent="0.2">
      <c r="A397" t="s">
        <v>925</v>
      </c>
      <c r="B397" t="s">
        <v>926</v>
      </c>
      <c r="C397" s="1">
        <v>46102</v>
      </c>
      <c r="D397" t="s">
        <v>225</v>
      </c>
      <c r="E397">
        <v>13</v>
      </c>
      <c r="F397">
        <v>5.7</v>
      </c>
      <c r="G397" t="s">
        <v>29</v>
      </c>
      <c r="H397" t="s">
        <v>42</v>
      </c>
      <c r="I397" s="1">
        <v>46102.363888888889</v>
      </c>
      <c r="J397" s="1">
        <v>46102.373611111114</v>
      </c>
      <c r="K397" s="1">
        <v>46102.40902777778</v>
      </c>
      <c r="L397" s="1">
        <v>46102.413194444445</v>
      </c>
      <c r="M397" s="1">
        <v>46102.452777777777</v>
      </c>
      <c r="N397" s="1">
        <v>46102.459027777775</v>
      </c>
      <c r="O397">
        <v>5</v>
      </c>
      <c r="P397" t="s">
        <v>37</v>
      </c>
      <c r="Q397" t="s">
        <v>96</v>
      </c>
      <c r="R397" t="s">
        <v>130</v>
      </c>
      <c r="S397" t="s">
        <v>98</v>
      </c>
      <c r="T397">
        <v>3000</v>
      </c>
      <c r="U397" t="s">
        <v>35</v>
      </c>
      <c r="V397" t="s">
        <v>36</v>
      </c>
      <c r="W397">
        <v>1</v>
      </c>
      <c r="X397" t="s">
        <v>37</v>
      </c>
      <c r="Y397">
        <v>3</v>
      </c>
      <c r="Z397" t="s">
        <v>61</v>
      </c>
    </row>
    <row r="398" spans="1:26" hidden="1" x14ac:dyDescent="0.2">
      <c r="A398" t="s">
        <v>927</v>
      </c>
      <c r="B398" t="s">
        <v>928</v>
      </c>
      <c r="C398" s="1">
        <v>46034</v>
      </c>
      <c r="D398" t="s">
        <v>178</v>
      </c>
      <c r="E398">
        <v>29</v>
      </c>
      <c r="F398">
        <v>10.199999999999999</v>
      </c>
      <c r="G398" t="s">
        <v>76</v>
      </c>
      <c r="H398" t="s">
        <v>30</v>
      </c>
      <c r="I398" s="1">
        <v>46034.383333333331</v>
      </c>
      <c r="J398" s="1">
        <v>46034.400694444441</v>
      </c>
      <c r="K398" s="1">
        <v>46034.42083333333</v>
      </c>
      <c r="L398" s="1">
        <v>46034.426388888889</v>
      </c>
      <c r="M398" s="1">
        <v>46034.446527777778</v>
      </c>
      <c r="N398" s="1">
        <v>46034.47152777778</v>
      </c>
      <c r="O398">
        <v>7</v>
      </c>
      <c r="P398" t="s">
        <v>37</v>
      </c>
      <c r="Q398" t="s">
        <v>82</v>
      </c>
      <c r="R398" t="s">
        <v>83</v>
      </c>
      <c r="S398" t="s">
        <v>84</v>
      </c>
      <c r="T398">
        <v>4000</v>
      </c>
      <c r="U398" t="s">
        <v>35</v>
      </c>
      <c r="V398" t="s">
        <v>36</v>
      </c>
      <c r="W398">
        <v>1</v>
      </c>
      <c r="X398" t="s">
        <v>37</v>
      </c>
      <c r="Y398">
        <v>5</v>
      </c>
      <c r="Z398" t="s">
        <v>296</v>
      </c>
    </row>
    <row r="399" spans="1:26" x14ac:dyDescent="0.2">
      <c r="A399" t="s">
        <v>929</v>
      </c>
      <c r="B399" t="s">
        <v>930</v>
      </c>
      <c r="C399" s="1">
        <v>46108</v>
      </c>
      <c r="D399" t="s">
        <v>28</v>
      </c>
      <c r="E399">
        <v>17</v>
      </c>
      <c r="F399">
        <v>7.9</v>
      </c>
      <c r="G399" t="s">
        <v>50</v>
      </c>
      <c r="H399" t="s">
        <v>157</v>
      </c>
      <c r="I399" s="1">
        <v>46108.297222222223</v>
      </c>
      <c r="J399" s="1">
        <v>46108.313194444447</v>
      </c>
      <c r="K399" s="1">
        <v>46108.372916666667</v>
      </c>
      <c r="L399" s="1">
        <v>46108.385416666664</v>
      </c>
      <c r="M399" s="1">
        <v>46108.395833333336</v>
      </c>
      <c r="N399" s="1">
        <v>46108.418055555558</v>
      </c>
      <c r="O399">
        <v>7</v>
      </c>
      <c r="P399" t="s">
        <v>37</v>
      </c>
      <c r="Q399" t="s">
        <v>96</v>
      </c>
      <c r="R399" t="s">
        <v>130</v>
      </c>
      <c r="S399" t="s">
        <v>98</v>
      </c>
      <c r="T399">
        <v>3000</v>
      </c>
      <c r="U399" t="s">
        <v>35</v>
      </c>
      <c r="V399" t="s">
        <v>36</v>
      </c>
      <c r="W399">
        <v>1</v>
      </c>
      <c r="X399" t="s">
        <v>37</v>
      </c>
      <c r="Y399">
        <v>2</v>
      </c>
      <c r="Z399" t="s">
        <v>131</v>
      </c>
    </row>
    <row r="400" spans="1:26" x14ac:dyDescent="0.2">
      <c r="A400" t="s">
        <v>931</v>
      </c>
      <c r="B400" t="s">
        <v>932</v>
      </c>
      <c r="C400" s="1">
        <v>46082</v>
      </c>
      <c r="D400" t="s">
        <v>94</v>
      </c>
      <c r="E400">
        <v>14</v>
      </c>
      <c r="F400">
        <v>11.4</v>
      </c>
      <c r="G400" t="s">
        <v>81</v>
      </c>
      <c r="H400" t="s">
        <v>30</v>
      </c>
      <c r="I400" s="1">
        <v>46082.364583333336</v>
      </c>
      <c r="J400" s="1">
        <v>46082.379166666666</v>
      </c>
      <c r="K400" s="1">
        <v>46082.393055555556</v>
      </c>
      <c r="L400" s="1">
        <v>46082.402777777781</v>
      </c>
      <c r="M400" s="1">
        <v>46082.429861111108</v>
      </c>
      <c r="N400" s="1">
        <v>46082.45208333333</v>
      </c>
      <c r="O400">
        <v>1</v>
      </c>
      <c r="P400" t="s">
        <v>37</v>
      </c>
      <c r="Q400" t="s">
        <v>82</v>
      </c>
      <c r="R400" t="s">
        <v>211</v>
      </c>
      <c r="S400" t="s">
        <v>84</v>
      </c>
      <c r="T400">
        <v>4000</v>
      </c>
      <c r="U400" t="s">
        <v>35</v>
      </c>
      <c r="V400" t="s">
        <v>36</v>
      </c>
      <c r="W400">
        <v>1</v>
      </c>
      <c r="X400" t="s">
        <v>37</v>
      </c>
      <c r="Y400">
        <v>2</v>
      </c>
      <c r="Z400" t="s">
        <v>86</v>
      </c>
    </row>
    <row r="401" spans="1:26" hidden="1" x14ac:dyDescent="0.2">
      <c r="A401" t="s">
        <v>933</v>
      </c>
      <c r="B401" t="s">
        <v>934</v>
      </c>
      <c r="C401" s="1">
        <v>46054</v>
      </c>
      <c r="D401" t="s">
        <v>285</v>
      </c>
      <c r="E401">
        <v>8</v>
      </c>
      <c r="F401">
        <v>8.4</v>
      </c>
      <c r="G401" t="s">
        <v>29</v>
      </c>
      <c r="H401" t="s">
        <v>65</v>
      </c>
      <c r="I401" s="1">
        <v>46054.268750000003</v>
      </c>
      <c r="J401" s="1">
        <v>46054.283333333333</v>
      </c>
      <c r="K401" s="1">
        <v>46054.327777777777</v>
      </c>
      <c r="L401" s="1">
        <v>46054.340277777781</v>
      </c>
      <c r="M401" s="1">
        <v>46054.351388888892</v>
      </c>
      <c r="N401" s="1">
        <v>46054.375</v>
      </c>
      <c r="O401">
        <v>6</v>
      </c>
      <c r="P401" t="s">
        <v>37</v>
      </c>
      <c r="Q401" t="s">
        <v>43</v>
      </c>
      <c r="R401" t="s">
        <v>58</v>
      </c>
      <c r="S401" t="s">
        <v>45</v>
      </c>
      <c r="T401">
        <v>2500</v>
      </c>
      <c r="U401" t="s">
        <v>35</v>
      </c>
      <c r="V401" t="s">
        <v>36</v>
      </c>
      <c r="W401">
        <v>1</v>
      </c>
      <c r="X401" t="s">
        <v>37</v>
      </c>
      <c r="Y401">
        <v>4</v>
      </c>
      <c r="Z401" t="s">
        <v>61</v>
      </c>
    </row>
    <row r="402" spans="1:26" hidden="1" x14ac:dyDescent="0.2">
      <c r="A402" t="s">
        <v>935</v>
      </c>
      <c r="B402" t="s">
        <v>936</v>
      </c>
      <c r="C402" s="1">
        <v>46025</v>
      </c>
      <c r="D402" t="s">
        <v>28</v>
      </c>
      <c r="E402">
        <v>16</v>
      </c>
      <c r="F402">
        <v>10.7</v>
      </c>
      <c r="G402" t="s">
        <v>29</v>
      </c>
      <c r="H402" t="s">
        <v>51</v>
      </c>
      <c r="I402" s="1">
        <v>46025.323611111111</v>
      </c>
      <c r="J402" s="1">
        <v>46025.342361111114</v>
      </c>
      <c r="K402" s="1">
        <v>46025.375694444447</v>
      </c>
      <c r="L402" s="1">
        <v>46025.386111111111</v>
      </c>
      <c r="M402" s="1">
        <v>46025.418749999997</v>
      </c>
      <c r="N402" s="1">
        <v>46025.442361111112</v>
      </c>
      <c r="O402">
        <v>7</v>
      </c>
      <c r="P402" t="s">
        <v>37</v>
      </c>
      <c r="Q402" t="s">
        <v>43</v>
      </c>
      <c r="R402" t="s">
        <v>158</v>
      </c>
      <c r="S402" t="s">
        <v>45</v>
      </c>
      <c r="T402">
        <v>2500</v>
      </c>
      <c r="U402" t="s">
        <v>35</v>
      </c>
      <c r="V402" t="s">
        <v>36</v>
      </c>
      <c r="W402">
        <v>1</v>
      </c>
      <c r="X402" t="s">
        <v>37</v>
      </c>
      <c r="Y402">
        <v>5</v>
      </c>
      <c r="Z402" t="s">
        <v>46</v>
      </c>
    </row>
    <row r="403" spans="1:26" hidden="1" x14ac:dyDescent="0.2">
      <c r="A403" t="s">
        <v>937</v>
      </c>
      <c r="B403" t="s">
        <v>938</v>
      </c>
      <c r="C403" s="1">
        <v>46050</v>
      </c>
      <c r="D403" t="s">
        <v>126</v>
      </c>
      <c r="E403">
        <v>11</v>
      </c>
      <c r="F403">
        <v>7.5</v>
      </c>
      <c r="G403" t="s">
        <v>29</v>
      </c>
      <c r="H403" t="s">
        <v>51</v>
      </c>
      <c r="I403" s="1">
        <v>46050.320138888892</v>
      </c>
      <c r="J403" s="1">
        <v>46050.325694444444</v>
      </c>
      <c r="K403" s="1">
        <v>46050.333333333336</v>
      </c>
      <c r="L403" s="1">
        <v>46050.340277777781</v>
      </c>
      <c r="M403" s="1">
        <v>46050.375694444447</v>
      </c>
      <c r="N403" s="1">
        <v>46050.400000000001</v>
      </c>
      <c r="O403">
        <v>4</v>
      </c>
      <c r="P403" t="s">
        <v>37</v>
      </c>
      <c r="Q403" t="s">
        <v>32</v>
      </c>
      <c r="R403" t="s">
        <v>33</v>
      </c>
      <c r="S403" t="s">
        <v>34</v>
      </c>
      <c r="T403">
        <v>5000</v>
      </c>
      <c r="U403" t="s">
        <v>35</v>
      </c>
      <c r="V403" t="s">
        <v>59</v>
      </c>
      <c r="W403">
        <v>4</v>
      </c>
      <c r="X403" t="s">
        <v>353</v>
      </c>
      <c r="Y403">
        <v>4</v>
      </c>
      <c r="Z403" t="s">
        <v>215</v>
      </c>
    </row>
    <row r="404" spans="1:26" hidden="1" x14ac:dyDescent="0.2">
      <c r="A404" t="s">
        <v>939</v>
      </c>
      <c r="B404" t="s">
        <v>940</v>
      </c>
      <c r="C404" s="1">
        <v>46111</v>
      </c>
      <c r="D404" t="s">
        <v>94</v>
      </c>
      <c r="E404">
        <v>10</v>
      </c>
      <c r="F404">
        <v>5</v>
      </c>
      <c r="G404" t="s">
        <v>29</v>
      </c>
      <c r="H404" t="s">
        <v>95</v>
      </c>
      <c r="I404" s="1">
        <v>46111.269444444442</v>
      </c>
      <c r="J404" s="1">
        <v>46111.272916666669</v>
      </c>
      <c r="K404" s="1">
        <v>46111.296527777777</v>
      </c>
      <c r="L404" s="1">
        <v>46111.3</v>
      </c>
      <c r="M404" s="1">
        <v>46111.315972222219</v>
      </c>
      <c r="N404" s="1">
        <v>46111.340277777781</v>
      </c>
      <c r="O404">
        <v>6</v>
      </c>
      <c r="P404" t="s">
        <v>106</v>
      </c>
      <c r="Q404" t="s">
        <v>43</v>
      </c>
      <c r="R404" t="s">
        <v>58</v>
      </c>
      <c r="S404" t="s">
        <v>45</v>
      </c>
      <c r="T404">
        <v>2500</v>
      </c>
      <c r="U404" t="s">
        <v>35</v>
      </c>
      <c r="V404" t="s">
        <v>36</v>
      </c>
      <c r="W404">
        <v>1</v>
      </c>
      <c r="X404" t="s">
        <v>37</v>
      </c>
      <c r="Y404">
        <v>5</v>
      </c>
      <c r="Z404" t="s">
        <v>54</v>
      </c>
    </row>
    <row r="405" spans="1:26" hidden="1" x14ac:dyDescent="0.2">
      <c r="A405" t="s">
        <v>941</v>
      </c>
      <c r="B405" t="s">
        <v>942</v>
      </c>
      <c r="C405" s="1">
        <v>46061</v>
      </c>
      <c r="D405" t="s">
        <v>137</v>
      </c>
      <c r="E405">
        <v>35</v>
      </c>
      <c r="F405">
        <v>7.4</v>
      </c>
      <c r="G405" t="s">
        <v>29</v>
      </c>
      <c r="H405" t="s">
        <v>95</v>
      </c>
      <c r="I405" s="1">
        <v>46061.410416666666</v>
      </c>
      <c r="J405" s="1">
        <v>46061.416666666664</v>
      </c>
      <c r="K405" s="1">
        <v>46061.462500000001</v>
      </c>
      <c r="L405" s="1">
        <v>46061.476388888892</v>
      </c>
      <c r="M405" s="1">
        <v>46061.504166666666</v>
      </c>
      <c r="N405" s="1">
        <v>46061.508333333331</v>
      </c>
      <c r="O405">
        <v>7</v>
      </c>
      <c r="P405" t="s">
        <v>37</v>
      </c>
      <c r="Q405" t="s">
        <v>43</v>
      </c>
      <c r="R405" t="s">
        <v>158</v>
      </c>
      <c r="S405" t="s">
        <v>45</v>
      </c>
      <c r="T405">
        <v>2500</v>
      </c>
      <c r="U405" t="s">
        <v>35</v>
      </c>
      <c r="V405" t="s">
        <v>36</v>
      </c>
      <c r="W405">
        <v>1</v>
      </c>
      <c r="X405" t="s">
        <v>37</v>
      </c>
      <c r="Y405">
        <v>5</v>
      </c>
      <c r="Z405" t="s">
        <v>168</v>
      </c>
    </row>
    <row r="406" spans="1:26" hidden="1" x14ac:dyDescent="0.2">
      <c r="A406" t="s">
        <v>943</v>
      </c>
      <c r="B406" t="s">
        <v>944</v>
      </c>
      <c r="C406" s="1">
        <v>46065</v>
      </c>
      <c r="D406" t="s">
        <v>178</v>
      </c>
      <c r="E406">
        <v>31</v>
      </c>
      <c r="F406">
        <v>10.8</v>
      </c>
      <c r="G406" t="s">
        <v>81</v>
      </c>
      <c r="H406" t="s">
        <v>65</v>
      </c>
      <c r="I406" s="1">
        <v>46065.379861111112</v>
      </c>
      <c r="J406" s="1">
        <v>46065.395138888889</v>
      </c>
      <c r="K406" s="1">
        <v>46065.427777777775</v>
      </c>
      <c r="L406" s="1">
        <v>46065.431944444441</v>
      </c>
      <c r="M406" s="1">
        <v>46065.460416666669</v>
      </c>
      <c r="N406" s="1">
        <v>46065.481249999997</v>
      </c>
      <c r="O406">
        <v>4</v>
      </c>
      <c r="P406" t="s">
        <v>37</v>
      </c>
      <c r="Q406" t="s">
        <v>32</v>
      </c>
      <c r="R406" t="s">
        <v>140</v>
      </c>
      <c r="S406" t="s">
        <v>34</v>
      </c>
      <c r="T406">
        <v>5000</v>
      </c>
      <c r="U406" t="s">
        <v>35</v>
      </c>
      <c r="V406" t="s">
        <v>59</v>
      </c>
      <c r="W406">
        <v>4</v>
      </c>
      <c r="X406" t="s">
        <v>85</v>
      </c>
      <c r="Y406">
        <v>5</v>
      </c>
      <c r="Z406" t="s">
        <v>131</v>
      </c>
    </row>
    <row r="407" spans="1:26" hidden="1" x14ac:dyDescent="0.2">
      <c r="A407" t="s">
        <v>945</v>
      </c>
      <c r="B407" t="s">
        <v>946</v>
      </c>
      <c r="C407" s="1">
        <v>46077</v>
      </c>
      <c r="D407" t="s">
        <v>254</v>
      </c>
      <c r="E407">
        <v>9</v>
      </c>
      <c r="F407">
        <v>6.1</v>
      </c>
      <c r="G407" t="s">
        <v>50</v>
      </c>
      <c r="H407" t="s">
        <v>157</v>
      </c>
      <c r="I407" s="1">
        <v>46077.270138888889</v>
      </c>
      <c r="J407" s="1">
        <v>46077.28402777778</v>
      </c>
      <c r="K407" s="1">
        <v>46077.345833333333</v>
      </c>
      <c r="L407" s="1">
        <v>46077.356944444444</v>
      </c>
      <c r="M407" s="1">
        <v>46077.383333333331</v>
      </c>
      <c r="N407" s="1">
        <v>46077.405555555553</v>
      </c>
      <c r="O407">
        <v>1</v>
      </c>
      <c r="P407" t="s">
        <v>52</v>
      </c>
      <c r="Q407" t="s">
        <v>96</v>
      </c>
      <c r="R407" t="s">
        <v>130</v>
      </c>
      <c r="S407" t="s">
        <v>98</v>
      </c>
      <c r="T407">
        <v>3000</v>
      </c>
      <c r="U407" t="s">
        <v>35</v>
      </c>
      <c r="V407" t="s">
        <v>36</v>
      </c>
      <c r="W407">
        <v>1</v>
      </c>
      <c r="X407" t="s">
        <v>37</v>
      </c>
      <c r="Y407">
        <v>3</v>
      </c>
      <c r="Z407" t="s">
        <v>54</v>
      </c>
    </row>
    <row r="408" spans="1:26" x14ac:dyDescent="0.2">
      <c r="A408" t="s">
        <v>947</v>
      </c>
      <c r="B408" t="s">
        <v>948</v>
      </c>
      <c r="C408" s="1">
        <v>46110</v>
      </c>
      <c r="D408" t="s">
        <v>289</v>
      </c>
      <c r="E408">
        <v>13</v>
      </c>
      <c r="F408">
        <v>11.1</v>
      </c>
      <c r="G408" t="s">
        <v>50</v>
      </c>
      <c r="H408" t="s">
        <v>157</v>
      </c>
      <c r="I408" s="1">
        <v>46110.397916666669</v>
      </c>
      <c r="J408" s="1">
        <v>46110.415972222225</v>
      </c>
      <c r="K408" s="1">
        <v>46110.454861111109</v>
      </c>
      <c r="L408" s="1">
        <v>46110.46875</v>
      </c>
      <c r="M408" s="1">
        <v>46110.482638888891</v>
      </c>
      <c r="N408" s="1">
        <v>46110.513194444444</v>
      </c>
      <c r="O408">
        <v>2</v>
      </c>
      <c r="P408" t="s">
        <v>37</v>
      </c>
      <c r="Q408" t="s">
        <v>69</v>
      </c>
      <c r="R408" t="s">
        <v>70</v>
      </c>
      <c r="S408" t="s">
        <v>71</v>
      </c>
      <c r="T408">
        <v>2000</v>
      </c>
      <c r="U408" t="s">
        <v>35</v>
      </c>
      <c r="V408" t="s">
        <v>36</v>
      </c>
      <c r="W408">
        <v>1</v>
      </c>
      <c r="X408" t="s">
        <v>37</v>
      </c>
      <c r="Y408">
        <v>2</v>
      </c>
      <c r="Z408" t="s">
        <v>54</v>
      </c>
    </row>
    <row r="409" spans="1:26" x14ac:dyDescent="0.2">
      <c r="A409" t="s">
        <v>949</v>
      </c>
      <c r="B409" t="s">
        <v>950</v>
      </c>
      <c r="C409" s="1">
        <v>46100</v>
      </c>
      <c r="D409" t="s">
        <v>186</v>
      </c>
      <c r="E409">
        <v>36</v>
      </c>
      <c r="F409">
        <v>6.4</v>
      </c>
      <c r="G409" t="s">
        <v>57</v>
      </c>
      <c r="H409" t="s">
        <v>65</v>
      </c>
      <c r="I409" s="1">
        <v>46100.258333333331</v>
      </c>
      <c r="J409" s="1">
        <v>46100.261805555558</v>
      </c>
      <c r="K409" s="1">
        <v>46100.3</v>
      </c>
      <c r="L409" s="1">
        <v>46100.309027777781</v>
      </c>
      <c r="M409" s="1">
        <v>46100.331250000003</v>
      </c>
      <c r="N409" s="1">
        <v>46100.341666666667</v>
      </c>
      <c r="O409">
        <v>2</v>
      </c>
      <c r="P409" t="s">
        <v>37</v>
      </c>
      <c r="Q409" t="s">
        <v>32</v>
      </c>
      <c r="R409" t="s">
        <v>140</v>
      </c>
      <c r="S409" t="s">
        <v>34</v>
      </c>
      <c r="T409">
        <v>5000</v>
      </c>
      <c r="U409" t="s">
        <v>35</v>
      </c>
      <c r="V409" t="s">
        <v>36</v>
      </c>
      <c r="W409">
        <v>1</v>
      </c>
      <c r="X409" t="s">
        <v>37</v>
      </c>
      <c r="Y409">
        <v>2</v>
      </c>
      <c r="Z409" t="s">
        <v>168</v>
      </c>
    </row>
    <row r="410" spans="1:26" hidden="1" x14ac:dyDescent="0.2">
      <c r="A410" t="s">
        <v>951</v>
      </c>
      <c r="B410" t="s">
        <v>952</v>
      </c>
      <c r="C410" s="1">
        <v>46102</v>
      </c>
      <c r="D410" t="s">
        <v>41</v>
      </c>
      <c r="E410">
        <v>36</v>
      </c>
      <c r="F410">
        <v>6.1</v>
      </c>
      <c r="G410" t="s">
        <v>76</v>
      </c>
      <c r="H410" t="s">
        <v>42</v>
      </c>
      <c r="I410" s="1">
        <v>46102.3125</v>
      </c>
      <c r="J410" s="1">
        <v>46102.332638888889</v>
      </c>
      <c r="K410" s="1">
        <v>46102.343055555553</v>
      </c>
      <c r="L410" s="1">
        <v>46102.352083333331</v>
      </c>
      <c r="M410" s="1">
        <v>46102.365277777775</v>
      </c>
      <c r="N410" s="1">
        <v>46102.390972222223</v>
      </c>
      <c r="O410">
        <v>5</v>
      </c>
      <c r="P410" t="s">
        <v>37</v>
      </c>
      <c r="Q410" t="s">
        <v>32</v>
      </c>
      <c r="R410" t="s">
        <v>120</v>
      </c>
      <c r="S410" t="s">
        <v>34</v>
      </c>
      <c r="T410">
        <v>5000</v>
      </c>
      <c r="U410" t="s">
        <v>35</v>
      </c>
      <c r="V410" t="s">
        <v>59</v>
      </c>
      <c r="W410">
        <v>4</v>
      </c>
      <c r="X410" t="s">
        <v>193</v>
      </c>
      <c r="Y410">
        <v>5</v>
      </c>
      <c r="Z410" t="s">
        <v>61</v>
      </c>
    </row>
    <row r="411" spans="1:26" x14ac:dyDescent="0.2">
      <c r="A411" t="s">
        <v>953</v>
      </c>
      <c r="B411" t="s">
        <v>954</v>
      </c>
      <c r="C411" s="1">
        <v>46036</v>
      </c>
      <c r="D411" t="s">
        <v>154</v>
      </c>
      <c r="E411">
        <v>40</v>
      </c>
      <c r="F411">
        <v>4.3</v>
      </c>
      <c r="G411" t="s">
        <v>29</v>
      </c>
      <c r="H411" t="s">
        <v>95</v>
      </c>
      <c r="I411" s="1">
        <v>46036.361805555556</v>
      </c>
      <c r="J411" s="1">
        <v>46036.367361111108</v>
      </c>
      <c r="K411" s="1">
        <v>46036.392361111109</v>
      </c>
      <c r="L411" s="1">
        <v>46036.40347222222</v>
      </c>
      <c r="M411" s="1">
        <v>46036.417361111111</v>
      </c>
      <c r="N411" s="1">
        <v>46036.433333333334</v>
      </c>
      <c r="O411">
        <v>6</v>
      </c>
      <c r="P411" t="s">
        <v>37</v>
      </c>
      <c r="Q411" t="s">
        <v>69</v>
      </c>
      <c r="R411" t="s">
        <v>111</v>
      </c>
      <c r="S411" t="s">
        <v>71</v>
      </c>
      <c r="T411">
        <v>2000</v>
      </c>
      <c r="U411" t="s">
        <v>35</v>
      </c>
      <c r="V411" t="s">
        <v>36</v>
      </c>
      <c r="W411">
        <v>1</v>
      </c>
      <c r="X411" t="s">
        <v>37</v>
      </c>
      <c r="Y411">
        <v>2</v>
      </c>
      <c r="Z411" t="s">
        <v>134</v>
      </c>
    </row>
    <row r="412" spans="1:26" hidden="1" x14ac:dyDescent="0.2">
      <c r="A412" t="s">
        <v>955</v>
      </c>
      <c r="B412" t="s">
        <v>956</v>
      </c>
      <c r="C412" s="1">
        <v>46065</v>
      </c>
      <c r="D412" t="s">
        <v>64</v>
      </c>
      <c r="E412">
        <v>17</v>
      </c>
      <c r="F412">
        <v>7.5</v>
      </c>
      <c r="G412" t="s">
        <v>50</v>
      </c>
      <c r="H412" t="s">
        <v>42</v>
      </c>
      <c r="I412" s="1">
        <v>46065.386111111111</v>
      </c>
      <c r="J412" s="1">
        <v>46065.38958333333</v>
      </c>
      <c r="K412" s="1">
        <v>46065.418055555558</v>
      </c>
      <c r="L412" s="1">
        <v>46065.431944444441</v>
      </c>
      <c r="M412" s="1">
        <v>46065.453472222223</v>
      </c>
      <c r="N412" s="1">
        <v>46065.469444444447</v>
      </c>
      <c r="O412">
        <v>5</v>
      </c>
      <c r="P412" t="s">
        <v>129</v>
      </c>
      <c r="Q412" t="s">
        <v>82</v>
      </c>
      <c r="R412" t="s">
        <v>286</v>
      </c>
      <c r="S412" t="s">
        <v>84</v>
      </c>
      <c r="T412">
        <v>4000</v>
      </c>
      <c r="U412" t="s">
        <v>35</v>
      </c>
      <c r="V412" t="s">
        <v>36</v>
      </c>
      <c r="W412">
        <v>1</v>
      </c>
      <c r="X412" t="s">
        <v>37</v>
      </c>
      <c r="Y412">
        <v>4</v>
      </c>
      <c r="Z412" t="s">
        <v>134</v>
      </c>
    </row>
    <row r="413" spans="1:26" x14ac:dyDescent="0.2">
      <c r="A413" t="s">
        <v>957</v>
      </c>
      <c r="B413" t="s">
        <v>958</v>
      </c>
      <c r="C413" s="1">
        <v>46042</v>
      </c>
      <c r="D413" t="s">
        <v>137</v>
      </c>
      <c r="E413">
        <v>19</v>
      </c>
      <c r="F413">
        <v>5.0999999999999996</v>
      </c>
      <c r="G413" t="s">
        <v>50</v>
      </c>
      <c r="H413" t="s">
        <v>157</v>
      </c>
      <c r="I413" s="1">
        <v>46042.413194444445</v>
      </c>
      <c r="J413" s="1">
        <v>46042.425694444442</v>
      </c>
      <c r="K413" s="1">
        <v>46042.472916666666</v>
      </c>
      <c r="L413" s="1">
        <v>46042.484027777777</v>
      </c>
      <c r="M413" s="1">
        <v>46042.491666666669</v>
      </c>
      <c r="N413" s="1">
        <v>46042.51458333333</v>
      </c>
      <c r="O413">
        <v>2</v>
      </c>
      <c r="P413" t="s">
        <v>37</v>
      </c>
      <c r="Q413" t="s">
        <v>69</v>
      </c>
      <c r="R413" t="s">
        <v>70</v>
      </c>
      <c r="S413" t="s">
        <v>71</v>
      </c>
      <c r="T413">
        <v>2000</v>
      </c>
      <c r="U413" t="s">
        <v>35</v>
      </c>
      <c r="V413" t="s">
        <v>36</v>
      </c>
      <c r="W413">
        <v>1</v>
      </c>
      <c r="X413" t="s">
        <v>37</v>
      </c>
      <c r="Y413">
        <v>2</v>
      </c>
      <c r="Z413" t="s">
        <v>99</v>
      </c>
    </row>
    <row r="414" spans="1:26" hidden="1" x14ac:dyDescent="0.2">
      <c r="A414" t="s">
        <v>959</v>
      </c>
      <c r="B414" t="s">
        <v>960</v>
      </c>
      <c r="C414" s="1">
        <v>46074</v>
      </c>
      <c r="D414" t="s">
        <v>137</v>
      </c>
      <c r="E414">
        <v>8</v>
      </c>
      <c r="F414">
        <v>7.1</v>
      </c>
      <c r="G414" t="s">
        <v>29</v>
      </c>
      <c r="H414" t="s">
        <v>30</v>
      </c>
      <c r="I414" s="1">
        <v>46074.413888888892</v>
      </c>
      <c r="J414" s="1">
        <v>46074.431250000001</v>
      </c>
      <c r="K414" s="1">
        <v>46074.451388888891</v>
      </c>
      <c r="L414" s="1">
        <v>46074.455555555556</v>
      </c>
      <c r="M414" s="1">
        <v>46074.490277777775</v>
      </c>
      <c r="N414" s="1">
        <v>46074.51666666667</v>
      </c>
      <c r="O414">
        <v>3</v>
      </c>
      <c r="P414" t="s">
        <v>37</v>
      </c>
      <c r="Q414" t="s">
        <v>82</v>
      </c>
      <c r="R414" t="s">
        <v>214</v>
      </c>
      <c r="S414" t="s">
        <v>84</v>
      </c>
      <c r="T414">
        <v>4000</v>
      </c>
      <c r="U414" t="s">
        <v>35</v>
      </c>
      <c r="V414" t="s">
        <v>36</v>
      </c>
      <c r="W414">
        <v>1</v>
      </c>
      <c r="X414" t="s">
        <v>37</v>
      </c>
      <c r="Y414">
        <v>5</v>
      </c>
      <c r="Z414" t="s">
        <v>38</v>
      </c>
    </row>
    <row r="415" spans="1:26" hidden="1" x14ac:dyDescent="0.2">
      <c r="A415" t="s">
        <v>961</v>
      </c>
      <c r="B415" t="s">
        <v>962</v>
      </c>
      <c r="C415" s="1">
        <v>46067</v>
      </c>
      <c r="D415" t="s">
        <v>178</v>
      </c>
      <c r="E415">
        <v>14</v>
      </c>
      <c r="F415">
        <v>9.6</v>
      </c>
      <c r="G415" t="s">
        <v>50</v>
      </c>
      <c r="H415" t="s">
        <v>30</v>
      </c>
      <c r="I415" s="1">
        <v>46067.286111111112</v>
      </c>
      <c r="J415" s="1">
        <v>46067.301388888889</v>
      </c>
      <c r="K415" s="1">
        <v>46067.363194444442</v>
      </c>
      <c r="L415" s="1">
        <v>46067.376388888886</v>
      </c>
      <c r="M415" s="1">
        <v>46067.413888888892</v>
      </c>
      <c r="N415" s="1">
        <v>46067.432638888888</v>
      </c>
      <c r="O415">
        <v>7</v>
      </c>
      <c r="P415" t="s">
        <v>37</v>
      </c>
      <c r="Q415" t="s">
        <v>96</v>
      </c>
      <c r="R415" t="s">
        <v>130</v>
      </c>
      <c r="S415" t="s">
        <v>98</v>
      </c>
      <c r="T415">
        <v>3000</v>
      </c>
      <c r="U415" t="s">
        <v>35</v>
      </c>
      <c r="V415" t="s">
        <v>36</v>
      </c>
      <c r="W415">
        <v>1</v>
      </c>
      <c r="X415" t="s">
        <v>37</v>
      </c>
      <c r="Y415">
        <v>4</v>
      </c>
      <c r="Z415" t="s">
        <v>102</v>
      </c>
    </row>
    <row r="416" spans="1:26" hidden="1" x14ac:dyDescent="0.2">
      <c r="A416" t="s">
        <v>963</v>
      </c>
      <c r="B416" t="s">
        <v>964</v>
      </c>
      <c r="C416" s="1">
        <v>46065</v>
      </c>
      <c r="D416" t="s">
        <v>220</v>
      </c>
      <c r="E416">
        <v>39</v>
      </c>
      <c r="F416">
        <v>6.3</v>
      </c>
      <c r="G416" t="s">
        <v>29</v>
      </c>
      <c r="H416" t="s">
        <v>65</v>
      </c>
      <c r="I416" s="1">
        <v>46065.347916666666</v>
      </c>
      <c r="J416" s="1">
        <v>46065.357638888891</v>
      </c>
      <c r="K416" s="1">
        <v>46065.410416666666</v>
      </c>
      <c r="L416" s="1">
        <v>46065.42083333333</v>
      </c>
      <c r="M416" s="1">
        <v>46065.461111111108</v>
      </c>
      <c r="N416" s="1">
        <v>46065.492361111108</v>
      </c>
      <c r="O416">
        <v>2</v>
      </c>
      <c r="P416" t="s">
        <v>31</v>
      </c>
      <c r="Q416" t="s">
        <v>82</v>
      </c>
      <c r="R416" t="s">
        <v>77</v>
      </c>
      <c r="S416" t="s">
        <v>84</v>
      </c>
      <c r="T416">
        <v>4000</v>
      </c>
      <c r="U416" t="s">
        <v>35</v>
      </c>
      <c r="V416" t="s">
        <v>36</v>
      </c>
      <c r="W416">
        <v>1</v>
      </c>
      <c r="X416" t="s">
        <v>37</v>
      </c>
      <c r="Y416">
        <v>5</v>
      </c>
      <c r="Z416" t="s">
        <v>38</v>
      </c>
    </row>
    <row r="417" spans="1:26" hidden="1" x14ac:dyDescent="0.2">
      <c r="A417" t="s">
        <v>965</v>
      </c>
      <c r="B417" t="s">
        <v>966</v>
      </c>
      <c r="C417" s="1">
        <v>46087</v>
      </c>
      <c r="D417" t="s">
        <v>28</v>
      </c>
      <c r="E417">
        <v>21</v>
      </c>
      <c r="F417">
        <v>9</v>
      </c>
      <c r="G417" t="s">
        <v>76</v>
      </c>
      <c r="H417" t="s">
        <v>51</v>
      </c>
      <c r="I417" s="1">
        <v>46087.258333333331</v>
      </c>
      <c r="J417" s="1">
        <v>46087.27847222222</v>
      </c>
      <c r="K417" s="1">
        <v>46087.29583333333</v>
      </c>
      <c r="L417" s="1">
        <v>46087.309027777781</v>
      </c>
      <c r="M417" s="1">
        <v>46087.32916666667</v>
      </c>
      <c r="N417" s="1">
        <v>46087.357638888891</v>
      </c>
      <c r="O417">
        <v>6</v>
      </c>
      <c r="P417" t="s">
        <v>129</v>
      </c>
      <c r="Q417" t="s">
        <v>32</v>
      </c>
      <c r="R417" t="s">
        <v>66</v>
      </c>
      <c r="S417" t="s">
        <v>34</v>
      </c>
      <c r="T417">
        <v>5000</v>
      </c>
      <c r="U417" t="s">
        <v>91</v>
      </c>
      <c r="V417" t="s">
        <v>36</v>
      </c>
      <c r="W417">
        <v>1</v>
      </c>
      <c r="X417" t="s">
        <v>37</v>
      </c>
      <c r="Y417">
        <v>5</v>
      </c>
      <c r="Z417" t="s">
        <v>215</v>
      </c>
    </row>
    <row r="418" spans="1:26" x14ac:dyDescent="0.2">
      <c r="A418" t="s">
        <v>967</v>
      </c>
      <c r="B418" t="s">
        <v>968</v>
      </c>
      <c r="C418" s="1">
        <v>46108</v>
      </c>
      <c r="D418" t="s">
        <v>75</v>
      </c>
      <c r="E418">
        <v>27</v>
      </c>
      <c r="F418">
        <v>6.4</v>
      </c>
      <c r="G418" t="s">
        <v>81</v>
      </c>
      <c r="H418" t="s">
        <v>30</v>
      </c>
      <c r="I418" s="1">
        <v>46108.274305555555</v>
      </c>
      <c r="J418" s="1">
        <v>46108.293055555558</v>
      </c>
      <c r="K418" s="1">
        <v>46108.333333333336</v>
      </c>
      <c r="L418" s="1">
        <v>46108.341666666667</v>
      </c>
      <c r="M418" s="1">
        <v>46108.352777777778</v>
      </c>
      <c r="N418" s="1">
        <v>46108.370138888888</v>
      </c>
      <c r="O418">
        <v>5</v>
      </c>
      <c r="P418" t="s">
        <v>37</v>
      </c>
      <c r="Q418" t="s">
        <v>69</v>
      </c>
      <c r="R418" t="s">
        <v>146</v>
      </c>
      <c r="S418" t="s">
        <v>71</v>
      </c>
      <c r="T418">
        <v>2000</v>
      </c>
      <c r="U418" t="s">
        <v>35</v>
      </c>
      <c r="V418" t="s">
        <v>36</v>
      </c>
      <c r="W418">
        <v>1</v>
      </c>
      <c r="X418" t="s">
        <v>37</v>
      </c>
      <c r="Y418">
        <v>2</v>
      </c>
      <c r="Z418" t="s">
        <v>38</v>
      </c>
    </row>
    <row r="419" spans="1:26" hidden="1" x14ac:dyDescent="0.2">
      <c r="A419" t="s">
        <v>969</v>
      </c>
      <c r="B419" t="s">
        <v>970</v>
      </c>
      <c r="C419" s="1">
        <v>46075</v>
      </c>
      <c r="D419" t="s">
        <v>89</v>
      </c>
      <c r="E419">
        <v>32</v>
      </c>
      <c r="F419">
        <v>11.1</v>
      </c>
      <c r="G419" t="s">
        <v>50</v>
      </c>
      <c r="H419" t="s">
        <v>95</v>
      </c>
      <c r="I419" s="1">
        <v>46075.32916666667</v>
      </c>
      <c r="J419" s="1">
        <v>46075.334027777775</v>
      </c>
      <c r="K419" s="1">
        <v>46075.373611111114</v>
      </c>
      <c r="L419" s="1">
        <v>46075.385416666664</v>
      </c>
      <c r="M419" s="1">
        <v>46075.418055555558</v>
      </c>
      <c r="N419" s="1">
        <v>46075.445833333331</v>
      </c>
      <c r="O419">
        <v>5</v>
      </c>
      <c r="P419" t="s">
        <v>37</v>
      </c>
      <c r="Q419" t="s">
        <v>32</v>
      </c>
      <c r="R419" t="s">
        <v>107</v>
      </c>
      <c r="S419" t="s">
        <v>34</v>
      </c>
      <c r="T419">
        <v>5000</v>
      </c>
      <c r="U419" t="s">
        <v>35</v>
      </c>
      <c r="V419" t="s">
        <v>36</v>
      </c>
      <c r="W419">
        <v>1</v>
      </c>
      <c r="X419" t="s">
        <v>37</v>
      </c>
      <c r="Y419">
        <v>5</v>
      </c>
      <c r="Z419" t="s">
        <v>72</v>
      </c>
    </row>
    <row r="420" spans="1:26" hidden="1" x14ac:dyDescent="0.2">
      <c r="A420" t="s">
        <v>971</v>
      </c>
      <c r="B420" t="s">
        <v>972</v>
      </c>
      <c r="C420" s="1">
        <v>46076</v>
      </c>
      <c r="D420" t="s">
        <v>64</v>
      </c>
      <c r="E420">
        <v>37</v>
      </c>
      <c r="F420">
        <v>5</v>
      </c>
      <c r="G420" t="s">
        <v>50</v>
      </c>
      <c r="H420" t="s">
        <v>95</v>
      </c>
      <c r="I420" s="1">
        <v>46076.375</v>
      </c>
      <c r="J420" s="1">
        <v>46076.38958333333</v>
      </c>
      <c r="K420" s="1">
        <v>46076.443055555559</v>
      </c>
      <c r="L420" s="1">
        <v>46076.448611111111</v>
      </c>
      <c r="M420" s="1">
        <v>46076.486111111109</v>
      </c>
      <c r="N420" s="1">
        <v>46076.498611111114</v>
      </c>
      <c r="O420">
        <v>4</v>
      </c>
      <c r="P420" t="s">
        <v>37</v>
      </c>
      <c r="Q420" t="s">
        <v>82</v>
      </c>
      <c r="R420" t="s">
        <v>83</v>
      </c>
      <c r="S420" t="s">
        <v>84</v>
      </c>
      <c r="T420">
        <v>4000</v>
      </c>
      <c r="U420" t="s">
        <v>35</v>
      </c>
      <c r="V420" t="s">
        <v>59</v>
      </c>
      <c r="W420">
        <v>3</v>
      </c>
      <c r="X420" t="s">
        <v>116</v>
      </c>
      <c r="Y420">
        <v>4</v>
      </c>
      <c r="Z420" t="s">
        <v>168</v>
      </c>
    </row>
    <row r="421" spans="1:26" hidden="1" x14ac:dyDescent="0.2">
      <c r="A421" t="s">
        <v>973</v>
      </c>
      <c r="B421" t="s">
        <v>974</v>
      </c>
      <c r="C421" s="1">
        <v>46038</v>
      </c>
      <c r="D421" t="s">
        <v>242</v>
      </c>
      <c r="E421">
        <v>7</v>
      </c>
      <c r="F421">
        <v>8.1999999999999993</v>
      </c>
      <c r="G421" t="s">
        <v>29</v>
      </c>
      <c r="H421" t="s">
        <v>167</v>
      </c>
      <c r="I421" s="1">
        <v>46038.304166666669</v>
      </c>
      <c r="J421" s="1">
        <v>46038.31527777778</v>
      </c>
      <c r="K421" s="1">
        <v>46038.348611111112</v>
      </c>
      <c r="L421" s="1">
        <v>46038.35833333333</v>
      </c>
      <c r="M421" s="1">
        <v>46038.386805555558</v>
      </c>
      <c r="N421" s="1">
        <v>46038.390972222223</v>
      </c>
      <c r="O421">
        <v>7</v>
      </c>
      <c r="P421" t="s">
        <v>31</v>
      </c>
      <c r="Q421" t="s">
        <v>69</v>
      </c>
      <c r="R421" t="s">
        <v>251</v>
      </c>
      <c r="S421" t="s">
        <v>71</v>
      </c>
      <c r="T421">
        <v>2000</v>
      </c>
      <c r="U421" t="s">
        <v>35</v>
      </c>
      <c r="V421" t="s">
        <v>59</v>
      </c>
      <c r="W421">
        <v>3</v>
      </c>
      <c r="X421" t="s">
        <v>353</v>
      </c>
      <c r="Y421">
        <v>3</v>
      </c>
      <c r="Z421" t="s">
        <v>46</v>
      </c>
    </row>
    <row r="422" spans="1:26" hidden="1" x14ac:dyDescent="0.2">
      <c r="A422" t="s">
        <v>975</v>
      </c>
      <c r="B422" t="s">
        <v>976</v>
      </c>
      <c r="C422" s="1">
        <v>46023</v>
      </c>
      <c r="D422" t="s">
        <v>28</v>
      </c>
      <c r="E422">
        <v>9</v>
      </c>
      <c r="F422">
        <v>11</v>
      </c>
      <c r="G422" t="s">
        <v>50</v>
      </c>
      <c r="H422" t="s">
        <v>157</v>
      </c>
      <c r="I422" s="1">
        <v>46023.351388888892</v>
      </c>
      <c r="J422" s="1">
        <v>46023.361111111109</v>
      </c>
      <c r="K422" s="1">
        <v>46023.418055555558</v>
      </c>
      <c r="L422" s="1">
        <v>46023.431250000001</v>
      </c>
      <c r="M422" s="1">
        <v>46023.452777777777</v>
      </c>
      <c r="N422" s="1">
        <v>46023.472916666666</v>
      </c>
      <c r="O422">
        <v>4</v>
      </c>
      <c r="P422" t="s">
        <v>37</v>
      </c>
      <c r="Q422" t="s">
        <v>69</v>
      </c>
      <c r="R422" t="s">
        <v>251</v>
      </c>
      <c r="S422" t="s">
        <v>71</v>
      </c>
      <c r="T422">
        <v>2000</v>
      </c>
      <c r="U422" t="s">
        <v>35</v>
      </c>
      <c r="V422" t="s">
        <v>36</v>
      </c>
      <c r="W422">
        <v>1</v>
      </c>
      <c r="X422" t="s">
        <v>37</v>
      </c>
      <c r="Y422">
        <v>3</v>
      </c>
      <c r="Z422" t="s">
        <v>134</v>
      </c>
    </row>
    <row r="423" spans="1:26" hidden="1" x14ac:dyDescent="0.2">
      <c r="A423" t="s">
        <v>977</v>
      </c>
      <c r="B423" t="s">
        <v>978</v>
      </c>
      <c r="C423" s="1">
        <v>46080</v>
      </c>
      <c r="D423" t="s">
        <v>94</v>
      </c>
      <c r="E423">
        <v>25</v>
      </c>
      <c r="F423">
        <v>4.7</v>
      </c>
      <c r="G423" t="s">
        <v>81</v>
      </c>
      <c r="H423" t="s">
        <v>30</v>
      </c>
      <c r="I423" s="1">
        <v>46080.36041666667</v>
      </c>
      <c r="J423" s="1">
        <v>46080.372916666667</v>
      </c>
      <c r="K423" s="1">
        <v>46080.413888888892</v>
      </c>
      <c r="L423" s="1">
        <v>46080.422222222223</v>
      </c>
      <c r="M423" s="1">
        <v>46080.446527777778</v>
      </c>
      <c r="N423" s="1">
        <v>46080.464583333334</v>
      </c>
      <c r="O423">
        <v>5</v>
      </c>
      <c r="P423" t="s">
        <v>52</v>
      </c>
      <c r="Q423" t="s">
        <v>43</v>
      </c>
      <c r="R423" t="s">
        <v>158</v>
      </c>
      <c r="S423" t="s">
        <v>45</v>
      </c>
      <c r="T423">
        <v>2500</v>
      </c>
      <c r="U423" t="s">
        <v>35</v>
      </c>
      <c r="V423" t="s">
        <v>36</v>
      </c>
      <c r="W423">
        <v>1</v>
      </c>
      <c r="X423" t="s">
        <v>37</v>
      </c>
      <c r="Y423">
        <v>5</v>
      </c>
      <c r="Z423" t="s">
        <v>46</v>
      </c>
    </row>
    <row r="424" spans="1:26" hidden="1" x14ac:dyDescent="0.2">
      <c r="A424" t="s">
        <v>979</v>
      </c>
      <c r="B424" t="s">
        <v>980</v>
      </c>
      <c r="C424" s="1">
        <v>46026</v>
      </c>
      <c r="D424" t="s">
        <v>254</v>
      </c>
      <c r="E424">
        <v>12</v>
      </c>
      <c r="F424">
        <v>9.1999999999999993</v>
      </c>
      <c r="G424" t="s">
        <v>29</v>
      </c>
      <c r="H424" t="s">
        <v>95</v>
      </c>
      <c r="I424" s="1">
        <v>46026.359722222223</v>
      </c>
      <c r="J424" s="1">
        <v>46026.375</v>
      </c>
      <c r="K424" s="1">
        <v>46026.432638888888</v>
      </c>
      <c r="L424" s="1">
        <v>46026.436805555553</v>
      </c>
      <c r="M424" s="1">
        <v>46026.46875</v>
      </c>
      <c r="N424" s="1">
        <v>46026.495138888888</v>
      </c>
      <c r="O424">
        <v>2</v>
      </c>
      <c r="P424" t="s">
        <v>37</v>
      </c>
      <c r="Q424" t="s">
        <v>96</v>
      </c>
      <c r="R424" t="s">
        <v>130</v>
      </c>
      <c r="S424" t="s">
        <v>98</v>
      </c>
      <c r="T424">
        <v>3000</v>
      </c>
      <c r="U424" t="s">
        <v>35</v>
      </c>
      <c r="V424" t="s">
        <v>36</v>
      </c>
      <c r="W424">
        <v>1</v>
      </c>
      <c r="X424" t="s">
        <v>37</v>
      </c>
      <c r="Y424">
        <v>5</v>
      </c>
      <c r="Z424" t="s">
        <v>131</v>
      </c>
    </row>
    <row r="425" spans="1:26" hidden="1" x14ac:dyDescent="0.2">
      <c r="A425" t="s">
        <v>981</v>
      </c>
      <c r="B425" t="s">
        <v>982</v>
      </c>
      <c r="C425" s="1">
        <v>46025</v>
      </c>
      <c r="D425" t="s">
        <v>49</v>
      </c>
      <c r="E425">
        <v>33</v>
      </c>
      <c r="F425">
        <v>4.7</v>
      </c>
      <c r="G425" t="s">
        <v>81</v>
      </c>
      <c r="H425" t="s">
        <v>65</v>
      </c>
      <c r="I425" s="1">
        <v>46025.306944444441</v>
      </c>
      <c r="J425" s="1">
        <v>46025.318749999999</v>
      </c>
      <c r="K425" s="1">
        <v>46025.37777777778</v>
      </c>
      <c r="L425" s="1">
        <v>46025.381944444445</v>
      </c>
      <c r="M425" s="1">
        <v>46025.410416666666</v>
      </c>
      <c r="N425" s="1">
        <v>46025.414583333331</v>
      </c>
      <c r="O425">
        <v>3</v>
      </c>
      <c r="P425" t="s">
        <v>37</v>
      </c>
      <c r="Q425" t="s">
        <v>82</v>
      </c>
      <c r="R425" t="s">
        <v>83</v>
      </c>
      <c r="S425" t="s">
        <v>84</v>
      </c>
      <c r="T425">
        <v>4000</v>
      </c>
      <c r="U425" t="s">
        <v>35</v>
      </c>
      <c r="V425" t="s">
        <v>59</v>
      </c>
      <c r="W425">
        <v>3</v>
      </c>
      <c r="X425" t="s">
        <v>193</v>
      </c>
      <c r="Y425">
        <v>3</v>
      </c>
      <c r="Z425" t="s">
        <v>117</v>
      </c>
    </row>
    <row r="426" spans="1:26" hidden="1" x14ac:dyDescent="0.2">
      <c r="A426" t="s">
        <v>983</v>
      </c>
      <c r="B426" t="s">
        <v>984</v>
      </c>
      <c r="C426" s="1">
        <v>46092</v>
      </c>
      <c r="D426" t="s">
        <v>126</v>
      </c>
      <c r="E426">
        <v>16</v>
      </c>
      <c r="F426">
        <v>6</v>
      </c>
      <c r="G426" t="s">
        <v>29</v>
      </c>
      <c r="H426" t="s">
        <v>95</v>
      </c>
      <c r="I426" s="1">
        <v>46092.304166666669</v>
      </c>
      <c r="J426" s="1">
        <v>46092.316666666666</v>
      </c>
      <c r="K426" s="1">
        <v>46092.338194444441</v>
      </c>
      <c r="L426" s="1">
        <v>46092.342361111114</v>
      </c>
      <c r="M426" s="1">
        <v>46092.376388888886</v>
      </c>
      <c r="N426" s="1">
        <v>46092.393750000003</v>
      </c>
      <c r="O426">
        <v>2</v>
      </c>
      <c r="P426" t="s">
        <v>238</v>
      </c>
      <c r="Q426" t="s">
        <v>96</v>
      </c>
      <c r="R426" t="s">
        <v>164</v>
      </c>
      <c r="S426" t="s">
        <v>98</v>
      </c>
      <c r="T426">
        <v>3000</v>
      </c>
      <c r="U426" t="s">
        <v>35</v>
      </c>
      <c r="V426" t="s">
        <v>36</v>
      </c>
      <c r="W426">
        <v>1</v>
      </c>
      <c r="X426" t="s">
        <v>37</v>
      </c>
      <c r="Y426">
        <v>3</v>
      </c>
      <c r="Z426" t="s">
        <v>86</v>
      </c>
    </row>
    <row r="427" spans="1:26" x14ac:dyDescent="0.2">
      <c r="A427" t="s">
        <v>985</v>
      </c>
      <c r="B427" t="s">
        <v>986</v>
      </c>
      <c r="C427" s="1">
        <v>46056</v>
      </c>
      <c r="D427" t="s">
        <v>220</v>
      </c>
      <c r="E427">
        <v>17</v>
      </c>
      <c r="F427">
        <v>5.9</v>
      </c>
      <c r="G427" t="s">
        <v>81</v>
      </c>
      <c r="H427" t="s">
        <v>65</v>
      </c>
      <c r="I427" s="1">
        <v>46056.291666666664</v>
      </c>
      <c r="J427" s="1">
        <v>46056.305555555555</v>
      </c>
      <c r="K427" s="1">
        <v>46056.357638888891</v>
      </c>
      <c r="L427" s="1">
        <v>46056.369444444441</v>
      </c>
      <c r="M427" s="1">
        <v>46056.381249999999</v>
      </c>
      <c r="N427" s="1">
        <v>46056.396527777775</v>
      </c>
      <c r="O427">
        <v>1</v>
      </c>
      <c r="P427" t="s">
        <v>37</v>
      </c>
      <c r="Q427" t="s">
        <v>32</v>
      </c>
      <c r="R427" t="s">
        <v>107</v>
      </c>
      <c r="S427" t="s">
        <v>34</v>
      </c>
      <c r="T427">
        <v>5000</v>
      </c>
      <c r="U427" t="s">
        <v>35</v>
      </c>
      <c r="V427" t="s">
        <v>36</v>
      </c>
      <c r="W427">
        <v>1</v>
      </c>
      <c r="X427" t="s">
        <v>37</v>
      </c>
      <c r="Y427">
        <v>1</v>
      </c>
      <c r="Z427" t="s">
        <v>134</v>
      </c>
    </row>
    <row r="428" spans="1:26" hidden="1" x14ac:dyDescent="0.2">
      <c r="A428" t="s">
        <v>987</v>
      </c>
      <c r="B428" t="s">
        <v>988</v>
      </c>
      <c r="C428" s="1">
        <v>46025</v>
      </c>
      <c r="D428" t="s">
        <v>49</v>
      </c>
      <c r="E428">
        <v>20</v>
      </c>
      <c r="F428">
        <v>10.1</v>
      </c>
      <c r="G428" t="s">
        <v>57</v>
      </c>
      <c r="H428" t="s">
        <v>167</v>
      </c>
      <c r="I428" s="1">
        <v>46025.350694444445</v>
      </c>
      <c r="J428" s="1">
        <v>46025.363194444442</v>
      </c>
      <c r="K428" s="1">
        <v>46025.409722222219</v>
      </c>
      <c r="L428" s="1">
        <v>46025.414583333331</v>
      </c>
      <c r="M428" s="1">
        <v>46025.449305555558</v>
      </c>
      <c r="N428" s="1">
        <v>46025.474999999999</v>
      </c>
      <c r="O428">
        <v>2</v>
      </c>
      <c r="P428" t="s">
        <v>37</v>
      </c>
      <c r="Q428" t="s">
        <v>69</v>
      </c>
      <c r="R428" t="s">
        <v>111</v>
      </c>
      <c r="S428" t="s">
        <v>71</v>
      </c>
      <c r="T428">
        <v>2000</v>
      </c>
      <c r="U428" t="s">
        <v>35</v>
      </c>
      <c r="V428" t="s">
        <v>36</v>
      </c>
      <c r="W428">
        <v>1</v>
      </c>
      <c r="X428" t="s">
        <v>37</v>
      </c>
      <c r="Y428">
        <v>3</v>
      </c>
      <c r="Z428" t="s">
        <v>54</v>
      </c>
    </row>
    <row r="429" spans="1:26" hidden="1" x14ac:dyDescent="0.2">
      <c r="A429" t="s">
        <v>989</v>
      </c>
      <c r="B429" t="s">
        <v>990</v>
      </c>
      <c r="C429" s="1">
        <v>46077</v>
      </c>
      <c r="D429" t="s">
        <v>171</v>
      </c>
      <c r="E429">
        <v>7</v>
      </c>
      <c r="F429">
        <v>4</v>
      </c>
      <c r="G429" t="s">
        <v>50</v>
      </c>
      <c r="H429" t="s">
        <v>42</v>
      </c>
      <c r="I429" s="1">
        <v>46077.359722222223</v>
      </c>
      <c r="J429" s="1">
        <v>46077.369444444441</v>
      </c>
      <c r="K429" s="1">
        <v>46077.390972222223</v>
      </c>
      <c r="L429" s="1">
        <v>46077.394444444442</v>
      </c>
      <c r="M429" s="1">
        <v>46077.40347222222</v>
      </c>
      <c r="N429" s="1">
        <v>46077.427777777775</v>
      </c>
      <c r="O429">
        <v>3</v>
      </c>
      <c r="P429" t="s">
        <v>37</v>
      </c>
      <c r="Q429" t="s">
        <v>69</v>
      </c>
      <c r="R429" t="s">
        <v>70</v>
      </c>
      <c r="S429" t="s">
        <v>71</v>
      </c>
      <c r="T429">
        <v>2000</v>
      </c>
      <c r="U429" t="s">
        <v>35</v>
      </c>
      <c r="V429" t="s">
        <v>36</v>
      </c>
      <c r="W429">
        <v>1</v>
      </c>
      <c r="X429" t="s">
        <v>37</v>
      </c>
      <c r="Y429">
        <v>4</v>
      </c>
      <c r="Z429" t="s">
        <v>134</v>
      </c>
    </row>
    <row r="430" spans="1:26" hidden="1" x14ac:dyDescent="0.2">
      <c r="A430" t="s">
        <v>991</v>
      </c>
      <c r="B430" t="s">
        <v>992</v>
      </c>
      <c r="C430" s="1">
        <v>46097</v>
      </c>
      <c r="D430" t="s">
        <v>64</v>
      </c>
      <c r="E430">
        <v>7</v>
      </c>
      <c r="F430">
        <v>5.3</v>
      </c>
      <c r="G430" t="s">
        <v>81</v>
      </c>
      <c r="H430" t="s">
        <v>65</v>
      </c>
      <c r="I430" s="1">
        <v>46097.261805555558</v>
      </c>
      <c r="J430" s="1">
        <v>46097.271527777775</v>
      </c>
      <c r="K430" s="1">
        <v>46097.286111111112</v>
      </c>
      <c r="L430" s="1">
        <v>46097.29791666667</v>
      </c>
      <c r="M430" s="1">
        <v>46097.335416666669</v>
      </c>
      <c r="N430" s="1">
        <v>46097.34375</v>
      </c>
      <c r="O430">
        <v>7</v>
      </c>
      <c r="P430" t="s">
        <v>31</v>
      </c>
      <c r="Q430" t="s">
        <v>69</v>
      </c>
      <c r="R430" t="s">
        <v>251</v>
      </c>
      <c r="S430" t="s">
        <v>71</v>
      </c>
      <c r="T430">
        <v>2000</v>
      </c>
      <c r="U430" t="s">
        <v>91</v>
      </c>
      <c r="V430" t="s">
        <v>59</v>
      </c>
      <c r="W430">
        <v>2</v>
      </c>
      <c r="X430" t="s">
        <v>374</v>
      </c>
      <c r="Y430">
        <v>4</v>
      </c>
      <c r="Z430" t="s">
        <v>61</v>
      </c>
    </row>
    <row r="431" spans="1:26" x14ac:dyDescent="0.2">
      <c r="A431" t="s">
        <v>993</v>
      </c>
      <c r="B431" t="s">
        <v>994</v>
      </c>
      <c r="C431" s="1">
        <v>46110</v>
      </c>
      <c r="D431" t="s">
        <v>289</v>
      </c>
      <c r="E431">
        <v>22</v>
      </c>
      <c r="F431">
        <v>6</v>
      </c>
      <c r="G431" t="s">
        <v>76</v>
      </c>
      <c r="H431" t="s">
        <v>167</v>
      </c>
      <c r="I431" s="1">
        <v>46110.286805555559</v>
      </c>
      <c r="J431" s="1">
        <v>46110.3</v>
      </c>
      <c r="K431" s="1">
        <v>46110.359722222223</v>
      </c>
      <c r="L431" s="1">
        <v>46110.370138888888</v>
      </c>
      <c r="M431" s="1">
        <v>46110.37777777778</v>
      </c>
      <c r="N431" s="1">
        <v>46110.386805555558</v>
      </c>
      <c r="O431">
        <v>6</v>
      </c>
      <c r="P431" t="s">
        <v>37</v>
      </c>
      <c r="Q431" t="s">
        <v>96</v>
      </c>
      <c r="R431" t="s">
        <v>97</v>
      </c>
      <c r="S431" t="s">
        <v>98</v>
      </c>
      <c r="T431">
        <v>3000</v>
      </c>
      <c r="U431" t="s">
        <v>35</v>
      </c>
      <c r="V431" t="s">
        <v>36</v>
      </c>
      <c r="W431">
        <v>1</v>
      </c>
      <c r="X431" t="s">
        <v>37</v>
      </c>
      <c r="Y431">
        <v>1</v>
      </c>
      <c r="Z431" t="s">
        <v>296</v>
      </c>
    </row>
    <row r="432" spans="1:26" hidden="1" x14ac:dyDescent="0.2">
      <c r="A432" t="s">
        <v>995</v>
      </c>
      <c r="B432" t="s">
        <v>996</v>
      </c>
      <c r="C432" s="1">
        <v>46094</v>
      </c>
      <c r="D432" t="s">
        <v>145</v>
      </c>
      <c r="E432">
        <v>39</v>
      </c>
      <c r="F432">
        <v>4.5999999999999996</v>
      </c>
      <c r="G432" t="s">
        <v>29</v>
      </c>
      <c r="H432" t="s">
        <v>65</v>
      </c>
      <c r="I432" s="1">
        <v>46094.254861111112</v>
      </c>
      <c r="J432" s="1">
        <v>46094.272916666669</v>
      </c>
      <c r="K432" s="1">
        <v>46094.318749999999</v>
      </c>
      <c r="L432" s="1">
        <v>46094.324305555558</v>
      </c>
      <c r="M432" s="1">
        <v>46094.34652777778</v>
      </c>
      <c r="N432" s="1">
        <v>46094.366666666669</v>
      </c>
      <c r="O432">
        <v>7</v>
      </c>
      <c r="P432" t="s">
        <v>37</v>
      </c>
      <c r="Q432" t="s">
        <v>43</v>
      </c>
      <c r="R432" t="s">
        <v>200</v>
      </c>
      <c r="S432" t="s">
        <v>45</v>
      </c>
      <c r="T432">
        <v>2500</v>
      </c>
      <c r="U432" t="s">
        <v>35</v>
      </c>
      <c r="V432" t="s">
        <v>59</v>
      </c>
      <c r="W432">
        <v>1</v>
      </c>
      <c r="X432" t="s">
        <v>116</v>
      </c>
      <c r="Y432">
        <v>4</v>
      </c>
      <c r="Z432" t="s">
        <v>86</v>
      </c>
    </row>
    <row r="433" spans="1:26" hidden="1" x14ac:dyDescent="0.2">
      <c r="A433" t="s">
        <v>997</v>
      </c>
      <c r="B433" t="s">
        <v>998</v>
      </c>
      <c r="C433" s="1">
        <v>46079</v>
      </c>
      <c r="D433" t="s">
        <v>178</v>
      </c>
      <c r="E433">
        <v>6</v>
      </c>
      <c r="F433">
        <v>10.1</v>
      </c>
      <c r="G433" t="s">
        <v>76</v>
      </c>
      <c r="H433" t="s">
        <v>95</v>
      </c>
      <c r="I433" s="1">
        <v>46079.265972222223</v>
      </c>
      <c r="J433" s="1">
        <v>46079.282638888886</v>
      </c>
      <c r="K433" s="1">
        <v>46079.345138888886</v>
      </c>
      <c r="L433" s="1">
        <v>46079.354861111111</v>
      </c>
      <c r="M433" s="1">
        <v>46079.393055555556</v>
      </c>
      <c r="N433" s="1">
        <v>46079.40625</v>
      </c>
      <c r="O433">
        <v>2</v>
      </c>
      <c r="P433" t="s">
        <v>37</v>
      </c>
      <c r="Q433" t="s">
        <v>82</v>
      </c>
      <c r="R433" t="s">
        <v>211</v>
      </c>
      <c r="S433" t="s">
        <v>84</v>
      </c>
      <c r="T433">
        <v>4000</v>
      </c>
      <c r="U433" t="s">
        <v>91</v>
      </c>
      <c r="V433" t="s">
        <v>36</v>
      </c>
      <c r="W433">
        <v>1</v>
      </c>
      <c r="X433" t="s">
        <v>37</v>
      </c>
      <c r="Y433">
        <v>4</v>
      </c>
      <c r="Z433" t="s">
        <v>38</v>
      </c>
    </row>
    <row r="434" spans="1:26" x14ac:dyDescent="0.2">
      <c r="A434" t="s">
        <v>999</v>
      </c>
      <c r="B434" t="s">
        <v>1000</v>
      </c>
      <c r="C434" s="1">
        <v>46049</v>
      </c>
      <c r="D434" t="s">
        <v>178</v>
      </c>
      <c r="E434">
        <v>30</v>
      </c>
      <c r="F434">
        <v>4.9000000000000004</v>
      </c>
      <c r="G434" t="s">
        <v>76</v>
      </c>
      <c r="H434" t="s">
        <v>65</v>
      </c>
      <c r="I434" s="1">
        <v>46049.338888888888</v>
      </c>
      <c r="J434" s="1">
        <v>46049.352777777778</v>
      </c>
      <c r="K434" s="1">
        <v>46049.374305555553</v>
      </c>
      <c r="L434" s="1">
        <v>46049.381944444445</v>
      </c>
      <c r="M434" s="1">
        <v>46049.418055555558</v>
      </c>
      <c r="N434" s="1">
        <v>46049.446527777778</v>
      </c>
      <c r="O434">
        <v>6</v>
      </c>
      <c r="P434" t="s">
        <v>37</v>
      </c>
      <c r="Q434" t="s">
        <v>82</v>
      </c>
      <c r="R434" t="s">
        <v>239</v>
      </c>
      <c r="S434" t="s">
        <v>84</v>
      </c>
      <c r="T434">
        <v>4000</v>
      </c>
      <c r="U434" t="s">
        <v>35</v>
      </c>
      <c r="V434" t="s">
        <v>36</v>
      </c>
      <c r="W434">
        <v>1</v>
      </c>
      <c r="X434" t="s">
        <v>37</v>
      </c>
      <c r="Y434">
        <v>2</v>
      </c>
      <c r="Z434" t="s">
        <v>117</v>
      </c>
    </row>
    <row r="435" spans="1:26" hidden="1" x14ac:dyDescent="0.2">
      <c r="A435" t="s">
        <v>1001</v>
      </c>
      <c r="B435" t="s">
        <v>900</v>
      </c>
      <c r="C435" s="1">
        <v>46056</v>
      </c>
      <c r="D435" t="s">
        <v>171</v>
      </c>
      <c r="E435">
        <v>38</v>
      </c>
      <c r="F435">
        <v>9.8000000000000007</v>
      </c>
      <c r="G435" t="s">
        <v>76</v>
      </c>
      <c r="H435" t="s">
        <v>95</v>
      </c>
      <c r="I435" s="1">
        <v>46056.400694444441</v>
      </c>
      <c r="J435" s="1">
        <v>46056.418749999997</v>
      </c>
      <c r="K435" s="1">
        <v>46056.427083333336</v>
      </c>
      <c r="L435" s="1">
        <v>46056.436111111114</v>
      </c>
      <c r="M435" s="1">
        <v>46056.472916666666</v>
      </c>
      <c r="N435" s="1">
        <v>46056.500694444447</v>
      </c>
      <c r="O435">
        <v>4</v>
      </c>
      <c r="P435" t="s">
        <v>115</v>
      </c>
      <c r="Q435" t="s">
        <v>69</v>
      </c>
      <c r="R435" t="s">
        <v>146</v>
      </c>
      <c r="S435" t="s">
        <v>71</v>
      </c>
      <c r="T435">
        <v>2000</v>
      </c>
      <c r="U435" t="s">
        <v>35</v>
      </c>
      <c r="V435" t="s">
        <v>59</v>
      </c>
      <c r="W435">
        <v>1</v>
      </c>
      <c r="X435" t="s">
        <v>353</v>
      </c>
      <c r="Y435">
        <v>4</v>
      </c>
      <c r="Z435" t="s">
        <v>168</v>
      </c>
    </row>
    <row r="436" spans="1:26" hidden="1" x14ac:dyDescent="0.2">
      <c r="A436" t="s">
        <v>1002</v>
      </c>
      <c r="B436" t="s">
        <v>1003</v>
      </c>
      <c r="C436" s="1">
        <v>46038</v>
      </c>
      <c r="D436" t="s">
        <v>94</v>
      </c>
      <c r="E436">
        <v>36</v>
      </c>
      <c r="F436">
        <v>6.9</v>
      </c>
      <c r="G436" t="s">
        <v>29</v>
      </c>
      <c r="H436" t="s">
        <v>30</v>
      </c>
      <c r="I436" s="1">
        <v>46038.289583333331</v>
      </c>
      <c r="J436" s="1">
        <v>46038.293749999997</v>
      </c>
      <c r="K436" s="1">
        <v>46038.324999999997</v>
      </c>
      <c r="L436" s="1">
        <v>46038.337500000001</v>
      </c>
      <c r="M436" s="1">
        <v>46038.368055555555</v>
      </c>
      <c r="N436" s="1">
        <v>46038.390972222223</v>
      </c>
      <c r="O436">
        <v>3</v>
      </c>
      <c r="P436" t="s">
        <v>106</v>
      </c>
      <c r="Q436" t="s">
        <v>69</v>
      </c>
      <c r="R436" t="s">
        <v>70</v>
      </c>
      <c r="S436" t="s">
        <v>71</v>
      </c>
      <c r="T436">
        <v>2000</v>
      </c>
      <c r="U436" t="s">
        <v>35</v>
      </c>
      <c r="V436" t="s">
        <v>59</v>
      </c>
      <c r="W436">
        <v>1</v>
      </c>
      <c r="X436" t="s">
        <v>60</v>
      </c>
      <c r="Y436">
        <v>3</v>
      </c>
      <c r="Z436" t="s">
        <v>38</v>
      </c>
    </row>
    <row r="437" spans="1:26" hidden="1" x14ac:dyDescent="0.2">
      <c r="A437" t="s">
        <v>1004</v>
      </c>
      <c r="B437" t="s">
        <v>1005</v>
      </c>
      <c r="C437" s="1">
        <v>46032</v>
      </c>
      <c r="D437" t="s">
        <v>171</v>
      </c>
      <c r="E437">
        <v>15</v>
      </c>
      <c r="F437">
        <v>6.6</v>
      </c>
      <c r="G437" t="s">
        <v>29</v>
      </c>
      <c r="H437" t="s">
        <v>30</v>
      </c>
      <c r="I437" s="1">
        <v>46032.361111111109</v>
      </c>
      <c r="J437" s="1">
        <v>46032.366666666669</v>
      </c>
      <c r="K437" s="1">
        <v>46032.375694444447</v>
      </c>
      <c r="L437" s="1">
        <v>46032.38958333333</v>
      </c>
      <c r="M437" s="1">
        <v>46032.415277777778</v>
      </c>
      <c r="N437" s="1">
        <v>46032.419444444444</v>
      </c>
      <c r="O437">
        <v>5</v>
      </c>
      <c r="P437" t="s">
        <v>37</v>
      </c>
      <c r="Q437" t="s">
        <v>82</v>
      </c>
      <c r="R437" t="s">
        <v>83</v>
      </c>
      <c r="S437" t="s">
        <v>84</v>
      </c>
      <c r="T437">
        <v>4000</v>
      </c>
      <c r="U437" t="s">
        <v>91</v>
      </c>
      <c r="V437" t="s">
        <v>59</v>
      </c>
      <c r="W437">
        <v>2</v>
      </c>
      <c r="X437" t="s">
        <v>116</v>
      </c>
      <c r="Y437">
        <v>4</v>
      </c>
      <c r="Z437" t="s">
        <v>99</v>
      </c>
    </row>
    <row r="438" spans="1:26" hidden="1" x14ac:dyDescent="0.2">
      <c r="A438" t="s">
        <v>1006</v>
      </c>
      <c r="B438" t="s">
        <v>1007</v>
      </c>
      <c r="C438" s="1">
        <v>46065</v>
      </c>
      <c r="D438" t="s">
        <v>285</v>
      </c>
      <c r="E438">
        <v>33</v>
      </c>
      <c r="F438">
        <v>10.1</v>
      </c>
      <c r="G438" t="s">
        <v>50</v>
      </c>
      <c r="H438" t="s">
        <v>65</v>
      </c>
      <c r="I438" s="1">
        <v>46065.271527777775</v>
      </c>
      <c r="J438" s="1">
        <v>46065.276388888888</v>
      </c>
      <c r="K438" s="1">
        <v>46065.288194444445</v>
      </c>
      <c r="L438" s="1">
        <v>46065.292361111111</v>
      </c>
      <c r="M438" s="1">
        <v>46065.315972222219</v>
      </c>
      <c r="N438" s="1">
        <v>46065.333333333336</v>
      </c>
      <c r="O438">
        <v>7</v>
      </c>
      <c r="P438" t="s">
        <v>37</v>
      </c>
      <c r="Q438" t="s">
        <v>82</v>
      </c>
      <c r="R438" t="s">
        <v>286</v>
      </c>
      <c r="S438" t="s">
        <v>84</v>
      </c>
      <c r="T438">
        <v>4000</v>
      </c>
      <c r="U438" t="s">
        <v>35</v>
      </c>
      <c r="V438" t="s">
        <v>36</v>
      </c>
      <c r="W438">
        <v>1</v>
      </c>
      <c r="X438" t="s">
        <v>37</v>
      </c>
      <c r="Y438">
        <v>5</v>
      </c>
      <c r="Z438" t="s">
        <v>102</v>
      </c>
    </row>
    <row r="439" spans="1:26" hidden="1" x14ac:dyDescent="0.2">
      <c r="A439" t="s">
        <v>1008</v>
      </c>
      <c r="B439" t="s">
        <v>1009</v>
      </c>
      <c r="C439" s="1">
        <v>46101</v>
      </c>
      <c r="D439" t="s">
        <v>105</v>
      </c>
      <c r="E439">
        <v>11</v>
      </c>
      <c r="F439">
        <v>9.4</v>
      </c>
      <c r="G439" t="s">
        <v>81</v>
      </c>
      <c r="H439" t="s">
        <v>51</v>
      </c>
      <c r="I439" s="1">
        <v>46101.302083333336</v>
      </c>
      <c r="J439" s="1">
        <v>46101.313888888886</v>
      </c>
      <c r="K439" s="1">
        <v>46101.356249999997</v>
      </c>
      <c r="L439" s="1">
        <v>46101.361805555556</v>
      </c>
      <c r="M439" s="1">
        <v>46101.395833333336</v>
      </c>
      <c r="N439" s="1">
        <v>46101.417361111111</v>
      </c>
      <c r="O439">
        <v>2</v>
      </c>
      <c r="P439" t="s">
        <v>37</v>
      </c>
      <c r="Q439" t="s">
        <v>43</v>
      </c>
      <c r="R439" t="s">
        <v>90</v>
      </c>
      <c r="S439" t="s">
        <v>45</v>
      </c>
      <c r="T439">
        <v>2500</v>
      </c>
      <c r="U439" t="s">
        <v>35</v>
      </c>
      <c r="V439" t="s">
        <v>36</v>
      </c>
      <c r="W439">
        <v>1</v>
      </c>
      <c r="X439" t="s">
        <v>37</v>
      </c>
      <c r="Y439">
        <v>4</v>
      </c>
      <c r="Z439" t="s">
        <v>72</v>
      </c>
    </row>
    <row r="440" spans="1:26" hidden="1" x14ac:dyDescent="0.2">
      <c r="A440" t="s">
        <v>1010</v>
      </c>
      <c r="B440" t="s">
        <v>1011</v>
      </c>
      <c r="C440" s="1">
        <v>46102</v>
      </c>
      <c r="D440" t="s">
        <v>80</v>
      </c>
      <c r="E440">
        <v>6</v>
      </c>
      <c r="F440">
        <v>7.6</v>
      </c>
      <c r="G440" t="s">
        <v>76</v>
      </c>
      <c r="H440" t="s">
        <v>65</v>
      </c>
      <c r="I440" s="1">
        <v>46102.28402777778</v>
      </c>
      <c r="J440" s="1">
        <v>46102.289583333331</v>
      </c>
      <c r="K440" s="1">
        <v>46102.305555555555</v>
      </c>
      <c r="L440" s="1">
        <v>46102.309027777781</v>
      </c>
      <c r="M440" s="1">
        <v>46102.342361111114</v>
      </c>
      <c r="N440" s="1">
        <v>46102.348611111112</v>
      </c>
      <c r="O440">
        <v>5</v>
      </c>
      <c r="P440" t="s">
        <v>37</v>
      </c>
      <c r="Q440" t="s">
        <v>32</v>
      </c>
      <c r="R440" t="s">
        <v>66</v>
      </c>
      <c r="S440" t="s">
        <v>34</v>
      </c>
      <c r="T440">
        <v>5000</v>
      </c>
      <c r="U440" t="s">
        <v>35</v>
      </c>
      <c r="V440" t="s">
        <v>36</v>
      </c>
      <c r="W440">
        <v>1</v>
      </c>
      <c r="X440" t="s">
        <v>37</v>
      </c>
      <c r="Y440">
        <v>5</v>
      </c>
      <c r="Z440" t="s">
        <v>161</v>
      </c>
    </row>
    <row r="441" spans="1:26" hidden="1" x14ac:dyDescent="0.2">
      <c r="A441" t="s">
        <v>1012</v>
      </c>
      <c r="B441" t="s">
        <v>1013</v>
      </c>
      <c r="C441" s="1">
        <v>46076</v>
      </c>
      <c r="D441" t="s">
        <v>186</v>
      </c>
      <c r="E441">
        <v>16</v>
      </c>
      <c r="F441">
        <v>5.9</v>
      </c>
      <c r="G441" t="s">
        <v>29</v>
      </c>
      <c r="H441" t="s">
        <v>51</v>
      </c>
      <c r="I441" s="1">
        <v>46076.272222222222</v>
      </c>
      <c r="J441" s="1">
        <v>46076.281944444447</v>
      </c>
      <c r="K441" s="1">
        <v>46076.340277777781</v>
      </c>
      <c r="L441" s="1">
        <v>46076.352777777778</v>
      </c>
      <c r="M441" s="1">
        <v>46076.381944444445</v>
      </c>
      <c r="N441" s="1">
        <v>46076.400694444441</v>
      </c>
      <c r="O441">
        <v>3</v>
      </c>
      <c r="P441" t="s">
        <v>37</v>
      </c>
      <c r="Q441" t="s">
        <v>69</v>
      </c>
      <c r="R441" t="s">
        <v>70</v>
      </c>
      <c r="S441" t="s">
        <v>71</v>
      </c>
      <c r="T441">
        <v>2000</v>
      </c>
      <c r="U441" t="s">
        <v>35</v>
      </c>
      <c r="V441" t="s">
        <v>36</v>
      </c>
      <c r="W441">
        <v>1</v>
      </c>
      <c r="X441" t="s">
        <v>37</v>
      </c>
      <c r="Y441">
        <v>4</v>
      </c>
      <c r="Z441" t="s">
        <v>215</v>
      </c>
    </row>
    <row r="442" spans="1:26" hidden="1" x14ac:dyDescent="0.2">
      <c r="A442" t="s">
        <v>1014</v>
      </c>
      <c r="B442" t="s">
        <v>1015</v>
      </c>
      <c r="C442" s="1">
        <v>46060</v>
      </c>
      <c r="D442" t="s">
        <v>242</v>
      </c>
      <c r="E442">
        <v>8</v>
      </c>
      <c r="F442">
        <v>5.9</v>
      </c>
      <c r="G442" t="s">
        <v>81</v>
      </c>
      <c r="H442" t="s">
        <v>42</v>
      </c>
      <c r="I442" s="1">
        <v>46060.259027777778</v>
      </c>
      <c r="J442" s="1">
        <v>46060.271527777775</v>
      </c>
      <c r="K442" s="1">
        <v>46060.309027777781</v>
      </c>
      <c r="L442" s="1">
        <v>46060.316666666666</v>
      </c>
      <c r="M442" s="1">
        <v>46060.331944444442</v>
      </c>
      <c r="N442" s="1">
        <v>46060.363194444442</v>
      </c>
      <c r="O442">
        <v>2</v>
      </c>
      <c r="P442" t="s">
        <v>37</v>
      </c>
      <c r="Q442" t="s">
        <v>32</v>
      </c>
      <c r="R442" t="s">
        <v>278</v>
      </c>
      <c r="S442" t="s">
        <v>34</v>
      </c>
      <c r="T442">
        <v>5000</v>
      </c>
      <c r="U442" t="s">
        <v>35</v>
      </c>
      <c r="V442" t="s">
        <v>36</v>
      </c>
      <c r="W442">
        <v>1</v>
      </c>
      <c r="X442" t="s">
        <v>37</v>
      </c>
      <c r="Y442">
        <v>5</v>
      </c>
      <c r="Z442" t="s">
        <v>72</v>
      </c>
    </row>
    <row r="443" spans="1:26" hidden="1" x14ac:dyDescent="0.2">
      <c r="A443" t="s">
        <v>1016</v>
      </c>
      <c r="B443" t="s">
        <v>1017</v>
      </c>
      <c r="C443" s="1">
        <v>46111</v>
      </c>
      <c r="D443" t="s">
        <v>289</v>
      </c>
      <c r="E443">
        <v>24</v>
      </c>
      <c r="F443">
        <v>7.3</v>
      </c>
      <c r="G443" t="s">
        <v>57</v>
      </c>
      <c r="H443" t="s">
        <v>51</v>
      </c>
      <c r="I443" s="1">
        <v>46111.330555555556</v>
      </c>
      <c r="J443" s="1">
        <v>46111.351388888892</v>
      </c>
      <c r="K443" s="1">
        <v>46111.361805555556</v>
      </c>
      <c r="L443" s="1">
        <v>46111.375694444447</v>
      </c>
      <c r="M443" s="1">
        <v>46111.392361111109</v>
      </c>
      <c r="N443" s="1">
        <v>46111.395833333336</v>
      </c>
      <c r="O443">
        <v>6</v>
      </c>
      <c r="P443" t="s">
        <v>106</v>
      </c>
      <c r="Q443" t="s">
        <v>69</v>
      </c>
      <c r="R443" t="s">
        <v>251</v>
      </c>
      <c r="S443" t="s">
        <v>71</v>
      </c>
      <c r="T443">
        <v>2000</v>
      </c>
      <c r="U443" t="s">
        <v>35</v>
      </c>
      <c r="V443" t="s">
        <v>36</v>
      </c>
      <c r="W443">
        <v>1</v>
      </c>
      <c r="X443" t="s">
        <v>37</v>
      </c>
      <c r="Y443">
        <v>4</v>
      </c>
      <c r="Z443" t="s">
        <v>61</v>
      </c>
    </row>
    <row r="444" spans="1:26" hidden="1" x14ac:dyDescent="0.2">
      <c r="A444" t="s">
        <v>1018</v>
      </c>
      <c r="B444" t="s">
        <v>1019</v>
      </c>
      <c r="C444" s="1">
        <v>46071</v>
      </c>
      <c r="D444" t="s">
        <v>267</v>
      </c>
      <c r="E444">
        <v>5</v>
      </c>
      <c r="F444">
        <v>6.9</v>
      </c>
      <c r="G444" t="s">
        <v>29</v>
      </c>
      <c r="H444" t="s">
        <v>167</v>
      </c>
      <c r="I444" s="1">
        <v>46071.254861111112</v>
      </c>
      <c r="J444" s="1">
        <v>46071.270138888889</v>
      </c>
      <c r="K444" s="1">
        <v>46071.286805555559</v>
      </c>
      <c r="L444" s="1">
        <v>46071.293055555558</v>
      </c>
      <c r="M444" s="1">
        <v>46071.3125</v>
      </c>
      <c r="N444" s="1">
        <v>46071.335416666669</v>
      </c>
      <c r="O444">
        <v>2</v>
      </c>
      <c r="P444" t="s">
        <v>37</v>
      </c>
      <c r="Q444" t="s">
        <v>43</v>
      </c>
      <c r="R444" t="s">
        <v>158</v>
      </c>
      <c r="S444" t="s">
        <v>45</v>
      </c>
      <c r="T444">
        <v>2500</v>
      </c>
      <c r="U444" t="s">
        <v>35</v>
      </c>
      <c r="V444" t="s">
        <v>36</v>
      </c>
      <c r="W444">
        <v>1</v>
      </c>
      <c r="X444" t="s">
        <v>37</v>
      </c>
      <c r="Y444">
        <v>5</v>
      </c>
      <c r="Z444" t="s">
        <v>54</v>
      </c>
    </row>
    <row r="445" spans="1:26" hidden="1" x14ac:dyDescent="0.2">
      <c r="A445" t="s">
        <v>1020</v>
      </c>
      <c r="B445" t="s">
        <v>1021</v>
      </c>
      <c r="C445" s="1">
        <v>46059</v>
      </c>
      <c r="D445" t="s">
        <v>126</v>
      </c>
      <c r="E445">
        <v>16</v>
      </c>
      <c r="F445">
        <v>6.7</v>
      </c>
      <c r="G445" t="s">
        <v>81</v>
      </c>
      <c r="H445" t="s">
        <v>95</v>
      </c>
      <c r="I445" s="1">
        <v>46059.28125</v>
      </c>
      <c r="J445" s="1">
        <v>46059.288888888892</v>
      </c>
      <c r="K445" s="1">
        <v>46059.297222222223</v>
      </c>
      <c r="L445" s="1">
        <v>46059.304166666669</v>
      </c>
      <c r="M445" s="1">
        <v>46059.322222222225</v>
      </c>
      <c r="N445" s="1">
        <v>46059.329861111109</v>
      </c>
      <c r="O445">
        <v>1</v>
      </c>
      <c r="P445" t="s">
        <v>37</v>
      </c>
      <c r="Q445" t="s">
        <v>82</v>
      </c>
      <c r="R445" t="s">
        <v>33</v>
      </c>
      <c r="S445" t="s">
        <v>84</v>
      </c>
      <c r="T445">
        <v>4000</v>
      </c>
      <c r="U445" t="s">
        <v>35</v>
      </c>
      <c r="V445" t="s">
        <v>36</v>
      </c>
      <c r="W445">
        <v>1</v>
      </c>
      <c r="X445" t="s">
        <v>37</v>
      </c>
      <c r="Y445">
        <v>5</v>
      </c>
      <c r="Z445" t="s">
        <v>99</v>
      </c>
    </row>
    <row r="446" spans="1:26" hidden="1" x14ac:dyDescent="0.2">
      <c r="A446" t="s">
        <v>1022</v>
      </c>
      <c r="B446" t="s">
        <v>1023</v>
      </c>
      <c r="C446" s="1">
        <v>46062</v>
      </c>
      <c r="D446" t="s">
        <v>225</v>
      </c>
      <c r="E446">
        <v>28</v>
      </c>
      <c r="F446">
        <v>9.3000000000000007</v>
      </c>
      <c r="G446" t="s">
        <v>81</v>
      </c>
      <c r="H446" t="s">
        <v>42</v>
      </c>
      <c r="I446" s="1">
        <v>46062.36041666667</v>
      </c>
      <c r="J446" s="1">
        <v>46062.372916666667</v>
      </c>
      <c r="K446" s="1">
        <v>46062.385416666664</v>
      </c>
      <c r="L446" s="1">
        <v>46062.390972222223</v>
      </c>
      <c r="M446" s="1">
        <v>46062.404166666667</v>
      </c>
      <c r="N446" s="1">
        <v>46062.413194444445</v>
      </c>
      <c r="O446">
        <v>7</v>
      </c>
      <c r="P446" t="s">
        <v>31</v>
      </c>
      <c r="Q446" t="s">
        <v>82</v>
      </c>
      <c r="R446" t="s">
        <v>33</v>
      </c>
      <c r="S446" t="s">
        <v>84</v>
      </c>
      <c r="T446">
        <v>4000</v>
      </c>
      <c r="U446" t="s">
        <v>35</v>
      </c>
      <c r="V446" t="s">
        <v>36</v>
      </c>
      <c r="W446">
        <v>1</v>
      </c>
      <c r="X446" t="s">
        <v>37</v>
      </c>
      <c r="Y446">
        <v>4</v>
      </c>
      <c r="Z446" t="s">
        <v>134</v>
      </c>
    </row>
    <row r="447" spans="1:26" hidden="1" x14ac:dyDescent="0.2">
      <c r="A447" t="s">
        <v>1024</v>
      </c>
      <c r="B447" t="s">
        <v>1025</v>
      </c>
      <c r="C447" s="1">
        <v>46028</v>
      </c>
      <c r="D447" t="s">
        <v>137</v>
      </c>
      <c r="E447">
        <v>39</v>
      </c>
      <c r="F447">
        <v>6.4</v>
      </c>
      <c r="G447" t="s">
        <v>57</v>
      </c>
      <c r="H447" t="s">
        <v>167</v>
      </c>
      <c r="I447" s="1">
        <v>46028.293749999997</v>
      </c>
      <c r="J447" s="1">
        <v>46028.29791666667</v>
      </c>
      <c r="K447" s="1">
        <v>46028.36041666667</v>
      </c>
      <c r="L447" s="1">
        <v>46028.369444444441</v>
      </c>
      <c r="M447" s="1">
        <v>46028.381944444445</v>
      </c>
      <c r="N447" s="1">
        <v>46028.407638888886</v>
      </c>
      <c r="O447">
        <v>5</v>
      </c>
      <c r="P447" t="s">
        <v>37</v>
      </c>
      <c r="Q447" t="s">
        <v>69</v>
      </c>
      <c r="R447" t="s">
        <v>146</v>
      </c>
      <c r="S447" t="s">
        <v>71</v>
      </c>
      <c r="T447">
        <v>2000</v>
      </c>
      <c r="U447" t="s">
        <v>35</v>
      </c>
      <c r="V447" t="s">
        <v>36</v>
      </c>
      <c r="W447">
        <v>1</v>
      </c>
      <c r="X447" t="s">
        <v>37</v>
      </c>
      <c r="Y447">
        <v>4</v>
      </c>
      <c r="Z447" t="s">
        <v>134</v>
      </c>
    </row>
    <row r="448" spans="1:26" hidden="1" x14ac:dyDescent="0.2">
      <c r="A448" t="s">
        <v>1026</v>
      </c>
      <c r="B448" t="s">
        <v>1027</v>
      </c>
      <c r="C448" s="1">
        <v>46031</v>
      </c>
      <c r="D448" t="s">
        <v>126</v>
      </c>
      <c r="E448">
        <v>37</v>
      </c>
      <c r="F448">
        <v>7</v>
      </c>
      <c r="G448" t="s">
        <v>81</v>
      </c>
      <c r="H448" t="s">
        <v>157</v>
      </c>
      <c r="I448" s="1">
        <v>46031.28125</v>
      </c>
      <c r="J448" s="1">
        <v>46031.291666666664</v>
      </c>
      <c r="K448" s="1">
        <v>46031.331250000003</v>
      </c>
      <c r="L448" s="1">
        <v>46031.345138888886</v>
      </c>
      <c r="M448" s="1">
        <v>46031.383333333331</v>
      </c>
      <c r="N448" s="1">
        <v>46031.408333333333</v>
      </c>
      <c r="O448">
        <v>4</v>
      </c>
      <c r="P448" t="s">
        <v>115</v>
      </c>
      <c r="Q448" t="s">
        <v>69</v>
      </c>
      <c r="R448" t="s">
        <v>70</v>
      </c>
      <c r="S448" t="s">
        <v>71</v>
      </c>
      <c r="T448">
        <v>2000</v>
      </c>
      <c r="U448" t="s">
        <v>35</v>
      </c>
      <c r="V448" t="s">
        <v>36</v>
      </c>
      <c r="W448">
        <v>1</v>
      </c>
      <c r="X448" t="s">
        <v>37</v>
      </c>
      <c r="Y448">
        <v>5</v>
      </c>
      <c r="Z448" t="s">
        <v>54</v>
      </c>
    </row>
    <row r="449" spans="1:26" hidden="1" x14ac:dyDescent="0.2">
      <c r="A449" t="s">
        <v>1028</v>
      </c>
      <c r="B449" t="s">
        <v>1029</v>
      </c>
      <c r="C449" s="1">
        <v>46048</v>
      </c>
      <c r="D449" t="s">
        <v>225</v>
      </c>
      <c r="E449">
        <v>18</v>
      </c>
      <c r="F449">
        <v>6.4</v>
      </c>
      <c r="G449" t="s">
        <v>50</v>
      </c>
      <c r="H449" t="s">
        <v>65</v>
      </c>
      <c r="I449" s="1">
        <v>46048.277777777781</v>
      </c>
      <c r="J449" s="1">
        <v>46048.288888888892</v>
      </c>
      <c r="K449" s="1">
        <v>46048.318055555559</v>
      </c>
      <c r="L449" s="1">
        <v>46048.322916666664</v>
      </c>
      <c r="M449" s="1">
        <v>46048.335416666669</v>
      </c>
      <c r="N449" s="1">
        <v>46048.342361111114</v>
      </c>
      <c r="O449">
        <v>3</v>
      </c>
      <c r="P449" t="s">
        <v>37</v>
      </c>
      <c r="Q449" t="s">
        <v>82</v>
      </c>
      <c r="R449" t="s">
        <v>214</v>
      </c>
      <c r="S449" t="s">
        <v>84</v>
      </c>
      <c r="T449">
        <v>4000</v>
      </c>
      <c r="U449" t="s">
        <v>35</v>
      </c>
      <c r="V449" t="s">
        <v>36</v>
      </c>
      <c r="W449">
        <v>1</v>
      </c>
      <c r="X449" t="s">
        <v>37</v>
      </c>
      <c r="Y449">
        <v>4</v>
      </c>
      <c r="Z449" t="s">
        <v>215</v>
      </c>
    </row>
    <row r="450" spans="1:26" hidden="1" x14ac:dyDescent="0.2">
      <c r="A450" t="s">
        <v>1030</v>
      </c>
      <c r="B450" t="s">
        <v>1031</v>
      </c>
      <c r="C450" s="1">
        <v>46077</v>
      </c>
      <c r="D450" t="s">
        <v>225</v>
      </c>
      <c r="E450">
        <v>31</v>
      </c>
      <c r="F450">
        <v>6.9</v>
      </c>
      <c r="G450" t="s">
        <v>50</v>
      </c>
      <c r="H450" t="s">
        <v>167</v>
      </c>
      <c r="I450" s="1">
        <v>46077.29791666667</v>
      </c>
      <c r="J450" s="1">
        <v>46077.30972222222</v>
      </c>
      <c r="K450" s="1">
        <v>46077.318749999999</v>
      </c>
      <c r="L450" s="1">
        <v>46077.325694444444</v>
      </c>
      <c r="M450" s="1">
        <v>46077.352083333331</v>
      </c>
      <c r="N450" s="1">
        <v>46077.365277777775</v>
      </c>
      <c r="O450">
        <v>3</v>
      </c>
      <c r="P450" t="s">
        <v>37</v>
      </c>
      <c r="Q450" t="s">
        <v>43</v>
      </c>
      <c r="R450" t="s">
        <v>200</v>
      </c>
      <c r="S450" t="s">
        <v>45</v>
      </c>
      <c r="T450">
        <v>2500</v>
      </c>
      <c r="U450" t="s">
        <v>35</v>
      </c>
      <c r="V450" t="s">
        <v>36</v>
      </c>
      <c r="W450">
        <v>1</v>
      </c>
      <c r="X450" t="s">
        <v>37</v>
      </c>
      <c r="Y450">
        <v>5</v>
      </c>
      <c r="Z450" t="s">
        <v>131</v>
      </c>
    </row>
    <row r="451" spans="1:26" hidden="1" x14ac:dyDescent="0.2">
      <c r="A451" t="s">
        <v>1032</v>
      </c>
      <c r="B451" t="s">
        <v>1033</v>
      </c>
      <c r="C451" s="1">
        <v>46105</v>
      </c>
      <c r="D451" t="s">
        <v>89</v>
      </c>
      <c r="E451">
        <v>11</v>
      </c>
      <c r="F451">
        <v>4.9000000000000004</v>
      </c>
      <c r="G451" t="s">
        <v>76</v>
      </c>
      <c r="H451" t="s">
        <v>51</v>
      </c>
      <c r="I451" s="1">
        <v>46105.34652777778</v>
      </c>
      <c r="J451" s="1">
        <v>46105.354166666664</v>
      </c>
      <c r="K451" s="1">
        <v>46105.390277777777</v>
      </c>
      <c r="L451" s="1">
        <v>46105.397916666669</v>
      </c>
      <c r="M451" s="1">
        <v>46105.43472222222</v>
      </c>
      <c r="N451" s="1">
        <v>46105.452777777777</v>
      </c>
      <c r="O451">
        <v>3</v>
      </c>
      <c r="P451" t="s">
        <v>37</v>
      </c>
      <c r="Q451" t="s">
        <v>96</v>
      </c>
      <c r="R451" t="s">
        <v>164</v>
      </c>
      <c r="S451" t="s">
        <v>98</v>
      </c>
      <c r="T451">
        <v>3000</v>
      </c>
      <c r="U451" t="s">
        <v>35</v>
      </c>
      <c r="V451" t="s">
        <v>36</v>
      </c>
      <c r="W451">
        <v>1</v>
      </c>
      <c r="X451" t="s">
        <v>37</v>
      </c>
      <c r="Y451">
        <v>3</v>
      </c>
      <c r="Z451" t="s">
        <v>38</v>
      </c>
    </row>
    <row r="452" spans="1:26" hidden="1" x14ac:dyDescent="0.2">
      <c r="A452" t="s">
        <v>1034</v>
      </c>
      <c r="B452" t="s">
        <v>1035</v>
      </c>
      <c r="C452" s="1">
        <v>46040</v>
      </c>
      <c r="D452" t="s">
        <v>230</v>
      </c>
      <c r="E452">
        <v>5</v>
      </c>
      <c r="F452">
        <v>10.199999999999999</v>
      </c>
      <c r="G452" t="s">
        <v>76</v>
      </c>
      <c r="H452" t="s">
        <v>42</v>
      </c>
      <c r="I452" s="1">
        <v>46040.311111111114</v>
      </c>
      <c r="J452" s="1">
        <v>46040.331944444442</v>
      </c>
      <c r="K452" s="1">
        <v>46040.374305555553</v>
      </c>
      <c r="L452" s="1">
        <v>46040.386111111111</v>
      </c>
      <c r="M452" s="1">
        <v>46040.418749999997</v>
      </c>
      <c r="N452" s="1">
        <v>46040.422222222223</v>
      </c>
      <c r="O452">
        <v>4</v>
      </c>
      <c r="P452" t="s">
        <v>37</v>
      </c>
      <c r="Q452" t="s">
        <v>69</v>
      </c>
      <c r="R452" t="s">
        <v>251</v>
      </c>
      <c r="S452" t="s">
        <v>71</v>
      </c>
      <c r="T452">
        <v>2000</v>
      </c>
      <c r="U452" t="s">
        <v>91</v>
      </c>
      <c r="V452" t="s">
        <v>59</v>
      </c>
      <c r="W452">
        <v>4</v>
      </c>
      <c r="X452" t="s">
        <v>85</v>
      </c>
      <c r="Y452">
        <v>3</v>
      </c>
      <c r="Z452" t="s">
        <v>38</v>
      </c>
    </row>
    <row r="453" spans="1:26" hidden="1" x14ac:dyDescent="0.2">
      <c r="A453" t="s">
        <v>1036</v>
      </c>
      <c r="B453" t="s">
        <v>1037</v>
      </c>
      <c r="C453" s="1">
        <v>46083</v>
      </c>
      <c r="D453" t="s">
        <v>41</v>
      </c>
      <c r="E453">
        <v>34</v>
      </c>
      <c r="F453">
        <v>6.7</v>
      </c>
      <c r="G453" t="s">
        <v>29</v>
      </c>
      <c r="H453" t="s">
        <v>167</v>
      </c>
      <c r="I453" s="1">
        <v>46083.4</v>
      </c>
      <c r="J453" s="1">
        <v>46083.407638888886</v>
      </c>
      <c r="K453" s="1">
        <v>46083.45208333333</v>
      </c>
      <c r="L453" s="1">
        <v>46083.464583333334</v>
      </c>
      <c r="M453" s="1">
        <v>46083.480555555558</v>
      </c>
      <c r="N453" s="1">
        <v>46083.503472222219</v>
      </c>
      <c r="O453">
        <v>4</v>
      </c>
      <c r="P453" t="s">
        <v>37</v>
      </c>
      <c r="Q453" t="s">
        <v>69</v>
      </c>
      <c r="R453" t="s">
        <v>70</v>
      </c>
      <c r="S453" t="s">
        <v>71</v>
      </c>
      <c r="T453">
        <v>2000</v>
      </c>
      <c r="U453" t="s">
        <v>35</v>
      </c>
      <c r="V453" t="s">
        <v>36</v>
      </c>
      <c r="W453">
        <v>1</v>
      </c>
      <c r="X453" t="s">
        <v>37</v>
      </c>
      <c r="Y453">
        <v>5</v>
      </c>
      <c r="Z453" t="s">
        <v>161</v>
      </c>
    </row>
    <row r="454" spans="1:26" hidden="1" x14ac:dyDescent="0.2">
      <c r="A454" t="s">
        <v>1038</v>
      </c>
      <c r="B454" t="s">
        <v>1039</v>
      </c>
      <c r="C454" s="1">
        <v>46086</v>
      </c>
      <c r="D454" t="s">
        <v>154</v>
      </c>
      <c r="E454">
        <v>19</v>
      </c>
      <c r="F454">
        <v>7.4</v>
      </c>
      <c r="G454" t="s">
        <v>50</v>
      </c>
      <c r="H454" t="s">
        <v>42</v>
      </c>
      <c r="I454" s="1">
        <v>46086.388194444444</v>
      </c>
      <c r="J454" s="1">
        <v>46086.406944444447</v>
      </c>
      <c r="K454" s="1">
        <v>46086.461111111108</v>
      </c>
      <c r="L454" s="1">
        <v>46086.470833333333</v>
      </c>
      <c r="M454" s="1">
        <v>46086.491666666669</v>
      </c>
      <c r="N454" s="1">
        <v>46086.520833333336</v>
      </c>
      <c r="O454">
        <v>1</v>
      </c>
      <c r="P454" t="s">
        <v>37</v>
      </c>
      <c r="Q454" t="s">
        <v>96</v>
      </c>
      <c r="R454" t="s">
        <v>214</v>
      </c>
      <c r="S454" t="s">
        <v>98</v>
      </c>
      <c r="T454">
        <v>3000</v>
      </c>
      <c r="U454" t="s">
        <v>35</v>
      </c>
      <c r="V454" t="s">
        <v>36</v>
      </c>
      <c r="W454">
        <v>1</v>
      </c>
      <c r="X454" t="s">
        <v>37</v>
      </c>
      <c r="Y454">
        <v>5</v>
      </c>
      <c r="Z454" t="s">
        <v>99</v>
      </c>
    </row>
    <row r="455" spans="1:26" hidden="1" x14ac:dyDescent="0.2">
      <c r="A455" t="s">
        <v>1040</v>
      </c>
      <c r="B455" t="s">
        <v>1041</v>
      </c>
      <c r="C455" s="1">
        <v>46103</v>
      </c>
      <c r="D455" t="s">
        <v>154</v>
      </c>
      <c r="E455">
        <v>29</v>
      </c>
      <c r="F455">
        <v>5.6</v>
      </c>
      <c r="G455" t="s">
        <v>50</v>
      </c>
      <c r="H455" t="s">
        <v>51</v>
      </c>
      <c r="I455" s="1">
        <v>46103.344444444447</v>
      </c>
      <c r="J455" s="1">
        <v>46103.356249999997</v>
      </c>
      <c r="K455" s="1">
        <v>46103.379861111112</v>
      </c>
      <c r="L455" s="1">
        <v>46103.393750000003</v>
      </c>
      <c r="M455" s="1">
        <v>46103.404861111114</v>
      </c>
      <c r="N455" s="1">
        <v>46103.42291666667</v>
      </c>
      <c r="O455">
        <v>5</v>
      </c>
      <c r="P455" t="s">
        <v>37</v>
      </c>
      <c r="Q455" t="s">
        <v>69</v>
      </c>
      <c r="R455" t="s">
        <v>70</v>
      </c>
      <c r="S455" t="s">
        <v>71</v>
      </c>
      <c r="T455">
        <v>2000</v>
      </c>
      <c r="U455" t="s">
        <v>35</v>
      </c>
      <c r="V455" t="s">
        <v>36</v>
      </c>
      <c r="W455">
        <v>1</v>
      </c>
      <c r="X455" t="s">
        <v>37</v>
      </c>
      <c r="Y455">
        <v>3</v>
      </c>
      <c r="Z455" t="s">
        <v>134</v>
      </c>
    </row>
    <row r="456" spans="1:26" hidden="1" x14ac:dyDescent="0.2">
      <c r="A456" t="s">
        <v>1042</v>
      </c>
      <c r="B456" t="s">
        <v>1043</v>
      </c>
      <c r="C456" s="1">
        <v>46045</v>
      </c>
      <c r="D456" t="s">
        <v>110</v>
      </c>
      <c r="E456">
        <v>6</v>
      </c>
      <c r="F456">
        <v>5.5</v>
      </c>
      <c r="G456" t="s">
        <v>29</v>
      </c>
      <c r="H456" t="s">
        <v>157</v>
      </c>
      <c r="I456" s="1">
        <v>46045.3</v>
      </c>
      <c r="J456" s="1">
        <v>46045.307638888888</v>
      </c>
      <c r="K456" s="1">
        <v>46045.334722222222</v>
      </c>
      <c r="L456" s="1">
        <v>46045.344444444447</v>
      </c>
      <c r="M456" s="1">
        <v>46045.380555555559</v>
      </c>
      <c r="N456" s="1">
        <v>46045.406944444447</v>
      </c>
      <c r="O456">
        <v>1</v>
      </c>
      <c r="P456" t="s">
        <v>37</v>
      </c>
      <c r="Q456" t="s">
        <v>69</v>
      </c>
      <c r="R456" t="s">
        <v>70</v>
      </c>
      <c r="S456" t="s">
        <v>71</v>
      </c>
      <c r="T456">
        <v>2000</v>
      </c>
      <c r="U456" t="s">
        <v>35</v>
      </c>
      <c r="V456" t="s">
        <v>36</v>
      </c>
      <c r="W456">
        <v>1</v>
      </c>
      <c r="X456" t="s">
        <v>37</v>
      </c>
      <c r="Y456">
        <v>4</v>
      </c>
      <c r="Z456" t="s">
        <v>86</v>
      </c>
    </row>
    <row r="457" spans="1:26" hidden="1" x14ac:dyDescent="0.2">
      <c r="A457" t="s">
        <v>1044</v>
      </c>
      <c r="B457" t="s">
        <v>1045</v>
      </c>
      <c r="C457" s="1">
        <v>46073</v>
      </c>
      <c r="D457" t="s">
        <v>126</v>
      </c>
      <c r="E457">
        <v>39</v>
      </c>
      <c r="F457">
        <v>7.3</v>
      </c>
      <c r="G457" t="s">
        <v>29</v>
      </c>
      <c r="H457" t="s">
        <v>157</v>
      </c>
      <c r="I457" s="1">
        <v>46073.410416666666</v>
      </c>
      <c r="J457" s="1">
        <v>46073.418055555558</v>
      </c>
      <c r="K457" s="1">
        <v>46073.436111111114</v>
      </c>
      <c r="L457" s="1">
        <v>46073.443749999999</v>
      </c>
      <c r="M457" s="1">
        <v>46073.463888888888</v>
      </c>
      <c r="N457" s="1">
        <v>46073.486111111109</v>
      </c>
      <c r="O457">
        <v>7</v>
      </c>
      <c r="P457" t="s">
        <v>37</v>
      </c>
      <c r="Q457" t="s">
        <v>32</v>
      </c>
      <c r="R457" t="s">
        <v>278</v>
      </c>
      <c r="S457" t="s">
        <v>34</v>
      </c>
      <c r="T457">
        <v>5000</v>
      </c>
      <c r="U457" t="s">
        <v>35</v>
      </c>
      <c r="V457" t="s">
        <v>36</v>
      </c>
      <c r="W457">
        <v>1</v>
      </c>
      <c r="X457" t="s">
        <v>37</v>
      </c>
      <c r="Y457">
        <v>5</v>
      </c>
      <c r="Z457" t="s">
        <v>215</v>
      </c>
    </row>
    <row r="458" spans="1:26" hidden="1" x14ac:dyDescent="0.2">
      <c r="A458" t="s">
        <v>1046</v>
      </c>
      <c r="B458" t="s">
        <v>1047</v>
      </c>
      <c r="C458" s="1">
        <v>46087</v>
      </c>
      <c r="D458" t="s">
        <v>114</v>
      </c>
      <c r="E458">
        <v>17</v>
      </c>
      <c r="F458">
        <v>4.0999999999999996</v>
      </c>
      <c r="G458" t="s">
        <v>57</v>
      </c>
      <c r="H458" t="s">
        <v>157</v>
      </c>
      <c r="I458" s="1">
        <v>46087.261111111111</v>
      </c>
      <c r="J458" s="1">
        <v>46087.272916666669</v>
      </c>
      <c r="K458" s="1">
        <v>46087.333333333336</v>
      </c>
      <c r="L458" s="1">
        <v>46087.341666666667</v>
      </c>
      <c r="M458" s="1">
        <v>46087.371527777781</v>
      </c>
      <c r="N458" s="1">
        <v>46087.38958333333</v>
      </c>
      <c r="O458">
        <v>5</v>
      </c>
      <c r="P458" t="s">
        <v>37</v>
      </c>
      <c r="Q458" t="s">
        <v>43</v>
      </c>
      <c r="R458" t="s">
        <v>58</v>
      </c>
      <c r="S458" t="s">
        <v>45</v>
      </c>
      <c r="T458">
        <v>2500</v>
      </c>
      <c r="U458" t="s">
        <v>35</v>
      </c>
      <c r="V458" t="s">
        <v>36</v>
      </c>
      <c r="W458">
        <v>1</v>
      </c>
      <c r="X458" t="s">
        <v>37</v>
      </c>
      <c r="Y458">
        <v>5</v>
      </c>
      <c r="Z458" t="s">
        <v>161</v>
      </c>
    </row>
    <row r="459" spans="1:26" hidden="1" x14ac:dyDescent="0.2">
      <c r="A459" t="s">
        <v>1048</v>
      </c>
      <c r="B459" t="s">
        <v>1049</v>
      </c>
      <c r="C459" s="1">
        <v>46081</v>
      </c>
      <c r="D459" t="s">
        <v>242</v>
      </c>
      <c r="E459">
        <v>16</v>
      </c>
      <c r="F459">
        <v>7.3</v>
      </c>
      <c r="G459" t="s">
        <v>57</v>
      </c>
      <c r="H459" t="s">
        <v>65</v>
      </c>
      <c r="I459" s="1">
        <v>46081.379861111112</v>
      </c>
      <c r="J459" s="1">
        <v>46081.392361111109</v>
      </c>
      <c r="K459" s="1">
        <v>46081.439583333333</v>
      </c>
      <c r="L459" s="1">
        <v>46081.451388888891</v>
      </c>
      <c r="M459" s="1">
        <v>46081.487500000003</v>
      </c>
      <c r="N459" s="1">
        <v>46081.498611111114</v>
      </c>
      <c r="O459">
        <v>6</v>
      </c>
      <c r="P459" t="s">
        <v>37</v>
      </c>
      <c r="Q459" t="s">
        <v>96</v>
      </c>
      <c r="R459" t="s">
        <v>97</v>
      </c>
      <c r="S459" t="s">
        <v>98</v>
      </c>
      <c r="T459">
        <v>3000</v>
      </c>
      <c r="U459" t="s">
        <v>35</v>
      </c>
      <c r="V459" t="s">
        <v>59</v>
      </c>
      <c r="W459">
        <v>2</v>
      </c>
      <c r="X459" t="s">
        <v>85</v>
      </c>
      <c r="Y459">
        <v>3</v>
      </c>
      <c r="Z459" t="s">
        <v>134</v>
      </c>
    </row>
    <row r="460" spans="1:26" hidden="1" x14ac:dyDescent="0.2">
      <c r="A460" t="s">
        <v>1050</v>
      </c>
      <c r="B460" t="s">
        <v>1051</v>
      </c>
      <c r="C460" s="1">
        <v>46060</v>
      </c>
      <c r="D460" t="s">
        <v>94</v>
      </c>
      <c r="E460">
        <v>36</v>
      </c>
      <c r="F460">
        <v>7.3</v>
      </c>
      <c r="G460" t="s">
        <v>81</v>
      </c>
      <c r="H460" t="s">
        <v>51</v>
      </c>
      <c r="I460" s="1">
        <v>46060.31527777778</v>
      </c>
      <c r="J460" s="1">
        <v>46060.320138888892</v>
      </c>
      <c r="K460" s="1">
        <v>46060.336111111108</v>
      </c>
      <c r="L460" s="1">
        <v>46060.34652777778</v>
      </c>
      <c r="M460" s="1">
        <v>46060.371527777781</v>
      </c>
      <c r="N460" s="1">
        <v>46060.394444444442</v>
      </c>
      <c r="O460">
        <v>2</v>
      </c>
      <c r="P460" t="s">
        <v>31</v>
      </c>
      <c r="Q460" t="s">
        <v>32</v>
      </c>
      <c r="R460" t="s">
        <v>120</v>
      </c>
      <c r="S460" t="s">
        <v>34</v>
      </c>
      <c r="T460">
        <v>5000</v>
      </c>
      <c r="U460" t="s">
        <v>35</v>
      </c>
      <c r="V460" t="s">
        <v>36</v>
      </c>
      <c r="W460">
        <v>1</v>
      </c>
      <c r="X460" t="s">
        <v>37</v>
      </c>
      <c r="Y460">
        <v>5</v>
      </c>
      <c r="Z460" t="s">
        <v>134</v>
      </c>
    </row>
    <row r="461" spans="1:26" hidden="1" x14ac:dyDescent="0.2">
      <c r="A461" t="s">
        <v>1052</v>
      </c>
      <c r="B461" t="s">
        <v>1053</v>
      </c>
      <c r="C461" s="1">
        <v>46071</v>
      </c>
      <c r="D461" t="s">
        <v>289</v>
      </c>
      <c r="E461">
        <v>30</v>
      </c>
      <c r="F461">
        <v>4.3</v>
      </c>
      <c r="G461" t="s">
        <v>76</v>
      </c>
      <c r="H461" t="s">
        <v>51</v>
      </c>
      <c r="I461" s="1">
        <v>46071.375694444447</v>
      </c>
      <c r="J461" s="1">
        <v>46071.381944444445</v>
      </c>
      <c r="K461" s="1">
        <v>46071.417361111111</v>
      </c>
      <c r="L461" s="1">
        <v>46071.430555555555</v>
      </c>
      <c r="M461" s="1">
        <v>46071.459027777775</v>
      </c>
      <c r="N461" s="1">
        <v>46071.482638888891</v>
      </c>
      <c r="O461">
        <v>1</v>
      </c>
      <c r="P461" t="s">
        <v>52</v>
      </c>
      <c r="Q461" t="s">
        <v>43</v>
      </c>
      <c r="R461" t="s">
        <v>158</v>
      </c>
      <c r="S461" t="s">
        <v>45</v>
      </c>
      <c r="T461">
        <v>2500</v>
      </c>
      <c r="U461" t="s">
        <v>35</v>
      </c>
      <c r="V461" t="s">
        <v>59</v>
      </c>
      <c r="W461">
        <v>2</v>
      </c>
      <c r="X461" t="s">
        <v>193</v>
      </c>
      <c r="Y461">
        <v>5</v>
      </c>
      <c r="Z461" t="s">
        <v>46</v>
      </c>
    </row>
    <row r="462" spans="1:26" hidden="1" x14ac:dyDescent="0.2">
      <c r="A462" t="s">
        <v>1054</v>
      </c>
      <c r="B462" t="s">
        <v>1055</v>
      </c>
      <c r="C462" s="1">
        <v>46044</v>
      </c>
      <c r="D462" t="s">
        <v>64</v>
      </c>
      <c r="E462">
        <v>16</v>
      </c>
      <c r="F462">
        <v>6.4</v>
      </c>
      <c r="G462" t="s">
        <v>81</v>
      </c>
      <c r="H462" t="s">
        <v>30</v>
      </c>
      <c r="I462" s="1">
        <v>46044.319444444445</v>
      </c>
      <c r="J462" s="1">
        <v>46044.326388888891</v>
      </c>
      <c r="K462" s="1">
        <v>46044.339583333334</v>
      </c>
      <c r="L462" s="1">
        <v>46044.343055555553</v>
      </c>
      <c r="M462" s="1">
        <v>46044.379861111112</v>
      </c>
      <c r="N462" s="1">
        <v>46044.395138888889</v>
      </c>
      <c r="O462">
        <v>2</v>
      </c>
      <c r="P462" t="s">
        <v>37</v>
      </c>
      <c r="Q462" t="s">
        <v>32</v>
      </c>
      <c r="R462" t="s">
        <v>77</v>
      </c>
      <c r="S462" t="s">
        <v>34</v>
      </c>
      <c r="T462">
        <v>5000</v>
      </c>
      <c r="U462" t="s">
        <v>35</v>
      </c>
      <c r="V462" t="s">
        <v>36</v>
      </c>
      <c r="W462">
        <v>1</v>
      </c>
      <c r="X462" t="s">
        <v>37</v>
      </c>
      <c r="Y462">
        <v>5</v>
      </c>
      <c r="Z462" t="s">
        <v>131</v>
      </c>
    </row>
    <row r="463" spans="1:26" hidden="1" x14ac:dyDescent="0.2">
      <c r="A463" t="s">
        <v>1056</v>
      </c>
      <c r="B463" t="s">
        <v>1057</v>
      </c>
      <c r="C463" s="1">
        <v>46079</v>
      </c>
      <c r="D463" t="s">
        <v>114</v>
      </c>
      <c r="E463">
        <v>29</v>
      </c>
      <c r="F463">
        <v>9.5</v>
      </c>
      <c r="G463" t="s">
        <v>50</v>
      </c>
      <c r="H463" t="s">
        <v>51</v>
      </c>
      <c r="I463" s="1">
        <v>46079.356249999997</v>
      </c>
      <c r="J463" s="1">
        <v>46079.359722222223</v>
      </c>
      <c r="K463" s="1">
        <v>46079.370833333334</v>
      </c>
      <c r="L463" s="1">
        <v>46079.382638888892</v>
      </c>
      <c r="M463" s="1">
        <v>46079.423611111109</v>
      </c>
      <c r="N463" s="1">
        <v>46079.435416666667</v>
      </c>
      <c r="O463">
        <v>2</v>
      </c>
      <c r="P463" t="s">
        <v>37</v>
      </c>
      <c r="Q463" t="s">
        <v>32</v>
      </c>
      <c r="R463" t="s">
        <v>77</v>
      </c>
      <c r="S463" t="s">
        <v>34</v>
      </c>
      <c r="T463">
        <v>5000</v>
      </c>
      <c r="U463" t="s">
        <v>35</v>
      </c>
      <c r="V463" t="s">
        <v>36</v>
      </c>
      <c r="W463">
        <v>1</v>
      </c>
      <c r="X463" t="s">
        <v>37</v>
      </c>
      <c r="Y463">
        <v>4</v>
      </c>
      <c r="Z463" t="s">
        <v>102</v>
      </c>
    </row>
    <row r="464" spans="1:26" x14ac:dyDescent="0.2">
      <c r="A464" t="s">
        <v>1058</v>
      </c>
      <c r="B464" t="s">
        <v>1059</v>
      </c>
      <c r="C464" s="1">
        <v>46047</v>
      </c>
      <c r="D464" t="s">
        <v>94</v>
      </c>
      <c r="E464">
        <v>11</v>
      </c>
      <c r="F464">
        <v>10.4</v>
      </c>
      <c r="G464" t="s">
        <v>57</v>
      </c>
      <c r="H464" t="s">
        <v>30</v>
      </c>
      <c r="I464" s="1">
        <v>46047.279166666667</v>
      </c>
      <c r="J464" s="1">
        <v>46047.283333333333</v>
      </c>
      <c r="K464" s="1">
        <v>46047.32708333333</v>
      </c>
      <c r="L464" s="1">
        <v>46047.332638888889</v>
      </c>
      <c r="M464" s="1">
        <v>46047.353472222225</v>
      </c>
      <c r="N464" s="1">
        <v>46047.370833333334</v>
      </c>
      <c r="O464">
        <v>5</v>
      </c>
      <c r="P464" t="s">
        <v>37</v>
      </c>
      <c r="Q464" t="s">
        <v>32</v>
      </c>
      <c r="R464" t="s">
        <v>120</v>
      </c>
      <c r="S464" t="s">
        <v>34</v>
      </c>
      <c r="T464">
        <v>5000</v>
      </c>
      <c r="U464" t="s">
        <v>35</v>
      </c>
      <c r="V464" t="s">
        <v>59</v>
      </c>
      <c r="W464">
        <v>4</v>
      </c>
      <c r="X464" t="s">
        <v>193</v>
      </c>
      <c r="Y464">
        <v>2</v>
      </c>
      <c r="Z464" t="s">
        <v>54</v>
      </c>
    </row>
    <row r="465" spans="1:26" hidden="1" x14ac:dyDescent="0.2">
      <c r="A465" t="s">
        <v>1060</v>
      </c>
      <c r="B465" t="s">
        <v>1061</v>
      </c>
      <c r="C465" s="1">
        <v>46068</v>
      </c>
      <c r="D465" t="s">
        <v>289</v>
      </c>
      <c r="E465">
        <v>30</v>
      </c>
      <c r="F465">
        <v>9.1999999999999993</v>
      </c>
      <c r="G465" t="s">
        <v>29</v>
      </c>
      <c r="H465" t="s">
        <v>157</v>
      </c>
      <c r="I465" s="1">
        <v>46068.287499999999</v>
      </c>
      <c r="J465" s="1">
        <v>46068.300694444442</v>
      </c>
      <c r="K465" s="1">
        <v>46068.32708333333</v>
      </c>
      <c r="L465" s="1">
        <v>46068.331944444442</v>
      </c>
      <c r="M465" s="1">
        <v>46068.368055555555</v>
      </c>
      <c r="N465" s="1">
        <v>46068.383333333331</v>
      </c>
      <c r="O465">
        <v>6</v>
      </c>
      <c r="P465" t="s">
        <v>37</v>
      </c>
      <c r="Q465" t="s">
        <v>82</v>
      </c>
      <c r="R465" t="s">
        <v>286</v>
      </c>
      <c r="S465" t="s">
        <v>84</v>
      </c>
      <c r="T465">
        <v>4000</v>
      </c>
      <c r="U465" t="s">
        <v>35</v>
      </c>
      <c r="V465" t="s">
        <v>59</v>
      </c>
      <c r="W465">
        <v>4</v>
      </c>
      <c r="X465" t="s">
        <v>353</v>
      </c>
      <c r="Y465">
        <v>5</v>
      </c>
      <c r="Z465" t="s">
        <v>72</v>
      </c>
    </row>
    <row r="466" spans="1:26" hidden="1" x14ac:dyDescent="0.2">
      <c r="A466" t="s">
        <v>1062</v>
      </c>
      <c r="B466" t="s">
        <v>1063</v>
      </c>
      <c r="C466" s="1">
        <v>46091</v>
      </c>
      <c r="D466" t="s">
        <v>154</v>
      </c>
      <c r="E466">
        <v>21</v>
      </c>
      <c r="F466">
        <v>11.7</v>
      </c>
      <c r="G466" t="s">
        <v>81</v>
      </c>
      <c r="H466" t="s">
        <v>167</v>
      </c>
      <c r="I466" s="1">
        <v>46091.361805555556</v>
      </c>
      <c r="J466" s="1">
        <v>46091.380555555559</v>
      </c>
      <c r="K466" s="1">
        <v>46091.421527777777</v>
      </c>
      <c r="L466" s="1">
        <v>46091.427777777775</v>
      </c>
      <c r="M466" s="1">
        <v>46091.449305555558</v>
      </c>
      <c r="N466" s="1">
        <v>46091.460416666669</v>
      </c>
      <c r="O466">
        <v>6</v>
      </c>
      <c r="P466" t="s">
        <v>37</v>
      </c>
      <c r="Q466" t="s">
        <v>69</v>
      </c>
      <c r="R466" t="s">
        <v>146</v>
      </c>
      <c r="S466" t="s">
        <v>71</v>
      </c>
      <c r="T466">
        <v>2000</v>
      </c>
      <c r="U466" t="s">
        <v>35</v>
      </c>
      <c r="V466" t="s">
        <v>59</v>
      </c>
      <c r="W466">
        <v>4</v>
      </c>
      <c r="X466" t="s">
        <v>116</v>
      </c>
      <c r="Y466">
        <v>4</v>
      </c>
      <c r="Z466" t="s">
        <v>215</v>
      </c>
    </row>
    <row r="467" spans="1:26" hidden="1" x14ac:dyDescent="0.2">
      <c r="A467" t="s">
        <v>1064</v>
      </c>
      <c r="B467" t="s">
        <v>1065</v>
      </c>
      <c r="C467" s="1">
        <v>46080</v>
      </c>
      <c r="D467" t="s">
        <v>220</v>
      </c>
      <c r="E467">
        <v>37</v>
      </c>
      <c r="F467">
        <v>8.6999999999999993</v>
      </c>
      <c r="G467" t="s">
        <v>29</v>
      </c>
      <c r="H467" t="s">
        <v>95</v>
      </c>
      <c r="I467" s="1">
        <v>46080.253472222219</v>
      </c>
      <c r="J467" s="1">
        <v>46080.270138888889</v>
      </c>
      <c r="K467" s="1">
        <v>46080.287499999999</v>
      </c>
      <c r="L467" s="1">
        <v>46080.297222222223</v>
      </c>
      <c r="M467" s="1">
        <v>46080.314583333333</v>
      </c>
      <c r="N467" s="1">
        <v>46080.336805555555</v>
      </c>
      <c r="O467">
        <v>7</v>
      </c>
      <c r="P467" t="s">
        <v>238</v>
      </c>
      <c r="Q467" t="s">
        <v>69</v>
      </c>
      <c r="R467" t="s">
        <v>146</v>
      </c>
      <c r="S467" t="s">
        <v>71</v>
      </c>
      <c r="T467">
        <v>2000</v>
      </c>
      <c r="U467" t="s">
        <v>35</v>
      </c>
      <c r="V467" t="s">
        <v>36</v>
      </c>
      <c r="W467">
        <v>1</v>
      </c>
      <c r="X467" t="s">
        <v>37</v>
      </c>
      <c r="Y467">
        <v>4</v>
      </c>
      <c r="Z467" t="s">
        <v>296</v>
      </c>
    </row>
    <row r="468" spans="1:26" hidden="1" x14ac:dyDescent="0.2">
      <c r="A468" t="s">
        <v>1066</v>
      </c>
      <c r="B468" t="s">
        <v>1067</v>
      </c>
      <c r="C468" s="1">
        <v>46049</v>
      </c>
      <c r="D468" t="s">
        <v>105</v>
      </c>
      <c r="E468">
        <v>33</v>
      </c>
      <c r="F468">
        <v>9.9</v>
      </c>
      <c r="G468" t="s">
        <v>76</v>
      </c>
      <c r="H468" t="s">
        <v>95</v>
      </c>
      <c r="I468" s="1">
        <v>46049.299305555556</v>
      </c>
      <c r="J468" s="1">
        <v>46049.30972222222</v>
      </c>
      <c r="K468" s="1">
        <v>46049.320138888892</v>
      </c>
      <c r="L468" s="1">
        <v>46049.332638888889</v>
      </c>
      <c r="M468" s="1">
        <v>46049.368055555555</v>
      </c>
      <c r="N468" s="1">
        <v>46049.384027777778</v>
      </c>
      <c r="O468">
        <v>7</v>
      </c>
      <c r="P468" t="s">
        <v>52</v>
      </c>
      <c r="Q468" t="s">
        <v>32</v>
      </c>
      <c r="R468" t="s">
        <v>120</v>
      </c>
      <c r="S468" t="s">
        <v>34</v>
      </c>
      <c r="T468">
        <v>5000</v>
      </c>
      <c r="U468" t="s">
        <v>35</v>
      </c>
      <c r="V468" t="s">
        <v>36</v>
      </c>
      <c r="W468">
        <v>1</v>
      </c>
      <c r="X468" t="s">
        <v>37</v>
      </c>
      <c r="Y468">
        <v>4</v>
      </c>
      <c r="Z468" t="s">
        <v>86</v>
      </c>
    </row>
    <row r="469" spans="1:26" x14ac:dyDescent="0.2">
      <c r="A469" t="s">
        <v>1068</v>
      </c>
      <c r="B469" t="s">
        <v>1069</v>
      </c>
      <c r="C469" s="1">
        <v>46054</v>
      </c>
      <c r="D469" t="s">
        <v>154</v>
      </c>
      <c r="E469">
        <v>29</v>
      </c>
      <c r="F469">
        <v>8.1999999999999993</v>
      </c>
      <c r="G469" t="s">
        <v>57</v>
      </c>
      <c r="H469" t="s">
        <v>157</v>
      </c>
      <c r="I469" s="1">
        <v>46054.361805555556</v>
      </c>
      <c r="J469" s="1">
        <v>46054.365277777775</v>
      </c>
      <c r="K469" s="1">
        <v>46054.37777777778</v>
      </c>
      <c r="L469" s="1">
        <v>46054.39166666667</v>
      </c>
      <c r="M469" s="1">
        <v>46054.401388888888</v>
      </c>
      <c r="N469" s="1">
        <v>46054.413194444445</v>
      </c>
      <c r="O469">
        <v>1</v>
      </c>
      <c r="P469" t="s">
        <v>37</v>
      </c>
      <c r="Q469" t="s">
        <v>82</v>
      </c>
      <c r="R469" t="s">
        <v>77</v>
      </c>
      <c r="S469" t="s">
        <v>84</v>
      </c>
      <c r="T469">
        <v>4000</v>
      </c>
      <c r="U469" t="s">
        <v>35</v>
      </c>
      <c r="V469" t="s">
        <v>36</v>
      </c>
      <c r="W469">
        <v>1</v>
      </c>
      <c r="X469" t="s">
        <v>37</v>
      </c>
      <c r="Y469">
        <v>2</v>
      </c>
      <c r="Z469" t="s">
        <v>215</v>
      </c>
    </row>
    <row r="470" spans="1:26" hidden="1" x14ac:dyDescent="0.2">
      <c r="A470" t="s">
        <v>1070</v>
      </c>
      <c r="B470" t="s">
        <v>1071</v>
      </c>
      <c r="C470" s="1">
        <v>46049</v>
      </c>
      <c r="D470" t="s">
        <v>41</v>
      </c>
      <c r="E470">
        <v>32</v>
      </c>
      <c r="F470">
        <v>9.8000000000000007</v>
      </c>
      <c r="G470" t="s">
        <v>76</v>
      </c>
      <c r="H470" t="s">
        <v>95</v>
      </c>
      <c r="I470" s="1">
        <v>46049.37777777778</v>
      </c>
      <c r="J470" s="1">
        <v>46049.385416666664</v>
      </c>
      <c r="K470" s="1">
        <v>46049.413888888892</v>
      </c>
      <c r="L470" s="1">
        <v>46049.426388888889</v>
      </c>
      <c r="M470" s="1">
        <v>46049.440972222219</v>
      </c>
      <c r="N470" s="1">
        <v>46049.470833333333</v>
      </c>
      <c r="O470">
        <v>2</v>
      </c>
      <c r="P470" t="s">
        <v>37</v>
      </c>
      <c r="Q470" t="s">
        <v>69</v>
      </c>
      <c r="R470" t="s">
        <v>111</v>
      </c>
      <c r="S470" t="s">
        <v>71</v>
      </c>
      <c r="T470">
        <v>2000</v>
      </c>
      <c r="U470" t="s">
        <v>35</v>
      </c>
      <c r="V470" t="s">
        <v>59</v>
      </c>
      <c r="W470">
        <v>2</v>
      </c>
      <c r="X470" t="s">
        <v>353</v>
      </c>
      <c r="Y470">
        <v>5</v>
      </c>
      <c r="Z470" t="s">
        <v>72</v>
      </c>
    </row>
    <row r="471" spans="1:26" hidden="1" x14ac:dyDescent="0.2">
      <c r="A471" t="s">
        <v>1072</v>
      </c>
      <c r="B471" t="s">
        <v>1073</v>
      </c>
      <c r="C471" s="1">
        <v>46069</v>
      </c>
      <c r="D471" t="s">
        <v>220</v>
      </c>
      <c r="E471">
        <v>35</v>
      </c>
      <c r="F471">
        <v>7.5</v>
      </c>
      <c r="G471" t="s">
        <v>81</v>
      </c>
      <c r="H471" t="s">
        <v>65</v>
      </c>
      <c r="I471" s="1">
        <v>46069.380555555559</v>
      </c>
      <c r="J471" s="1">
        <v>46069.393055555556</v>
      </c>
      <c r="K471" s="1">
        <v>46069.413194444445</v>
      </c>
      <c r="L471" s="1">
        <v>46069.427083333336</v>
      </c>
      <c r="M471" s="1">
        <v>46069.43472222222</v>
      </c>
      <c r="N471" s="1">
        <v>46069.454861111109</v>
      </c>
      <c r="O471">
        <v>4</v>
      </c>
      <c r="P471" t="s">
        <v>37</v>
      </c>
      <c r="Q471" t="s">
        <v>43</v>
      </c>
      <c r="R471" t="s">
        <v>158</v>
      </c>
      <c r="S471" t="s">
        <v>45</v>
      </c>
      <c r="T471">
        <v>2500</v>
      </c>
      <c r="U471" t="s">
        <v>35</v>
      </c>
      <c r="V471" t="s">
        <v>59</v>
      </c>
      <c r="W471">
        <v>2</v>
      </c>
      <c r="X471" t="s">
        <v>374</v>
      </c>
      <c r="Y471">
        <v>5</v>
      </c>
      <c r="Z471" t="s">
        <v>161</v>
      </c>
    </row>
    <row r="472" spans="1:26" hidden="1" x14ac:dyDescent="0.2">
      <c r="A472" t="s">
        <v>1074</v>
      </c>
      <c r="B472" t="s">
        <v>1075</v>
      </c>
      <c r="C472" s="1">
        <v>46082</v>
      </c>
      <c r="D472" t="s">
        <v>149</v>
      </c>
      <c r="E472">
        <v>29</v>
      </c>
      <c r="F472">
        <v>8.5</v>
      </c>
      <c r="G472" t="s">
        <v>50</v>
      </c>
      <c r="H472" t="s">
        <v>51</v>
      </c>
      <c r="I472" s="1">
        <v>46082.309027777781</v>
      </c>
      <c r="J472" s="1">
        <v>46082.31527777778</v>
      </c>
      <c r="K472" s="1">
        <v>46082.363888888889</v>
      </c>
      <c r="L472" s="1">
        <v>46082.371527777781</v>
      </c>
      <c r="M472" s="1">
        <v>46082.384722222225</v>
      </c>
      <c r="N472" s="1">
        <v>46082.396527777775</v>
      </c>
      <c r="O472">
        <v>1</v>
      </c>
      <c r="P472" t="s">
        <v>31</v>
      </c>
      <c r="Q472" t="s">
        <v>43</v>
      </c>
      <c r="R472" t="s">
        <v>58</v>
      </c>
      <c r="S472" t="s">
        <v>45</v>
      </c>
      <c r="T472">
        <v>2500</v>
      </c>
      <c r="U472" t="s">
        <v>35</v>
      </c>
      <c r="V472" t="s">
        <v>36</v>
      </c>
      <c r="W472">
        <v>1</v>
      </c>
      <c r="X472" t="s">
        <v>37</v>
      </c>
      <c r="Y472">
        <v>4</v>
      </c>
      <c r="Z472" t="s">
        <v>168</v>
      </c>
    </row>
    <row r="473" spans="1:26" hidden="1" x14ac:dyDescent="0.2">
      <c r="A473" t="s">
        <v>1076</v>
      </c>
      <c r="B473" t="s">
        <v>1077</v>
      </c>
      <c r="C473" s="1">
        <v>46070</v>
      </c>
      <c r="D473" t="s">
        <v>220</v>
      </c>
      <c r="E473">
        <v>9</v>
      </c>
      <c r="F473">
        <v>7.3</v>
      </c>
      <c r="G473" t="s">
        <v>29</v>
      </c>
      <c r="H473" t="s">
        <v>51</v>
      </c>
      <c r="I473" s="1">
        <v>46070.318055555559</v>
      </c>
      <c r="J473" s="1">
        <v>46070.334027777775</v>
      </c>
      <c r="K473" s="1">
        <v>46070.354861111111</v>
      </c>
      <c r="L473" s="1">
        <v>46070.362500000003</v>
      </c>
      <c r="M473" s="1">
        <v>46070.402777777781</v>
      </c>
      <c r="N473" s="1">
        <v>46070.425000000003</v>
      </c>
      <c r="O473">
        <v>3</v>
      </c>
      <c r="P473" t="s">
        <v>37</v>
      </c>
      <c r="Q473" t="s">
        <v>43</v>
      </c>
      <c r="R473" t="s">
        <v>58</v>
      </c>
      <c r="S473" t="s">
        <v>45</v>
      </c>
      <c r="T473">
        <v>2500</v>
      </c>
      <c r="U473" t="s">
        <v>35</v>
      </c>
      <c r="V473" t="s">
        <v>36</v>
      </c>
      <c r="W473">
        <v>1</v>
      </c>
      <c r="X473" t="s">
        <v>37</v>
      </c>
      <c r="Y473">
        <v>5</v>
      </c>
      <c r="Z473" t="s">
        <v>134</v>
      </c>
    </row>
    <row r="474" spans="1:26" hidden="1" x14ac:dyDescent="0.2">
      <c r="A474" t="s">
        <v>1078</v>
      </c>
      <c r="B474" t="s">
        <v>1079</v>
      </c>
      <c r="C474" s="1">
        <v>46112</v>
      </c>
      <c r="D474" t="s">
        <v>110</v>
      </c>
      <c r="E474">
        <v>20</v>
      </c>
      <c r="F474">
        <v>5.9</v>
      </c>
      <c r="G474" t="s">
        <v>29</v>
      </c>
      <c r="H474" t="s">
        <v>42</v>
      </c>
      <c r="I474" s="1">
        <v>46112.313888888886</v>
      </c>
      <c r="J474" s="1">
        <v>46112.331250000003</v>
      </c>
      <c r="K474" s="1">
        <v>46112.340277777781</v>
      </c>
      <c r="L474" s="1">
        <v>46112.34652777778</v>
      </c>
      <c r="M474" s="1">
        <v>46112.364583333336</v>
      </c>
      <c r="N474" s="1">
        <v>46112.394444444442</v>
      </c>
      <c r="O474">
        <v>4</v>
      </c>
      <c r="P474" t="s">
        <v>37</v>
      </c>
      <c r="Q474" t="s">
        <v>43</v>
      </c>
      <c r="R474" t="s">
        <v>200</v>
      </c>
      <c r="S474" t="s">
        <v>45</v>
      </c>
      <c r="T474">
        <v>2500</v>
      </c>
      <c r="U474" t="s">
        <v>35</v>
      </c>
      <c r="V474" t="s">
        <v>36</v>
      </c>
      <c r="W474">
        <v>1</v>
      </c>
      <c r="X474" t="s">
        <v>37</v>
      </c>
      <c r="Y474">
        <v>4</v>
      </c>
      <c r="Z474" t="s">
        <v>134</v>
      </c>
    </row>
    <row r="475" spans="1:26" hidden="1" x14ac:dyDescent="0.2">
      <c r="A475" t="s">
        <v>1080</v>
      </c>
      <c r="B475" t="s">
        <v>1081</v>
      </c>
      <c r="C475" s="1">
        <v>46024</v>
      </c>
      <c r="D475" t="s">
        <v>28</v>
      </c>
      <c r="E475">
        <v>30</v>
      </c>
      <c r="F475">
        <v>9.6</v>
      </c>
      <c r="G475" t="s">
        <v>29</v>
      </c>
      <c r="H475" t="s">
        <v>65</v>
      </c>
      <c r="I475" s="1">
        <v>46024.411111111112</v>
      </c>
      <c r="J475" s="1">
        <v>46024.418749999997</v>
      </c>
      <c r="K475" s="1">
        <v>46024.463194444441</v>
      </c>
      <c r="L475" s="1">
        <v>46024.470138888886</v>
      </c>
      <c r="M475" s="1">
        <v>46024.495833333334</v>
      </c>
      <c r="N475" s="1">
        <v>46024.510416666664</v>
      </c>
      <c r="O475">
        <v>6</v>
      </c>
      <c r="P475" t="s">
        <v>37</v>
      </c>
      <c r="Q475" t="s">
        <v>32</v>
      </c>
      <c r="R475" t="s">
        <v>140</v>
      </c>
      <c r="S475" t="s">
        <v>34</v>
      </c>
      <c r="T475">
        <v>5000</v>
      </c>
      <c r="U475" t="s">
        <v>91</v>
      </c>
      <c r="V475" t="s">
        <v>36</v>
      </c>
      <c r="W475">
        <v>1</v>
      </c>
      <c r="X475" t="s">
        <v>37</v>
      </c>
      <c r="Y475">
        <v>4</v>
      </c>
      <c r="Z475" t="s">
        <v>161</v>
      </c>
    </row>
    <row r="476" spans="1:26" hidden="1" x14ac:dyDescent="0.2">
      <c r="A476" t="s">
        <v>1082</v>
      </c>
      <c r="B476" t="s">
        <v>1083</v>
      </c>
      <c r="C476" s="1">
        <v>46034</v>
      </c>
      <c r="D476" t="s">
        <v>28</v>
      </c>
      <c r="E476">
        <v>14</v>
      </c>
      <c r="F476">
        <v>6.2</v>
      </c>
      <c r="G476" t="s">
        <v>57</v>
      </c>
      <c r="H476" t="s">
        <v>30</v>
      </c>
      <c r="I476" s="1">
        <v>46034.320138888892</v>
      </c>
      <c r="J476" s="1">
        <v>46034.338888888888</v>
      </c>
      <c r="K476" s="1">
        <v>46034.372916666667</v>
      </c>
      <c r="L476" s="1">
        <v>46034.376388888886</v>
      </c>
      <c r="M476" s="1">
        <v>46034.390277777777</v>
      </c>
      <c r="N476" s="1">
        <v>46034.415277777778</v>
      </c>
      <c r="O476">
        <v>1</v>
      </c>
      <c r="P476" t="s">
        <v>52</v>
      </c>
      <c r="Q476" t="s">
        <v>69</v>
      </c>
      <c r="R476" t="s">
        <v>251</v>
      </c>
      <c r="S476" t="s">
        <v>71</v>
      </c>
      <c r="T476">
        <v>2000</v>
      </c>
      <c r="U476" t="s">
        <v>35</v>
      </c>
      <c r="V476" t="s">
        <v>36</v>
      </c>
      <c r="W476">
        <v>1</v>
      </c>
      <c r="X476" t="s">
        <v>37</v>
      </c>
      <c r="Y476">
        <v>4</v>
      </c>
      <c r="Z476" t="s">
        <v>168</v>
      </c>
    </row>
    <row r="477" spans="1:26" hidden="1" x14ac:dyDescent="0.2">
      <c r="A477" t="s">
        <v>1084</v>
      </c>
      <c r="B477" t="s">
        <v>1085</v>
      </c>
      <c r="C477" s="1">
        <v>46045</v>
      </c>
      <c r="D477" t="s">
        <v>242</v>
      </c>
      <c r="E477">
        <v>13</v>
      </c>
      <c r="F477">
        <v>5.6</v>
      </c>
      <c r="G477" t="s">
        <v>57</v>
      </c>
      <c r="H477" t="s">
        <v>65</v>
      </c>
      <c r="I477" s="1">
        <v>46045.269444444442</v>
      </c>
      <c r="J477" s="1">
        <v>46045.282638888886</v>
      </c>
      <c r="K477" s="1">
        <v>46045.339583333334</v>
      </c>
      <c r="L477" s="1">
        <v>46045.347222222219</v>
      </c>
      <c r="M477" s="1">
        <v>46045.361805555556</v>
      </c>
      <c r="N477" s="1">
        <v>46045.373611111114</v>
      </c>
      <c r="O477">
        <v>1</v>
      </c>
      <c r="P477" t="s">
        <v>37</v>
      </c>
      <c r="Q477" t="s">
        <v>82</v>
      </c>
      <c r="R477" t="s">
        <v>211</v>
      </c>
      <c r="S477" t="s">
        <v>84</v>
      </c>
      <c r="T477">
        <v>4000</v>
      </c>
      <c r="U477" t="s">
        <v>35</v>
      </c>
      <c r="V477" t="s">
        <v>36</v>
      </c>
      <c r="W477">
        <v>1</v>
      </c>
      <c r="X477" t="s">
        <v>37</v>
      </c>
      <c r="Y477">
        <v>5</v>
      </c>
      <c r="Z477" t="s">
        <v>46</v>
      </c>
    </row>
    <row r="478" spans="1:26" x14ac:dyDescent="0.2">
      <c r="A478" t="s">
        <v>1086</v>
      </c>
      <c r="B478" t="s">
        <v>1087</v>
      </c>
      <c r="C478" s="1">
        <v>46079</v>
      </c>
      <c r="D478" t="s">
        <v>105</v>
      </c>
      <c r="E478">
        <v>15</v>
      </c>
      <c r="F478">
        <v>4.5999999999999996</v>
      </c>
      <c r="G478" t="s">
        <v>29</v>
      </c>
      <c r="H478" t="s">
        <v>157</v>
      </c>
      <c r="I478" s="1">
        <v>46079.271527777775</v>
      </c>
      <c r="J478" s="1">
        <v>46079.280555555553</v>
      </c>
      <c r="K478" s="1">
        <v>46079.293055555558</v>
      </c>
      <c r="L478" s="1">
        <v>46079.303472222222</v>
      </c>
      <c r="M478" s="1">
        <v>46079.311111111114</v>
      </c>
      <c r="N478" s="1">
        <v>46079.340277777781</v>
      </c>
      <c r="O478">
        <v>2</v>
      </c>
      <c r="P478" t="s">
        <v>37</v>
      </c>
      <c r="Q478" t="s">
        <v>69</v>
      </c>
      <c r="R478" t="s">
        <v>111</v>
      </c>
      <c r="S478" t="s">
        <v>71</v>
      </c>
      <c r="T478">
        <v>2000</v>
      </c>
      <c r="U478" t="s">
        <v>35</v>
      </c>
      <c r="V478" t="s">
        <v>36</v>
      </c>
      <c r="W478">
        <v>1</v>
      </c>
      <c r="X478" t="s">
        <v>37</v>
      </c>
      <c r="Y478">
        <v>2</v>
      </c>
      <c r="Z478" t="s">
        <v>61</v>
      </c>
    </row>
    <row r="479" spans="1:26" hidden="1" x14ac:dyDescent="0.2">
      <c r="A479" t="s">
        <v>1088</v>
      </c>
      <c r="B479" t="s">
        <v>1089</v>
      </c>
      <c r="C479" s="1">
        <v>46108</v>
      </c>
      <c r="D479" t="s">
        <v>254</v>
      </c>
      <c r="E479">
        <v>18</v>
      </c>
      <c r="F479">
        <v>8.1999999999999993</v>
      </c>
      <c r="G479" t="s">
        <v>29</v>
      </c>
      <c r="H479" t="s">
        <v>157</v>
      </c>
      <c r="I479" s="1">
        <v>46108.356944444444</v>
      </c>
      <c r="J479" s="1">
        <v>46108.371527777781</v>
      </c>
      <c r="K479" s="1">
        <v>46108.402083333334</v>
      </c>
      <c r="L479" s="1">
        <v>46108.415972222225</v>
      </c>
      <c r="M479" s="1">
        <v>46108.443749999999</v>
      </c>
      <c r="N479" s="1">
        <v>46108.461805555555</v>
      </c>
      <c r="O479">
        <v>5</v>
      </c>
      <c r="P479" t="s">
        <v>37</v>
      </c>
      <c r="Q479" t="s">
        <v>32</v>
      </c>
      <c r="R479" t="s">
        <v>77</v>
      </c>
      <c r="S479" t="s">
        <v>34</v>
      </c>
      <c r="T479">
        <v>5000</v>
      </c>
      <c r="U479" t="s">
        <v>35</v>
      </c>
      <c r="V479" t="s">
        <v>59</v>
      </c>
      <c r="W479">
        <v>3</v>
      </c>
      <c r="X479" t="s">
        <v>85</v>
      </c>
      <c r="Y479">
        <v>5</v>
      </c>
      <c r="Z479" t="s">
        <v>134</v>
      </c>
    </row>
    <row r="480" spans="1:26" hidden="1" x14ac:dyDescent="0.2">
      <c r="A480" t="s">
        <v>1090</v>
      </c>
      <c r="B480" t="s">
        <v>1091</v>
      </c>
      <c r="C480" s="1">
        <v>46071</v>
      </c>
      <c r="D480" t="s">
        <v>80</v>
      </c>
      <c r="E480">
        <v>26</v>
      </c>
      <c r="F480">
        <v>10.5</v>
      </c>
      <c r="G480" t="s">
        <v>29</v>
      </c>
      <c r="H480" t="s">
        <v>157</v>
      </c>
      <c r="I480" s="1">
        <v>46071.404166666667</v>
      </c>
      <c r="J480" s="1">
        <v>46071.42291666667</v>
      </c>
      <c r="K480" s="1">
        <v>46071.465277777781</v>
      </c>
      <c r="L480" s="1">
        <v>46071.47152777778</v>
      </c>
      <c r="M480" s="1">
        <v>46071.479166666664</v>
      </c>
      <c r="N480" s="1">
        <v>46071.509027777778</v>
      </c>
      <c r="O480">
        <v>1</v>
      </c>
      <c r="P480" t="s">
        <v>37</v>
      </c>
      <c r="Q480" t="s">
        <v>32</v>
      </c>
      <c r="R480" t="s">
        <v>66</v>
      </c>
      <c r="S480" t="s">
        <v>34</v>
      </c>
      <c r="T480">
        <v>5000</v>
      </c>
      <c r="U480" t="s">
        <v>35</v>
      </c>
      <c r="V480" t="s">
        <v>36</v>
      </c>
      <c r="W480">
        <v>1</v>
      </c>
      <c r="X480" t="s">
        <v>37</v>
      </c>
      <c r="Y480">
        <v>5</v>
      </c>
      <c r="Z480" t="s">
        <v>99</v>
      </c>
    </row>
    <row r="481" spans="1:26" hidden="1" x14ac:dyDescent="0.2">
      <c r="A481" t="s">
        <v>1092</v>
      </c>
      <c r="B481" t="s">
        <v>1093</v>
      </c>
      <c r="C481" s="1">
        <v>46102</v>
      </c>
      <c r="D481" t="s">
        <v>94</v>
      </c>
      <c r="E481">
        <v>31</v>
      </c>
      <c r="F481">
        <v>9.3000000000000007</v>
      </c>
      <c r="G481" t="s">
        <v>29</v>
      </c>
      <c r="H481" t="s">
        <v>30</v>
      </c>
      <c r="I481" s="1">
        <v>46102.394444444442</v>
      </c>
      <c r="J481" s="1">
        <v>46102.404861111114</v>
      </c>
      <c r="K481" s="1">
        <v>46102.413194444445</v>
      </c>
      <c r="L481" s="1">
        <v>46102.424305555556</v>
      </c>
      <c r="M481" s="1">
        <v>46102.432638888888</v>
      </c>
      <c r="N481" s="1">
        <v>46102.45</v>
      </c>
      <c r="O481">
        <v>6</v>
      </c>
      <c r="P481" t="s">
        <v>37</v>
      </c>
      <c r="Q481" t="s">
        <v>43</v>
      </c>
      <c r="R481" t="s">
        <v>44</v>
      </c>
      <c r="S481" t="s">
        <v>45</v>
      </c>
      <c r="T481">
        <v>2500</v>
      </c>
      <c r="U481" t="s">
        <v>35</v>
      </c>
      <c r="V481" t="s">
        <v>36</v>
      </c>
      <c r="W481">
        <v>1</v>
      </c>
      <c r="X481" t="s">
        <v>37</v>
      </c>
      <c r="Y481">
        <v>4</v>
      </c>
      <c r="Z481" t="s">
        <v>117</v>
      </c>
    </row>
    <row r="482" spans="1:26" hidden="1" x14ac:dyDescent="0.2">
      <c r="A482" t="s">
        <v>1094</v>
      </c>
      <c r="B482" t="s">
        <v>1095</v>
      </c>
      <c r="C482" s="1">
        <v>46077</v>
      </c>
      <c r="D482" t="s">
        <v>171</v>
      </c>
      <c r="E482">
        <v>29</v>
      </c>
      <c r="F482">
        <v>6.4</v>
      </c>
      <c r="G482" t="s">
        <v>57</v>
      </c>
      <c r="H482" t="s">
        <v>30</v>
      </c>
      <c r="I482" s="1">
        <v>46077.275000000001</v>
      </c>
      <c r="J482" s="1">
        <v>46077.289583333331</v>
      </c>
      <c r="K482" s="1">
        <v>46077.347222222219</v>
      </c>
      <c r="L482" s="1">
        <v>46077.351388888892</v>
      </c>
      <c r="M482" s="1">
        <v>46077.363888888889</v>
      </c>
      <c r="N482" s="1">
        <v>46077.388888888891</v>
      </c>
      <c r="O482">
        <v>7</v>
      </c>
      <c r="P482" t="s">
        <v>52</v>
      </c>
      <c r="Q482" t="s">
        <v>43</v>
      </c>
      <c r="R482" t="s">
        <v>90</v>
      </c>
      <c r="S482" t="s">
        <v>45</v>
      </c>
      <c r="T482">
        <v>2500</v>
      </c>
      <c r="U482" t="s">
        <v>91</v>
      </c>
      <c r="V482" t="s">
        <v>59</v>
      </c>
      <c r="W482">
        <v>4</v>
      </c>
      <c r="X482" t="s">
        <v>85</v>
      </c>
      <c r="Y482">
        <v>5</v>
      </c>
      <c r="Z482" t="s">
        <v>117</v>
      </c>
    </row>
    <row r="483" spans="1:26" hidden="1" x14ac:dyDescent="0.2">
      <c r="A483" t="s">
        <v>1096</v>
      </c>
      <c r="B483" t="s">
        <v>1097</v>
      </c>
      <c r="C483" s="1">
        <v>46107</v>
      </c>
      <c r="D483" t="s">
        <v>75</v>
      </c>
      <c r="E483">
        <v>18</v>
      </c>
      <c r="F483">
        <v>5.4</v>
      </c>
      <c r="G483" t="s">
        <v>29</v>
      </c>
      <c r="H483" t="s">
        <v>51</v>
      </c>
      <c r="I483" s="1">
        <v>46107.32708333333</v>
      </c>
      <c r="J483" s="1">
        <v>46107.345833333333</v>
      </c>
      <c r="K483" s="1">
        <v>46107.354861111111</v>
      </c>
      <c r="L483" s="1">
        <v>46107.361805555556</v>
      </c>
      <c r="M483" s="1">
        <v>46107.382638888892</v>
      </c>
      <c r="N483" s="1">
        <v>46107.402777777781</v>
      </c>
      <c r="O483">
        <v>7</v>
      </c>
      <c r="P483" t="s">
        <v>37</v>
      </c>
      <c r="Q483" t="s">
        <v>82</v>
      </c>
      <c r="R483" t="s">
        <v>83</v>
      </c>
      <c r="S483" t="s">
        <v>84</v>
      </c>
      <c r="T483">
        <v>4000</v>
      </c>
      <c r="U483" t="s">
        <v>35</v>
      </c>
      <c r="V483" t="s">
        <v>36</v>
      </c>
      <c r="W483">
        <v>1</v>
      </c>
      <c r="X483" t="s">
        <v>37</v>
      </c>
      <c r="Y483">
        <v>5</v>
      </c>
      <c r="Z483" t="s">
        <v>134</v>
      </c>
    </row>
    <row r="484" spans="1:26" hidden="1" x14ac:dyDescent="0.2">
      <c r="A484" t="s">
        <v>1098</v>
      </c>
      <c r="B484" t="s">
        <v>1099</v>
      </c>
      <c r="C484" s="1">
        <v>46108</v>
      </c>
      <c r="D484" t="s">
        <v>123</v>
      </c>
      <c r="E484">
        <v>10</v>
      </c>
      <c r="F484">
        <v>10.4</v>
      </c>
      <c r="G484" t="s">
        <v>76</v>
      </c>
      <c r="H484" t="s">
        <v>42</v>
      </c>
      <c r="I484" s="1">
        <v>46108.289583333331</v>
      </c>
      <c r="J484" s="1">
        <v>46108.305555555555</v>
      </c>
      <c r="K484" s="1">
        <v>46108.365277777775</v>
      </c>
      <c r="L484" s="1">
        <v>46108.370138888888</v>
      </c>
      <c r="M484" s="1">
        <v>46108.405555555553</v>
      </c>
      <c r="N484" s="1">
        <v>46108.423611111109</v>
      </c>
      <c r="O484">
        <v>4</v>
      </c>
      <c r="P484" t="s">
        <v>37</v>
      </c>
      <c r="Q484" t="s">
        <v>69</v>
      </c>
      <c r="R484" t="s">
        <v>70</v>
      </c>
      <c r="S484" t="s">
        <v>71</v>
      </c>
      <c r="T484">
        <v>2000</v>
      </c>
      <c r="U484" t="s">
        <v>35</v>
      </c>
      <c r="V484" t="s">
        <v>36</v>
      </c>
      <c r="W484">
        <v>1</v>
      </c>
      <c r="X484" t="s">
        <v>37</v>
      </c>
      <c r="Y484">
        <v>5</v>
      </c>
      <c r="Z484" t="s">
        <v>61</v>
      </c>
    </row>
    <row r="485" spans="1:26" x14ac:dyDescent="0.2">
      <c r="A485" t="s">
        <v>1100</v>
      </c>
      <c r="B485" t="s">
        <v>1101</v>
      </c>
      <c r="C485" s="1">
        <v>46078</v>
      </c>
      <c r="D485" t="s">
        <v>154</v>
      </c>
      <c r="E485">
        <v>21</v>
      </c>
      <c r="F485">
        <v>4.9000000000000004</v>
      </c>
      <c r="G485" t="s">
        <v>29</v>
      </c>
      <c r="H485" t="s">
        <v>51</v>
      </c>
      <c r="I485" s="1">
        <v>46078.265277777777</v>
      </c>
      <c r="J485" s="1">
        <v>46078.275694444441</v>
      </c>
      <c r="K485" s="1">
        <v>46078.334722222222</v>
      </c>
      <c r="L485" s="1">
        <v>46078.342361111114</v>
      </c>
      <c r="M485" s="1">
        <v>46078.381944444445</v>
      </c>
      <c r="N485" s="1">
        <v>46078.390277777777</v>
      </c>
      <c r="O485">
        <v>5</v>
      </c>
      <c r="P485" t="s">
        <v>37</v>
      </c>
      <c r="Q485" t="s">
        <v>82</v>
      </c>
      <c r="R485" t="s">
        <v>83</v>
      </c>
      <c r="S485" t="s">
        <v>84</v>
      </c>
      <c r="T485">
        <v>4000</v>
      </c>
      <c r="U485" t="s">
        <v>35</v>
      </c>
      <c r="V485" t="s">
        <v>59</v>
      </c>
      <c r="W485">
        <v>1</v>
      </c>
      <c r="X485" t="s">
        <v>353</v>
      </c>
      <c r="Y485">
        <v>2</v>
      </c>
      <c r="Z485" t="s">
        <v>131</v>
      </c>
    </row>
    <row r="486" spans="1:26" hidden="1" x14ac:dyDescent="0.2">
      <c r="A486" t="s">
        <v>1102</v>
      </c>
      <c r="B486" t="s">
        <v>1103</v>
      </c>
      <c r="C486" s="1">
        <v>46072</v>
      </c>
      <c r="D486" t="s">
        <v>181</v>
      </c>
      <c r="E486">
        <v>13</v>
      </c>
      <c r="F486">
        <v>8.1999999999999993</v>
      </c>
      <c r="G486" t="s">
        <v>81</v>
      </c>
      <c r="H486" t="s">
        <v>65</v>
      </c>
      <c r="I486" s="1">
        <v>46072.288888888892</v>
      </c>
      <c r="J486" s="1">
        <v>46072.294444444444</v>
      </c>
      <c r="K486" s="1">
        <v>46072.336111111108</v>
      </c>
      <c r="L486" s="1">
        <v>46072.339583333334</v>
      </c>
      <c r="M486" s="1">
        <v>46072.370138888888</v>
      </c>
      <c r="N486" s="1">
        <v>46072.393750000003</v>
      </c>
      <c r="O486">
        <v>3</v>
      </c>
      <c r="P486" t="s">
        <v>129</v>
      </c>
      <c r="Q486" t="s">
        <v>96</v>
      </c>
      <c r="R486" t="s">
        <v>214</v>
      </c>
      <c r="S486" t="s">
        <v>98</v>
      </c>
      <c r="T486">
        <v>3000</v>
      </c>
      <c r="U486" t="s">
        <v>35</v>
      </c>
      <c r="V486" t="s">
        <v>36</v>
      </c>
      <c r="W486">
        <v>1</v>
      </c>
      <c r="X486" t="s">
        <v>37</v>
      </c>
      <c r="Y486">
        <v>4</v>
      </c>
      <c r="Z486" t="s">
        <v>215</v>
      </c>
    </row>
    <row r="487" spans="1:26" hidden="1" x14ac:dyDescent="0.2">
      <c r="A487" t="s">
        <v>1104</v>
      </c>
      <c r="B487" t="s">
        <v>1105</v>
      </c>
      <c r="C487" s="1">
        <v>46041</v>
      </c>
      <c r="D487" t="s">
        <v>233</v>
      </c>
      <c r="E487">
        <v>24</v>
      </c>
      <c r="F487">
        <v>8</v>
      </c>
      <c r="G487" t="s">
        <v>29</v>
      </c>
      <c r="H487" t="s">
        <v>167</v>
      </c>
      <c r="I487" s="1">
        <v>46041.400694444441</v>
      </c>
      <c r="J487" s="1">
        <v>46041.419444444444</v>
      </c>
      <c r="K487" s="1">
        <v>46041.477083333331</v>
      </c>
      <c r="L487" s="1">
        <v>46041.490972222222</v>
      </c>
      <c r="M487" s="1">
        <v>46041.525694444441</v>
      </c>
      <c r="N487" s="1">
        <v>46041.538194444445</v>
      </c>
      <c r="O487">
        <v>4</v>
      </c>
      <c r="P487" t="s">
        <v>37</v>
      </c>
      <c r="Q487" t="s">
        <v>32</v>
      </c>
      <c r="R487" t="s">
        <v>66</v>
      </c>
      <c r="S487" t="s">
        <v>34</v>
      </c>
      <c r="T487">
        <v>5000</v>
      </c>
      <c r="U487" t="s">
        <v>91</v>
      </c>
      <c r="V487" t="s">
        <v>36</v>
      </c>
      <c r="W487">
        <v>1</v>
      </c>
      <c r="X487" t="s">
        <v>37</v>
      </c>
      <c r="Y487">
        <v>5</v>
      </c>
      <c r="Z487" t="s">
        <v>296</v>
      </c>
    </row>
    <row r="488" spans="1:26" x14ac:dyDescent="0.2">
      <c r="A488" t="s">
        <v>1106</v>
      </c>
      <c r="B488" t="s">
        <v>1107</v>
      </c>
      <c r="C488" s="1">
        <v>46051</v>
      </c>
      <c r="D488" t="s">
        <v>114</v>
      </c>
      <c r="E488">
        <v>36</v>
      </c>
      <c r="F488">
        <v>9.8000000000000007</v>
      </c>
      <c r="G488" t="s">
        <v>76</v>
      </c>
      <c r="H488" t="s">
        <v>42</v>
      </c>
      <c r="I488" s="1">
        <v>46051.366666666669</v>
      </c>
      <c r="J488" s="1">
        <v>46051.373611111114</v>
      </c>
      <c r="K488" s="1">
        <v>46051.381944444445</v>
      </c>
      <c r="L488" s="1">
        <v>46051.393750000003</v>
      </c>
      <c r="M488" s="1">
        <v>46051.415277777778</v>
      </c>
      <c r="N488" s="1">
        <v>46051.4375</v>
      </c>
      <c r="O488">
        <v>6</v>
      </c>
      <c r="P488" t="s">
        <v>37</v>
      </c>
      <c r="Q488" t="s">
        <v>32</v>
      </c>
      <c r="R488" t="s">
        <v>278</v>
      </c>
      <c r="S488" t="s">
        <v>34</v>
      </c>
      <c r="T488">
        <v>5000</v>
      </c>
      <c r="U488" t="s">
        <v>35</v>
      </c>
      <c r="V488" t="s">
        <v>36</v>
      </c>
      <c r="W488">
        <v>1</v>
      </c>
      <c r="X488" t="s">
        <v>37</v>
      </c>
      <c r="Y488">
        <v>2</v>
      </c>
      <c r="Z488" t="s">
        <v>38</v>
      </c>
    </row>
    <row r="489" spans="1:26" hidden="1" x14ac:dyDescent="0.2">
      <c r="A489" t="s">
        <v>1108</v>
      </c>
      <c r="B489" t="s">
        <v>1109</v>
      </c>
      <c r="C489" s="1">
        <v>46059</v>
      </c>
      <c r="D489" t="s">
        <v>114</v>
      </c>
      <c r="E489">
        <v>40</v>
      </c>
      <c r="F489">
        <v>7.2</v>
      </c>
      <c r="G489" t="s">
        <v>57</v>
      </c>
      <c r="H489" t="s">
        <v>167</v>
      </c>
      <c r="I489" s="1">
        <v>46059.383333333331</v>
      </c>
      <c r="J489" s="1">
        <v>46059.404166666667</v>
      </c>
      <c r="K489" s="1">
        <v>46059.462500000001</v>
      </c>
      <c r="L489" s="1">
        <v>46059.466666666667</v>
      </c>
      <c r="M489" s="1">
        <v>46059.504861111112</v>
      </c>
      <c r="N489" s="1">
        <v>46059.521527777775</v>
      </c>
      <c r="O489">
        <v>4</v>
      </c>
      <c r="P489" t="s">
        <v>37</v>
      </c>
      <c r="Q489" t="s">
        <v>82</v>
      </c>
      <c r="R489" t="s">
        <v>211</v>
      </c>
      <c r="S489" t="s">
        <v>84</v>
      </c>
      <c r="T489">
        <v>4000</v>
      </c>
      <c r="U489" t="s">
        <v>35</v>
      </c>
      <c r="V489" t="s">
        <v>36</v>
      </c>
      <c r="W489">
        <v>1</v>
      </c>
      <c r="X489" t="s">
        <v>37</v>
      </c>
      <c r="Y489">
        <v>4</v>
      </c>
      <c r="Z489" t="s">
        <v>86</v>
      </c>
    </row>
    <row r="490" spans="1:26" hidden="1" x14ac:dyDescent="0.2">
      <c r="A490" t="s">
        <v>1110</v>
      </c>
      <c r="B490" t="s">
        <v>1111</v>
      </c>
      <c r="C490" s="1">
        <v>46049</v>
      </c>
      <c r="D490" t="s">
        <v>267</v>
      </c>
      <c r="E490">
        <v>5</v>
      </c>
      <c r="F490">
        <v>6.9</v>
      </c>
      <c r="G490" t="s">
        <v>81</v>
      </c>
      <c r="H490" t="s">
        <v>51</v>
      </c>
      <c r="I490" s="1">
        <v>46049.370138888888</v>
      </c>
      <c r="J490" s="1">
        <v>46049.390972222223</v>
      </c>
      <c r="K490" s="1">
        <v>46049.410416666666</v>
      </c>
      <c r="L490" s="1">
        <v>46049.422222222223</v>
      </c>
      <c r="M490" s="1">
        <v>46049.447916666664</v>
      </c>
      <c r="N490" s="1">
        <v>46049.458333333336</v>
      </c>
      <c r="O490">
        <v>1</v>
      </c>
      <c r="P490" t="s">
        <v>115</v>
      </c>
      <c r="Q490" t="s">
        <v>82</v>
      </c>
      <c r="R490" t="s">
        <v>211</v>
      </c>
      <c r="S490" t="s">
        <v>84</v>
      </c>
      <c r="T490">
        <v>4000</v>
      </c>
      <c r="U490" t="s">
        <v>35</v>
      </c>
      <c r="V490" t="s">
        <v>36</v>
      </c>
      <c r="W490">
        <v>1</v>
      </c>
      <c r="X490" t="s">
        <v>37</v>
      </c>
      <c r="Y490">
        <v>5</v>
      </c>
      <c r="Z490" t="s">
        <v>134</v>
      </c>
    </row>
    <row r="491" spans="1:26" hidden="1" x14ac:dyDescent="0.2">
      <c r="A491" t="s">
        <v>1112</v>
      </c>
      <c r="B491" t="s">
        <v>1113</v>
      </c>
      <c r="C491" s="1">
        <v>46098</v>
      </c>
      <c r="D491" t="s">
        <v>181</v>
      </c>
      <c r="E491">
        <v>30</v>
      </c>
      <c r="F491">
        <v>6</v>
      </c>
      <c r="G491" t="s">
        <v>29</v>
      </c>
      <c r="H491" t="s">
        <v>95</v>
      </c>
      <c r="I491" s="1">
        <v>46098.320138888892</v>
      </c>
      <c r="J491" s="1">
        <v>46098.334027777775</v>
      </c>
      <c r="K491" s="1">
        <v>46098.367361111108</v>
      </c>
      <c r="L491" s="1">
        <v>46098.374305555553</v>
      </c>
      <c r="M491" s="1">
        <v>46098.409722222219</v>
      </c>
      <c r="N491" s="1">
        <v>46098.429861111108</v>
      </c>
      <c r="O491">
        <v>7</v>
      </c>
      <c r="P491" t="s">
        <v>37</v>
      </c>
      <c r="Q491" t="s">
        <v>82</v>
      </c>
      <c r="R491" t="s">
        <v>211</v>
      </c>
      <c r="S491" t="s">
        <v>84</v>
      </c>
      <c r="T491">
        <v>4000</v>
      </c>
      <c r="U491" t="s">
        <v>35</v>
      </c>
      <c r="V491" t="s">
        <v>36</v>
      </c>
      <c r="W491">
        <v>1</v>
      </c>
      <c r="X491" t="s">
        <v>37</v>
      </c>
      <c r="Y491">
        <v>5</v>
      </c>
      <c r="Z491" t="s">
        <v>46</v>
      </c>
    </row>
    <row r="492" spans="1:26" x14ac:dyDescent="0.2">
      <c r="A492" t="s">
        <v>1114</v>
      </c>
      <c r="B492" t="s">
        <v>1115</v>
      </c>
      <c r="C492" s="1">
        <v>46071</v>
      </c>
      <c r="D492" t="s">
        <v>49</v>
      </c>
      <c r="E492">
        <v>5</v>
      </c>
      <c r="F492">
        <v>5</v>
      </c>
      <c r="G492" t="s">
        <v>29</v>
      </c>
      <c r="H492" t="s">
        <v>51</v>
      </c>
      <c r="I492" s="1">
        <v>46071.336805555555</v>
      </c>
      <c r="J492" s="1">
        <v>46071.354166666664</v>
      </c>
      <c r="K492" s="1">
        <v>46071.40625</v>
      </c>
      <c r="L492" s="1">
        <v>46071.414583333331</v>
      </c>
      <c r="M492" s="1">
        <v>46071.422222222223</v>
      </c>
      <c r="N492" s="1">
        <v>46071.451388888891</v>
      </c>
      <c r="O492">
        <v>5</v>
      </c>
      <c r="P492" t="s">
        <v>37</v>
      </c>
      <c r="Q492" t="s">
        <v>43</v>
      </c>
      <c r="R492" t="s">
        <v>58</v>
      </c>
      <c r="S492" t="s">
        <v>45</v>
      </c>
      <c r="T492">
        <v>2500</v>
      </c>
      <c r="U492" t="s">
        <v>35</v>
      </c>
      <c r="V492" t="s">
        <v>36</v>
      </c>
      <c r="W492">
        <v>1</v>
      </c>
      <c r="X492" t="s">
        <v>37</v>
      </c>
      <c r="Y492">
        <v>2</v>
      </c>
      <c r="Z492" t="s">
        <v>215</v>
      </c>
    </row>
    <row r="493" spans="1:26" hidden="1" x14ac:dyDescent="0.2">
      <c r="A493" t="s">
        <v>1116</v>
      </c>
      <c r="B493" t="s">
        <v>1117</v>
      </c>
      <c r="C493" s="1">
        <v>46072</v>
      </c>
      <c r="D493" t="s">
        <v>186</v>
      </c>
      <c r="E493">
        <v>13</v>
      </c>
      <c r="F493">
        <v>4.8</v>
      </c>
      <c r="G493" t="s">
        <v>29</v>
      </c>
      <c r="H493" t="s">
        <v>30</v>
      </c>
      <c r="I493" s="1">
        <v>46072.411111111112</v>
      </c>
      <c r="J493" s="1">
        <v>46072.431944444441</v>
      </c>
      <c r="K493" s="1">
        <v>46072.486111111109</v>
      </c>
      <c r="L493" s="1">
        <v>46072.493055555555</v>
      </c>
      <c r="M493" s="1">
        <v>46072.517361111109</v>
      </c>
      <c r="N493" s="1">
        <v>46072.521527777775</v>
      </c>
      <c r="O493">
        <v>4</v>
      </c>
      <c r="P493" t="s">
        <v>37</v>
      </c>
      <c r="Q493" t="s">
        <v>43</v>
      </c>
      <c r="R493" t="s">
        <v>58</v>
      </c>
      <c r="S493" t="s">
        <v>45</v>
      </c>
      <c r="T493">
        <v>2500</v>
      </c>
      <c r="U493" t="s">
        <v>35</v>
      </c>
      <c r="V493" t="s">
        <v>36</v>
      </c>
      <c r="W493">
        <v>1</v>
      </c>
      <c r="X493" t="s">
        <v>37</v>
      </c>
      <c r="Y493">
        <v>4</v>
      </c>
      <c r="Z493" t="s">
        <v>131</v>
      </c>
    </row>
    <row r="494" spans="1:26" hidden="1" x14ac:dyDescent="0.2">
      <c r="A494" t="s">
        <v>1118</v>
      </c>
      <c r="B494" t="s">
        <v>1119</v>
      </c>
      <c r="C494" s="1">
        <v>46091</v>
      </c>
      <c r="D494" t="s">
        <v>114</v>
      </c>
      <c r="E494">
        <v>12</v>
      </c>
      <c r="F494">
        <v>5.4</v>
      </c>
      <c r="G494" t="s">
        <v>81</v>
      </c>
      <c r="H494" t="s">
        <v>30</v>
      </c>
      <c r="I494" s="1">
        <v>46091.281944444447</v>
      </c>
      <c r="J494" s="1">
        <v>46091.285416666666</v>
      </c>
      <c r="K494" s="1">
        <v>46091.341666666667</v>
      </c>
      <c r="L494" s="1">
        <v>46091.354861111111</v>
      </c>
      <c r="M494" s="1">
        <v>46091.375694444447</v>
      </c>
      <c r="N494" s="1">
        <v>46091.384027777778</v>
      </c>
      <c r="O494">
        <v>1</v>
      </c>
      <c r="P494" t="s">
        <v>106</v>
      </c>
      <c r="Q494" t="s">
        <v>32</v>
      </c>
      <c r="R494" t="s">
        <v>120</v>
      </c>
      <c r="S494" t="s">
        <v>34</v>
      </c>
      <c r="T494">
        <v>5000</v>
      </c>
      <c r="U494" t="s">
        <v>35</v>
      </c>
      <c r="V494" t="s">
        <v>36</v>
      </c>
      <c r="W494">
        <v>1</v>
      </c>
      <c r="X494" t="s">
        <v>37</v>
      </c>
      <c r="Y494">
        <v>3</v>
      </c>
      <c r="Z494" t="s">
        <v>61</v>
      </c>
    </row>
    <row r="495" spans="1:26" hidden="1" x14ac:dyDescent="0.2">
      <c r="A495" t="s">
        <v>1120</v>
      </c>
      <c r="B495" t="s">
        <v>1121</v>
      </c>
      <c r="C495" s="1">
        <v>46033</v>
      </c>
      <c r="D495" t="s">
        <v>28</v>
      </c>
      <c r="E495">
        <v>28</v>
      </c>
      <c r="F495">
        <v>11.7</v>
      </c>
      <c r="G495" t="s">
        <v>57</v>
      </c>
      <c r="H495" t="s">
        <v>157</v>
      </c>
      <c r="I495" s="1">
        <v>46033.366666666669</v>
      </c>
      <c r="J495" s="1">
        <v>46033.370138888888</v>
      </c>
      <c r="K495" s="1">
        <v>46033.398611111108</v>
      </c>
      <c r="L495" s="1">
        <v>46033.408333333333</v>
      </c>
      <c r="M495" s="1">
        <v>46033.416666666664</v>
      </c>
      <c r="N495" s="1">
        <v>46033.443055555559</v>
      </c>
      <c r="O495">
        <v>7</v>
      </c>
      <c r="P495" t="s">
        <v>37</v>
      </c>
      <c r="Q495" t="s">
        <v>69</v>
      </c>
      <c r="R495" t="s">
        <v>251</v>
      </c>
      <c r="S495" t="s">
        <v>71</v>
      </c>
      <c r="T495">
        <v>2000</v>
      </c>
      <c r="U495" t="s">
        <v>35</v>
      </c>
      <c r="V495" t="s">
        <v>36</v>
      </c>
      <c r="W495">
        <v>1</v>
      </c>
      <c r="X495" t="s">
        <v>37</v>
      </c>
      <c r="Y495">
        <v>4</v>
      </c>
      <c r="Z495" t="s">
        <v>99</v>
      </c>
    </row>
    <row r="496" spans="1:26" hidden="1" x14ac:dyDescent="0.2">
      <c r="A496" t="s">
        <v>1122</v>
      </c>
      <c r="B496" t="s">
        <v>1123</v>
      </c>
      <c r="C496" s="1">
        <v>46068</v>
      </c>
      <c r="D496" t="s">
        <v>80</v>
      </c>
      <c r="E496">
        <v>11</v>
      </c>
      <c r="F496">
        <v>9.3000000000000007</v>
      </c>
      <c r="G496" t="s">
        <v>29</v>
      </c>
      <c r="H496" t="s">
        <v>95</v>
      </c>
      <c r="I496" s="1">
        <v>46068.256249999999</v>
      </c>
      <c r="J496" s="1">
        <v>46068.263888888891</v>
      </c>
      <c r="K496" s="1">
        <v>46068.283333333333</v>
      </c>
      <c r="L496" s="1">
        <v>46068.293055555558</v>
      </c>
      <c r="M496" s="1">
        <v>46068.309027777781</v>
      </c>
      <c r="N496" s="1">
        <v>46068.318055555559</v>
      </c>
      <c r="O496">
        <v>5</v>
      </c>
      <c r="P496" t="s">
        <v>37</v>
      </c>
      <c r="Q496" t="s">
        <v>69</v>
      </c>
      <c r="R496" t="s">
        <v>146</v>
      </c>
      <c r="S496" t="s">
        <v>71</v>
      </c>
      <c r="T496">
        <v>2000</v>
      </c>
      <c r="U496" t="s">
        <v>35</v>
      </c>
      <c r="V496" t="s">
        <v>36</v>
      </c>
      <c r="W496">
        <v>1</v>
      </c>
      <c r="X496" t="s">
        <v>37</v>
      </c>
      <c r="Y496">
        <v>5</v>
      </c>
      <c r="Z496" t="s">
        <v>168</v>
      </c>
    </row>
    <row r="497" spans="1:26" hidden="1" x14ac:dyDescent="0.2">
      <c r="A497" t="s">
        <v>1124</v>
      </c>
      <c r="B497" t="s">
        <v>1125</v>
      </c>
      <c r="C497" s="1">
        <v>46093</v>
      </c>
      <c r="D497" t="s">
        <v>49</v>
      </c>
      <c r="E497">
        <v>15</v>
      </c>
      <c r="F497">
        <v>7.2</v>
      </c>
      <c r="G497" t="s">
        <v>29</v>
      </c>
      <c r="H497" t="s">
        <v>167</v>
      </c>
      <c r="I497" s="1">
        <v>46093.370138888888</v>
      </c>
      <c r="J497" s="1">
        <v>46093.382638888892</v>
      </c>
      <c r="K497" s="1">
        <v>46093.402083333334</v>
      </c>
      <c r="L497" s="1">
        <v>46093.409722222219</v>
      </c>
      <c r="M497" s="1">
        <v>46093.419444444444</v>
      </c>
      <c r="N497" s="1">
        <v>46093.450694444444</v>
      </c>
      <c r="O497">
        <v>6</v>
      </c>
      <c r="P497" t="s">
        <v>52</v>
      </c>
      <c r="Q497" t="s">
        <v>96</v>
      </c>
      <c r="R497" t="s">
        <v>97</v>
      </c>
      <c r="S497" t="s">
        <v>98</v>
      </c>
      <c r="T497">
        <v>3000</v>
      </c>
      <c r="U497" t="s">
        <v>35</v>
      </c>
      <c r="V497" t="s">
        <v>36</v>
      </c>
      <c r="W497">
        <v>1</v>
      </c>
      <c r="X497" t="s">
        <v>37</v>
      </c>
      <c r="Y497">
        <v>4</v>
      </c>
      <c r="Z497" t="s">
        <v>134</v>
      </c>
    </row>
    <row r="498" spans="1:26" x14ac:dyDescent="0.2">
      <c r="A498" t="s">
        <v>1126</v>
      </c>
      <c r="B498" t="s">
        <v>1127</v>
      </c>
      <c r="C498" s="1">
        <v>46088</v>
      </c>
      <c r="D498" t="s">
        <v>80</v>
      </c>
      <c r="E498">
        <v>14</v>
      </c>
      <c r="F498">
        <v>6.5</v>
      </c>
      <c r="G498" t="s">
        <v>50</v>
      </c>
      <c r="H498" t="s">
        <v>157</v>
      </c>
      <c r="I498" s="1">
        <v>46088.254166666666</v>
      </c>
      <c r="J498" s="1">
        <v>46088.270833333336</v>
      </c>
      <c r="K498" s="1">
        <v>46088.299305555556</v>
      </c>
      <c r="L498" s="1">
        <v>46088.304166666669</v>
      </c>
      <c r="M498" s="1">
        <v>46088.322916666664</v>
      </c>
      <c r="N498" s="1">
        <v>46088.331250000003</v>
      </c>
      <c r="O498">
        <v>5</v>
      </c>
      <c r="P498" t="s">
        <v>31</v>
      </c>
      <c r="Q498" t="s">
        <v>82</v>
      </c>
      <c r="R498" t="s">
        <v>214</v>
      </c>
      <c r="S498" t="s">
        <v>84</v>
      </c>
      <c r="T498">
        <v>4000</v>
      </c>
      <c r="U498" t="s">
        <v>35</v>
      </c>
      <c r="V498" t="s">
        <v>36</v>
      </c>
      <c r="W498">
        <v>1</v>
      </c>
      <c r="X498" t="s">
        <v>37</v>
      </c>
      <c r="Y498">
        <v>2</v>
      </c>
      <c r="Z498" t="s">
        <v>86</v>
      </c>
    </row>
    <row r="499" spans="1:26" hidden="1" x14ac:dyDescent="0.2">
      <c r="A499" t="s">
        <v>1128</v>
      </c>
      <c r="B499" t="s">
        <v>1129</v>
      </c>
      <c r="C499" s="1">
        <v>46057</v>
      </c>
      <c r="D499" t="s">
        <v>123</v>
      </c>
      <c r="E499">
        <v>5</v>
      </c>
      <c r="F499">
        <v>4.8</v>
      </c>
      <c r="G499" t="s">
        <v>57</v>
      </c>
      <c r="H499" t="s">
        <v>157</v>
      </c>
      <c r="I499" s="1">
        <v>46057.268055555556</v>
      </c>
      <c r="J499" s="1">
        <v>46057.288888888892</v>
      </c>
      <c r="K499" s="1">
        <v>46057.306250000001</v>
      </c>
      <c r="L499" s="1">
        <v>46057.313194444447</v>
      </c>
      <c r="M499" s="1">
        <v>46057.343055555553</v>
      </c>
      <c r="N499" s="1">
        <v>46057.359722222223</v>
      </c>
      <c r="O499">
        <v>5</v>
      </c>
      <c r="P499" t="s">
        <v>37</v>
      </c>
      <c r="Q499" t="s">
        <v>82</v>
      </c>
      <c r="R499" t="s">
        <v>33</v>
      </c>
      <c r="S499" t="s">
        <v>84</v>
      </c>
      <c r="T499">
        <v>4000</v>
      </c>
      <c r="U499" t="s">
        <v>35</v>
      </c>
      <c r="V499" t="s">
        <v>36</v>
      </c>
      <c r="W499">
        <v>1</v>
      </c>
      <c r="X499" t="s">
        <v>37</v>
      </c>
      <c r="Y499">
        <v>5</v>
      </c>
      <c r="Z499" t="s">
        <v>46</v>
      </c>
    </row>
    <row r="500" spans="1:26" x14ac:dyDescent="0.2">
      <c r="A500" t="s">
        <v>1130</v>
      </c>
      <c r="B500" t="s">
        <v>1131</v>
      </c>
      <c r="C500" s="1">
        <v>46093</v>
      </c>
      <c r="D500" t="s">
        <v>49</v>
      </c>
      <c r="E500">
        <v>8</v>
      </c>
      <c r="F500">
        <v>5.4</v>
      </c>
      <c r="G500" t="s">
        <v>50</v>
      </c>
      <c r="H500" t="s">
        <v>95</v>
      </c>
      <c r="I500" s="1">
        <v>46093.311111111114</v>
      </c>
      <c r="J500" s="1">
        <v>46093.331944444442</v>
      </c>
      <c r="K500" s="1">
        <v>46093.386111111111</v>
      </c>
      <c r="L500" s="1">
        <v>46093.397916666669</v>
      </c>
      <c r="M500" s="1">
        <v>46093.425694444442</v>
      </c>
      <c r="N500" s="1">
        <v>46093.454861111109</v>
      </c>
      <c r="O500">
        <v>2</v>
      </c>
      <c r="P500" t="s">
        <v>52</v>
      </c>
      <c r="Q500" t="s">
        <v>69</v>
      </c>
      <c r="R500" t="s">
        <v>111</v>
      </c>
      <c r="S500" t="s">
        <v>71</v>
      </c>
      <c r="T500">
        <v>2000</v>
      </c>
      <c r="U500" t="s">
        <v>35</v>
      </c>
      <c r="V500" t="s">
        <v>36</v>
      </c>
      <c r="W500">
        <v>1</v>
      </c>
      <c r="X500" t="s">
        <v>37</v>
      </c>
      <c r="Y500">
        <v>2</v>
      </c>
      <c r="Z500" t="s">
        <v>168</v>
      </c>
    </row>
    <row r="501" spans="1:26" hidden="1" x14ac:dyDescent="0.2">
      <c r="A501" t="s">
        <v>1132</v>
      </c>
      <c r="B501" t="s">
        <v>1133</v>
      </c>
      <c r="C501" s="1">
        <v>46057</v>
      </c>
      <c r="D501" t="s">
        <v>110</v>
      </c>
      <c r="E501">
        <v>31</v>
      </c>
      <c r="F501">
        <v>9.6999999999999993</v>
      </c>
      <c r="G501" t="s">
        <v>57</v>
      </c>
      <c r="H501" t="s">
        <v>157</v>
      </c>
      <c r="I501" s="1">
        <v>46057.3125</v>
      </c>
      <c r="J501" s="1">
        <v>46057.333333333336</v>
      </c>
      <c r="K501" s="1">
        <v>46057.381249999999</v>
      </c>
      <c r="L501" s="1">
        <v>46057.390972222223</v>
      </c>
      <c r="M501" s="1">
        <v>46057.409722222219</v>
      </c>
      <c r="N501" s="1">
        <v>46057.431944444441</v>
      </c>
      <c r="O501">
        <v>5</v>
      </c>
      <c r="P501" t="s">
        <v>37</v>
      </c>
      <c r="Q501" t="s">
        <v>96</v>
      </c>
      <c r="R501" t="s">
        <v>164</v>
      </c>
      <c r="S501" t="s">
        <v>98</v>
      </c>
      <c r="T501">
        <v>3000</v>
      </c>
      <c r="U501" t="s">
        <v>35</v>
      </c>
      <c r="V501" t="s">
        <v>36</v>
      </c>
      <c r="W501">
        <v>1</v>
      </c>
      <c r="X501" t="s">
        <v>37</v>
      </c>
      <c r="Y501">
        <v>4</v>
      </c>
      <c r="Z501" t="s">
        <v>46</v>
      </c>
    </row>
    <row r="502" spans="1:26" hidden="1" x14ac:dyDescent="0.2">
      <c r="A502" t="s">
        <v>1134</v>
      </c>
      <c r="B502" t="s">
        <v>1135</v>
      </c>
      <c r="C502" s="1">
        <v>46062</v>
      </c>
      <c r="D502" t="s">
        <v>181</v>
      </c>
      <c r="E502">
        <v>10</v>
      </c>
      <c r="F502">
        <v>4.5999999999999996</v>
      </c>
      <c r="G502" t="s">
        <v>57</v>
      </c>
      <c r="H502" t="s">
        <v>51</v>
      </c>
      <c r="I502" s="1">
        <v>46062.279166666667</v>
      </c>
      <c r="J502" s="1">
        <v>46062.295138888891</v>
      </c>
      <c r="K502" s="1">
        <v>46062.306944444441</v>
      </c>
      <c r="L502" s="1">
        <v>46062.311805555553</v>
      </c>
      <c r="M502" s="1">
        <v>46062.351388888892</v>
      </c>
      <c r="N502" s="1">
        <v>46062.367361111108</v>
      </c>
      <c r="O502">
        <v>5</v>
      </c>
      <c r="P502" t="s">
        <v>37</v>
      </c>
      <c r="Q502" t="s">
        <v>96</v>
      </c>
      <c r="R502" t="s">
        <v>90</v>
      </c>
      <c r="S502" t="s">
        <v>98</v>
      </c>
      <c r="T502">
        <v>3000</v>
      </c>
      <c r="U502" t="s">
        <v>35</v>
      </c>
      <c r="V502" t="s">
        <v>36</v>
      </c>
      <c r="W502">
        <v>1</v>
      </c>
      <c r="X502" t="s">
        <v>37</v>
      </c>
      <c r="Y502">
        <v>5</v>
      </c>
      <c r="Z502" t="s">
        <v>134</v>
      </c>
    </row>
    <row r="503" spans="1:26" hidden="1" x14ac:dyDescent="0.2">
      <c r="A503" t="s">
        <v>1136</v>
      </c>
      <c r="B503" t="s">
        <v>1137</v>
      </c>
      <c r="C503" s="1">
        <v>46040</v>
      </c>
      <c r="D503" t="s">
        <v>186</v>
      </c>
      <c r="E503">
        <v>39</v>
      </c>
      <c r="F503">
        <v>9.6</v>
      </c>
      <c r="G503" t="s">
        <v>50</v>
      </c>
      <c r="H503" t="s">
        <v>51</v>
      </c>
      <c r="I503" s="1">
        <v>46040.359027777777</v>
      </c>
      <c r="J503" s="1">
        <v>46040.366666666669</v>
      </c>
      <c r="K503" s="1">
        <v>46040.373611111114</v>
      </c>
      <c r="L503" s="1">
        <v>46040.386111111111</v>
      </c>
      <c r="M503" s="1">
        <v>46040.423611111109</v>
      </c>
      <c r="N503" s="1">
        <v>46040.450694444444</v>
      </c>
      <c r="O503">
        <v>6</v>
      </c>
      <c r="P503" t="s">
        <v>37</v>
      </c>
      <c r="Q503" t="s">
        <v>43</v>
      </c>
      <c r="R503" t="s">
        <v>44</v>
      </c>
      <c r="S503" t="s">
        <v>45</v>
      </c>
      <c r="T503">
        <v>2500</v>
      </c>
      <c r="U503" t="s">
        <v>91</v>
      </c>
      <c r="V503" t="s">
        <v>36</v>
      </c>
      <c r="W503">
        <v>1</v>
      </c>
      <c r="X503" t="s">
        <v>37</v>
      </c>
      <c r="Y503">
        <v>5</v>
      </c>
      <c r="Z503" t="s">
        <v>86</v>
      </c>
    </row>
    <row r="504" spans="1:26" x14ac:dyDescent="0.2">
      <c r="A504" t="s">
        <v>1138</v>
      </c>
      <c r="B504" t="s">
        <v>1139</v>
      </c>
      <c r="C504" s="1">
        <v>46110</v>
      </c>
      <c r="D504" t="s">
        <v>80</v>
      </c>
      <c r="E504">
        <v>15</v>
      </c>
      <c r="F504">
        <v>9.4</v>
      </c>
      <c r="G504" t="s">
        <v>81</v>
      </c>
      <c r="H504" t="s">
        <v>95</v>
      </c>
      <c r="I504" s="1">
        <v>46110.280555555553</v>
      </c>
      <c r="J504" s="1">
        <v>46110.285416666666</v>
      </c>
      <c r="K504" s="1">
        <v>46110.324305555558</v>
      </c>
      <c r="L504" s="1">
        <v>46110.330555555556</v>
      </c>
      <c r="M504" s="1">
        <v>46110.359722222223</v>
      </c>
      <c r="N504" s="1">
        <v>46110.378472222219</v>
      </c>
      <c r="O504">
        <v>1</v>
      </c>
      <c r="P504" t="s">
        <v>37</v>
      </c>
      <c r="Q504" t="s">
        <v>32</v>
      </c>
      <c r="R504" t="s">
        <v>53</v>
      </c>
      <c r="S504" t="s">
        <v>34</v>
      </c>
      <c r="T504">
        <v>5000</v>
      </c>
      <c r="U504" t="s">
        <v>35</v>
      </c>
      <c r="V504" t="s">
        <v>36</v>
      </c>
      <c r="W504">
        <v>1</v>
      </c>
      <c r="X504" t="s">
        <v>37</v>
      </c>
      <c r="Y504">
        <v>2</v>
      </c>
      <c r="Z504" t="s">
        <v>86</v>
      </c>
    </row>
    <row r="505" spans="1:26" hidden="1" x14ac:dyDescent="0.2">
      <c r="A505" t="s">
        <v>1140</v>
      </c>
      <c r="B505" t="s">
        <v>1141</v>
      </c>
      <c r="C505" s="1">
        <v>46054</v>
      </c>
      <c r="D505" t="s">
        <v>64</v>
      </c>
      <c r="E505">
        <v>23</v>
      </c>
      <c r="F505">
        <v>6.4</v>
      </c>
      <c r="G505" t="s">
        <v>76</v>
      </c>
      <c r="H505" t="s">
        <v>167</v>
      </c>
      <c r="I505" s="1">
        <v>46054.287499999999</v>
      </c>
      <c r="J505" s="1">
        <v>46054.290972222225</v>
      </c>
      <c r="K505" s="1">
        <v>46054.353472222225</v>
      </c>
      <c r="L505" s="1">
        <v>46054.365277777775</v>
      </c>
      <c r="M505" s="1">
        <v>46054.381249999999</v>
      </c>
      <c r="N505" s="1">
        <v>46054.397916666669</v>
      </c>
      <c r="O505">
        <v>6</v>
      </c>
      <c r="P505" t="s">
        <v>37</v>
      </c>
      <c r="Q505" t="s">
        <v>69</v>
      </c>
      <c r="R505" t="s">
        <v>111</v>
      </c>
      <c r="S505" t="s">
        <v>71</v>
      </c>
      <c r="T505">
        <v>2000</v>
      </c>
      <c r="U505" t="s">
        <v>35</v>
      </c>
      <c r="V505" t="s">
        <v>59</v>
      </c>
      <c r="W505">
        <v>4</v>
      </c>
      <c r="X505" t="s">
        <v>116</v>
      </c>
      <c r="Y505">
        <v>4</v>
      </c>
      <c r="Z505" t="s">
        <v>215</v>
      </c>
    </row>
    <row r="506" spans="1:26" hidden="1" x14ac:dyDescent="0.2">
      <c r="A506" t="s">
        <v>1142</v>
      </c>
      <c r="B506" t="s">
        <v>1143</v>
      </c>
      <c r="C506" s="1">
        <v>46065</v>
      </c>
      <c r="D506" t="s">
        <v>149</v>
      </c>
      <c r="E506">
        <v>5</v>
      </c>
      <c r="F506">
        <v>6.8</v>
      </c>
      <c r="G506" t="s">
        <v>57</v>
      </c>
      <c r="H506" t="s">
        <v>157</v>
      </c>
      <c r="I506" s="1">
        <v>46065.3125</v>
      </c>
      <c r="J506" s="1">
        <v>46065.315972222219</v>
      </c>
      <c r="K506" s="1">
        <v>46065.331250000003</v>
      </c>
      <c r="L506" s="1">
        <v>46065.34375</v>
      </c>
      <c r="M506" s="1">
        <v>46065.37222222222</v>
      </c>
      <c r="N506" s="1">
        <v>46065.384027777778</v>
      </c>
      <c r="O506">
        <v>1</v>
      </c>
      <c r="P506" t="s">
        <v>37</v>
      </c>
      <c r="Q506" t="s">
        <v>96</v>
      </c>
      <c r="R506" t="s">
        <v>90</v>
      </c>
      <c r="S506" t="s">
        <v>98</v>
      </c>
      <c r="T506">
        <v>3000</v>
      </c>
      <c r="U506" t="s">
        <v>35</v>
      </c>
      <c r="V506" t="s">
        <v>36</v>
      </c>
      <c r="W506">
        <v>1</v>
      </c>
      <c r="X506" t="s">
        <v>37</v>
      </c>
      <c r="Y506">
        <v>5</v>
      </c>
      <c r="Z506" t="s">
        <v>102</v>
      </c>
    </row>
    <row r="507" spans="1:26" hidden="1" x14ac:dyDescent="0.2">
      <c r="A507" t="s">
        <v>1144</v>
      </c>
      <c r="B507" t="s">
        <v>1145</v>
      </c>
      <c r="C507" s="1">
        <v>46107</v>
      </c>
      <c r="D507" t="s">
        <v>49</v>
      </c>
      <c r="E507">
        <v>30</v>
      </c>
      <c r="F507">
        <v>7</v>
      </c>
      <c r="G507" t="s">
        <v>76</v>
      </c>
      <c r="H507" t="s">
        <v>157</v>
      </c>
      <c r="I507" s="1">
        <v>46107.408333333333</v>
      </c>
      <c r="J507" s="1">
        <v>46107.415277777778</v>
      </c>
      <c r="K507" s="1">
        <v>46107.469444444447</v>
      </c>
      <c r="L507" s="1">
        <v>46107.478472222225</v>
      </c>
      <c r="M507" s="1">
        <v>46107.489583333336</v>
      </c>
      <c r="N507" s="1">
        <v>46107.512499999997</v>
      </c>
      <c r="O507">
        <v>6</v>
      </c>
      <c r="P507" t="s">
        <v>37</v>
      </c>
      <c r="Q507" t="s">
        <v>82</v>
      </c>
      <c r="R507" t="s">
        <v>214</v>
      </c>
      <c r="S507" t="s">
        <v>84</v>
      </c>
      <c r="T507">
        <v>4000</v>
      </c>
      <c r="U507" t="s">
        <v>35</v>
      </c>
      <c r="V507" t="s">
        <v>36</v>
      </c>
      <c r="W507">
        <v>1</v>
      </c>
      <c r="X507" t="s">
        <v>37</v>
      </c>
      <c r="Y507">
        <v>4</v>
      </c>
      <c r="Z507" t="s">
        <v>99</v>
      </c>
    </row>
    <row r="508" spans="1:26" hidden="1" x14ac:dyDescent="0.2">
      <c r="A508" t="s">
        <v>1146</v>
      </c>
      <c r="B508" t="s">
        <v>1147</v>
      </c>
      <c r="C508" s="1">
        <v>46037</v>
      </c>
      <c r="D508" t="s">
        <v>267</v>
      </c>
      <c r="E508">
        <v>13</v>
      </c>
      <c r="F508">
        <v>7.2</v>
      </c>
      <c r="G508" t="s">
        <v>76</v>
      </c>
      <c r="H508" t="s">
        <v>51</v>
      </c>
      <c r="I508" s="1">
        <v>46037.27847222222</v>
      </c>
      <c r="J508" s="1">
        <v>46037.296527777777</v>
      </c>
      <c r="K508" s="1">
        <v>46037.320833333331</v>
      </c>
      <c r="L508" s="1">
        <v>46037.334722222222</v>
      </c>
      <c r="M508" s="1">
        <v>46037.370833333334</v>
      </c>
      <c r="N508" s="1">
        <v>46037.386111111111</v>
      </c>
      <c r="O508">
        <v>1</v>
      </c>
      <c r="P508" t="s">
        <v>37</v>
      </c>
      <c r="Q508" t="s">
        <v>96</v>
      </c>
      <c r="R508" t="s">
        <v>90</v>
      </c>
      <c r="S508" t="s">
        <v>98</v>
      </c>
      <c r="T508">
        <v>3000</v>
      </c>
      <c r="U508" t="s">
        <v>35</v>
      </c>
      <c r="V508" t="s">
        <v>36</v>
      </c>
      <c r="W508">
        <v>1</v>
      </c>
      <c r="X508" t="s">
        <v>37</v>
      </c>
      <c r="Y508">
        <v>5</v>
      </c>
      <c r="Z508" t="s">
        <v>99</v>
      </c>
    </row>
    <row r="509" spans="1:26" hidden="1" x14ac:dyDescent="0.2">
      <c r="A509" t="s">
        <v>1148</v>
      </c>
      <c r="B509" t="s">
        <v>1149</v>
      </c>
      <c r="C509" s="1">
        <v>46087</v>
      </c>
      <c r="D509" t="s">
        <v>233</v>
      </c>
      <c r="E509">
        <v>12</v>
      </c>
      <c r="F509">
        <v>11.7</v>
      </c>
      <c r="G509" t="s">
        <v>29</v>
      </c>
      <c r="H509" t="s">
        <v>95</v>
      </c>
      <c r="I509" s="1">
        <v>46087.277083333334</v>
      </c>
      <c r="J509" s="1">
        <v>46087.288194444445</v>
      </c>
      <c r="K509" s="1">
        <v>46087.339583333334</v>
      </c>
      <c r="L509" s="1">
        <v>46087.343055555553</v>
      </c>
      <c r="M509" s="1">
        <v>46087.384027777778</v>
      </c>
      <c r="N509" s="1">
        <v>46087.397916666669</v>
      </c>
      <c r="O509">
        <v>1</v>
      </c>
      <c r="P509" t="s">
        <v>37</v>
      </c>
      <c r="Q509" t="s">
        <v>43</v>
      </c>
      <c r="R509" t="s">
        <v>158</v>
      </c>
      <c r="S509" t="s">
        <v>45</v>
      </c>
      <c r="T509">
        <v>2500</v>
      </c>
      <c r="U509" t="s">
        <v>35</v>
      </c>
      <c r="V509" t="s">
        <v>59</v>
      </c>
      <c r="W509">
        <v>1</v>
      </c>
      <c r="X509" t="s">
        <v>193</v>
      </c>
      <c r="Y509">
        <v>4</v>
      </c>
      <c r="Z509" t="s">
        <v>161</v>
      </c>
    </row>
    <row r="510" spans="1:26" hidden="1" x14ac:dyDescent="0.2">
      <c r="A510" t="s">
        <v>1150</v>
      </c>
      <c r="B510" t="s">
        <v>1151</v>
      </c>
      <c r="C510" s="1">
        <v>46033</v>
      </c>
      <c r="D510" t="s">
        <v>137</v>
      </c>
      <c r="E510">
        <v>14</v>
      </c>
      <c r="F510">
        <v>9.8000000000000007</v>
      </c>
      <c r="G510" t="s">
        <v>57</v>
      </c>
      <c r="H510" t="s">
        <v>95</v>
      </c>
      <c r="I510" s="1">
        <v>46033.299305555556</v>
      </c>
      <c r="J510" s="1">
        <v>46033.319444444445</v>
      </c>
      <c r="K510" s="1">
        <v>46033.336111111108</v>
      </c>
      <c r="L510" s="1">
        <v>46033.345138888886</v>
      </c>
      <c r="M510" s="1">
        <v>46033.382638888892</v>
      </c>
      <c r="N510" s="1">
        <v>46033.396527777775</v>
      </c>
      <c r="O510">
        <v>6</v>
      </c>
      <c r="P510" t="s">
        <v>37</v>
      </c>
      <c r="Q510" t="s">
        <v>43</v>
      </c>
      <c r="R510" t="s">
        <v>158</v>
      </c>
      <c r="S510" t="s">
        <v>45</v>
      </c>
      <c r="T510">
        <v>2500</v>
      </c>
      <c r="U510" t="s">
        <v>35</v>
      </c>
      <c r="V510" t="s">
        <v>36</v>
      </c>
      <c r="W510">
        <v>1</v>
      </c>
      <c r="X510" t="s">
        <v>37</v>
      </c>
      <c r="Y510">
        <v>5</v>
      </c>
      <c r="Z510" t="s">
        <v>38</v>
      </c>
    </row>
    <row r="511" spans="1:26" hidden="1" x14ac:dyDescent="0.2">
      <c r="A511" t="s">
        <v>1152</v>
      </c>
      <c r="B511" t="s">
        <v>1153</v>
      </c>
      <c r="C511" s="1">
        <v>46101</v>
      </c>
      <c r="D511" t="s">
        <v>126</v>
      </c>
      <c r="E511">
        <v>14</v>
      </c>
      <c r="F511">
        <v>5.8</v>
      </c>
      <c r="G511" t="s">
        <v>57</v>
      </c>
      <c r="H511" t="s">
        <v>157</v>
      </c>
      <c r="I511" s="1">
        <v>46101.256249999999</v>
      </c>
      <c r="J511" s="1">
        <v>46101.265277777777</v>
      </c>
      <c r="K511" s="1">
        <v>46101.288888888892</v>
      </c>
      <c r="L511" s="1">
        <v>46101.295138888891</v>
      </c>
      <c r="M511" s="1">
        <v>46101.320833333331</v>
      </c>
      <c r="N511" s="1">
        <v>46101.324999999997</v>
      </c>
      <c r="O511">
        <v>5</v>
      </c>
      <c r="P511" t="s">
        <v>238</v>
      </c>
      <c r="Q511" t="s">
        <v>82</v>
      </c>
      <c r="R511" t="s">
        <v>239</v>
      </c>
      <c r="S511" t="s">
        <v>84</v>
      </c>
      <c r="T511">
        <v>4000</v>
      </c>
      <c r="U511" t="s">
        <v>35</v>
      </c>
      <c r="V511" t="s">
        <v>36</v>
      </c>
      <c r="W511">
        <v>1</v>
      </c>
      <c r="X511" t="s">
        <v>37</v>
      </c>
      <c r="Y511">
        <v>5</v>
      </c>
      <c r="Z511" t="s">
        <v>54</v>
      </c>
    </row>
    <row r="512" spans="1:26" x14ac:dyDescent="0.2">
      <c r="A512" t="s">
        <v>1154</v>
      </c>
      <c r="B512" t="s">
        <v>1155</v>
      </c>
      <c r="C512" s="1">
        <v>46066</v>
      </c>
      <c r="D512" t="s">
        <v>181</v>
      </c>
      <c r="E512">
        <v>37</v>
      </c>
      <c r="F512">
        <v>7.4</v>
      </c>
      <c r="G512" t="s">
        <v>29</v>
      </c>
      <c r="H512" t="s">
        <v>167</v>
      </c>
      <c r="I512" s="1">
        <v>46066.269444444442</v>
      </c>
      <c r="J512" s="1">
        <v>46066.27847222222</v>
      </c>
      <c r="K512" s="1">
        <v>46066.317361111112</v>
      </c>
      <c r="L512" s="1">
        <v>46066.326388888891</v>
      </c>
      <c r="M512" s="1">
        <v>46066.348611111112</v>
      </c>
      <c r="N512" s="1">
        <v>46066.370138888888</v>
      </c>
      <c r="O512">
        <v>2</v>
      </c>
      <c r="P512" t="s">
        <v>37</v>
      </c>
      <c r="Q512" t="s">
        <v>43</v>
      </c>
      <c r="R512" t="s">
        <v>90</v>
      </c>
      <c r="S512" t="s">
        <v>45</v>
      </c>
      <c r="T512">
        <v>2500</v>
      </c>
      <c r="U512" t="s">
        <v>35</v>
      </c>
      <c r="V512" t="s">
        <v>36</v>
      </c>
      <c r="W512">
        <v>1</v>
      </c>
      <c r="X512" t="s">
        <v>37</v>
      </c>
      <c r="Y512">
        <v>2</v>
      </c>
      <c r="Z512" t="s">
        <v>38</v>
      </c>
    </row>
    <row r="513" spans="1:26" hidden="1" x14ac:dyDescent="0.2">
      <c r="A513" t="s">
        <v>1156</v>
      </c>
      <c r="B513" t="s">
        <v>1157</v>
      </c>
      <c r="C513" s="1">
        <v>46050</v>
      </c>
      <c r="D513" t="s">
        <v>149</v>
      </c>
      <c r="E513">
        <v>11</v>
      </c>
      <c r="F513">
        <v>7.4</v>
      </c>
      <c r="G513" t="s">
        <v>76</v>
      </c>
      <c r="H513" t="s">
        <v>157</v>
      </c>
      <c r="I513" s="1">
        <v>46050.314583333333</v>
      </c>
      <c r="J513" s="1">
        <v>46050.324999999997</v>
      </c>
      <c r="K513" s="1">
        <v>46050.35833333333</v>
      </c>
      <c r="L513" s="1">
        <v>46050.363888888889</v>
      </c>
      <c r="M513" s="1">
        <v>46050.375</v>
      </c>
      <c r="N513" s="1">
        <v>46050.378472222219</v>
      </c>
      <c r="O513">
        <v>6</v>
      </c>
      <c r="P513" t="s">
        <v>37</v>
      </c>
      <c r="Q513" t="s">
        <v>43</v>
      </c>
      <c r="R513" t="s">
        <v>58</v>
      </c>
      <c r="S513" t="s">
        <v>45</v>
      </c>
      <c r="T513">
        <v>2500</v>
      </c>
      <c r="U513" t="s">
        <v>35</v>
      </c>
      <c r="V513" t="s">
        <v>36</v>
      </c>
      <c r="W513">
        <v>1</v>
      </c>
      <c r="X513" t="s">
        <v>37</v>
      </c>
      <c r="Y513">
        <v>5</v>
      </c>
      <c r="Z513" t="s">
        <v>99</v>
      </c>
    </row>
    <row r="514" spans="1:26" x14ac:dyDescent="0.2">
      <c r="A514" t="s">
        <v>1158</v>
      </c>
      <c r="B514" t="s">
        <v>1159</v>
      </c>
      <c r="C514" s="1">
        <v>46090</v>
      </c>
      <c r="D514" t="s">
        <v>80</v>
      </c>
      <c r="E514">
        <v>22</v>
      </c>
      <c r="F514">
        <v>5.7</v>
      </c>
      <c r="G514" t="s">
        <v>50</v>
      </c>
      <c r="H514" t="s">
        <v>51</v>
      </c>
      <c r="I514" s="1">
        <v>46090.407638888886</v>
      </c>
      <c r="J514" s="1">
        <v>46090.413194444445</v>
      </c>
      <c r="K514" s="1">
        <v>46090.431250000001</v>
      </c>
      <c r="L514" s="1">
        <v>46090.436805555553</v>
      </c>
      <c r="M514" s="1">
        <v>46090.445138888892</v>
      </c>
      <c r="N514" s="1">
        <v>46090.474305555559</v>
      </c>
      <c r="O514">
        <v>6</v>
      </c>
      <c r="P514" t="s">
        <v>37</v>
      </c>
      <c r="Q514" t="s">
        <v>96</v>
      </c>
      <c r="R514" t="s">
        <v>164</v>
      </c>
      <c r="S514" t="s">
        <v>98</v>
      </c>
      <c r="T514">
        <v>3000</v>
      </c>
      <c r="U514" t="s">
        <v>35</v>
      </c>
      <c r="V514" t="s">
        <v>36</v>
      </c>
      <c r="W514">
        <v>1</v>
      </c>
      <c r="X514" t="s">
        <v>37</v>
      </c>
      <c r="Y514">
        <v>2</v>
      </c>
      <c r="Z514" t="s">
        <v>131</v>
      </c>
    </row>
    <row r="515" spans="1:26" hidden="1" x14ac:dyDescent="0.2">
      <c r="A515" t="s">
        <v>1160</v>
      </c>
      <c r="B515" t="s">
        <v>1161</v>
      </c>
      <c r="C515" s="1">
        <v>46066</v>
      </c>
      <c r="D515" t="s">
        <v>149</v>
      </c>
      <c r="E515">
        <v>39</v>
      </c>
      <c r="F515">
        <v>9.8000000000000007</v>
      </c>
      <c r="G515" t="s">
        <v>29</v>
      </c>
      <c r="H515" t="s">
        <v>95</v>
      </c>
      <c r="I515" s="1">
        <v>46066.28402777778</v>
      </c>
      <c r="J515" s="1">
        <v>46066.296527777777</v>
      </c>
      <c r="K515" s="1">
        <v>46066.352083333331</v>
      </c>
      <c r="L515" s="1">
        <v>46066.361111111109</v>
      </c>
      <c r="M515" s="1">
        <v>46066.401388888888</v>
      </c>
      <c r="N515" s="1">
        <v>46066.429166666669</v>
      </c>
      <c r="O515">
        <v>3</v>
      </c>
      <c r="P515" t="s">
        <v>37</v>
      </c>
      <c r="Q515" t="s">
        <v>43</v>
      </c>
      <c r="R515" t="s">
        <v>158</v>
      </c>
      <c r="S515" t="s">
        <v>45</v>
      </c>
      <c r="T515">
        <v>2500</v>
      </c>
      <c r="U515" t="s">
        <v>35</v>
      </c>
      <c r="V515" t="s">
        <v>36</v>
      </c>
      <c r="W515">
        <v>1</v>
      </c>
      <c r="X515" t="s">
        <v>37</v>
      </c>
      <c r="Y515">
        <v>5</v>
      </c>
      <c r="Z515" t="s">
        <v>117</v>
      </c>
    </row>
    <row r="516" spans="1:26" hidden="1" x14ac:dyDescent="0.2">
      <c r="A516" t="s">
        <v>1162</v>
      </c>
      <c r="B516" t="s">
        <v>1163</v>
      </c>
      <c r="C516" s="1">
        <v>46076</v>
      </c>
      <c r="D516" t="s">
        <v>285</v>
      </c>
      <c r="E516">
        <v>15</v>
      </c>
      <c r="F516">
        <v>8.8000000000000007</v>
      </c>
      <c r="G516" t="s">
        <v>57</v>
      </c>
      <c r="H516" t="s">
        <v>167</v>
      </c>
      <c r="I516" s="1">
        <v>46076.257638888892</v>
      </c>
      <c r="J516" s="1">
        <v>46076.273611111108</v>
      </c>
      <c r="K516" s="1">
        <v>46076.285416666666</v>
      </c>
      <c r="L516" s="1">
        <v>46076.293055555558</v>
      </c>
      <c r="M516" s="1">
        <v>46076.332638888889</v>
      </c>
      <c r="N516" s="1">
        <v>46076.353472222225</v>
      </c>
      <c r="O516">
        <v>4</v>
      </c>
      <c r="P516" t="s">
        <v>37</v>
      </c>
      <c r="Q516" t="s">
        <v>69</v>
      </c>
      <c r="R516" t="s">
        <v>111</v>
      </c>
      <c r="S516" t="s">
        <v>71</v>
      </c>
      <c r="T516">
        <v>2000</v>
      </c>
      <c r="U516" t="s">
        <v>35</v>
      </c>
      <c r="V516" t="s">
        <v>59</v>
      </c>
      <c r="W516">
        <v>2</v>
      </c>
      <c r="X516" t="s">
        <v>193</v>
      </c>
      <c r="Y516">
        <v>5</v>
      </c>
      <c r="Z516" t="s">
        <v>168</v>
      </c>
    </row>
    <row r="517" spans="1:26" hidden="1" x14ac:dyDescent="0.2">
      <c r="A517" t="s">
        <v>1164</v>
      </c>
      <c r="B517" t="s">
        <v>1165</v>
      </c>
      <c r="C517" s="1">
        <v>46072</v>
      </c>
      <c r="D517" t="s">
        <v>220</v>
      </c>
      <c r="E517">
        <v>18</v>
      </c>
      <c r="F517">
        <v>5.5</v>
      </c>
      <c r="G517" t="s">
        <v>57</v>
      </c>
      <c r="H517" t="s">
        <v>65</v>
      </c>
      <c r="I517" s="1">
        <v>46072.288194444445</v>
      </c>
      <c r="J517" s="1">
        <v>46072.304166666669</v>
      </c>
      <c r="K517" s="1">
        <v>46072.311805555553</v>
      </c>
      <c r="L517" s="1">
        <v>46072.324999999997</v>
      </c>
      <c r="M517" s="1">
        <v>46072.354166666664</v>
      </c>
      <c r="N517" s="1">
        <v>46072.380555555559</v>
      </c>
      <c r="O517">
        <v>3</v>
      </c>
      <c r="P517" t="s">
        <v>37</v>
      </c>
      <c r="Q517" t="s">
        <v>69</v>
      </c>
      <c r="R517" t="s">
        <v>251</v>
      </c>
      <c r="S517" t="s">
        <v>71</v>
      </c>
      <c r="T517">
        <v>2000</v>
      </c>
      <c r="U517" t="s">
        <v>35</v>
      </c>
      <c r="V517" t="s">
        <v>36</v>
      </c>
      <c r="W517">
        <v>1</v>
      </c>
      <c r="X517" t="s">
        <v>37</v>
      </c>
      <c r="Y517">
        <v>4</v>
      </c>
      <c r="Z517" t="s">
        <v>296</v>
      </c>
    </row>
    <row r="518" spans="1:26" hidden="1" x14ac:dyDescent="0.2">
      <c r="A518" t="s">
        <v>1166</v>
      </c>
      <c r="B518" t="s">
        <v>1167</v>
      </c>
      <c r="C518" s="1">
        <v>46028</v>
      </c>
      <c r="D518" t="s">
        <v>75</v>
      </c>
      <c r="E518">
        <v>7</v>
      </c>
      <c r="F518">
        <v>9.1</v>
      </c>
      <c r="G518" t="s">
        <v>76</v>
      </c>
      <c r="H518" t="s">
        <v>95</v>
      </c>
      <c r="I518" s="1">
        <v>46028.29791666667</v>
      </c>
      <c r="J518" s="1">
        <v>46028.318749999999</v>
      </c>
      <c r="K518" s="1">
        <v>46028.329861111109</v>
      </c>
      <c r="L518" s="1">
        <v>46028.338194444441</v>
      </c>
      <c r="M518" s="1">
        <v>46028.354166666664</v>
      </c>
      <c r="N518" s="1">
        <v>46028.381249999999</v>
      </c>
      <c r="O518">
        <v>1</v>
      </c>
      <c r="P518" t="s">
        <v>129</v>
      </c>
      <c r="Q518" t="s">
        <v>82</v>
      </c>
      <c r="R518" t="s">
        <v>33</v>
      </c>
      <c r="S518" t="s">
        <v>84</v>
      </c>
      <c r="T518">
        <v>4000</v>
      </c>
      <c r="U518" t="s">
        <v>35</v>
      </c>
      <c r="V518" t="s">
        <v>59</v>
      </c>
      <c r="W518">
        <v>3</v>
      </c>
      <c r="X518" t="s">
        <v>116</v>
      </c>
      <c r="Y518">
        <v>5</v>
      </c>
      <c r="Z518" t="s">
        <v>86</v>
      </c>
    </row>
    <row r="519" spans="1:26" hidden="1" x14ac:dyDescent="0.2">
      <c r="A519" t="s">
        <v>1168</v>
      </c>
      <c r="B519" t="s">
        <v>1169</v>
      </c>
      <c r="C519" s="1">
        <v>46056</v>
      </c>
      <c r="D519" t="s">
        <v>233</v>
      </c>
      <c r="E519">
        <v>23</v>
      </c>
      <c r="F519">
        <v>6.6</v>
      </c>
      <c r="G519" t="s">
        <v>29</v>
      </c>
      <c r="H519" t="s">
        <v>30</v>
      </c>
      <c r="I519" s="1">
        <v>46056.394444444442</v>
      </c>
      <c r="J519" s="1">
        <v>46056.397916666669</v>
      </c>
      <c r="K519" s="1">
        <v>46056.436111111114</v>
      </c>
      <c r="L519" s="1">
        <v>46056.444444444445</v>
      </c>
      <c r="M519" s="1">
        <v>46056.48333333333</v>
      </c>
      <c r="N519" s="1">
        <v>46056.498611111114</v>
      </c>
      <c r="O519">
        <v>2</v>
      </c>
      <c r="P519" t="s">
        <v>238</v>
      </c>
      <c r="Q519" t="s">
        <v>82</v>
      </c>
      <c r="R519" t="s">
        <v>214</v>
      </c>
      <c r="S519" t="s">
        <v>84</v>
      </c>
      <c r="T519">
        <v>4000</v>
      </c>
      <c r="U519" t="s">
        <v>35</v>
      </c>
      <c r="V519" t="s">
        <v>59</v>
      </c>
      <c r="W519">
        <v>1</v>
      </c>
      <c r="X519" t="s">
        <v>60</v>
      </c>
      <c r="Y519">
        <v>5</v>
      </c>
      <c r="Z519" t="s">
        <v>168</v>
      </c>
    </row>
    <row r="520" spans="1:26" hidden="1" x14ac:dyDescent="0.2">
      <c r="A520" t="s">
        <v>1170</v>
      </c>
      <c r="B520" t="s">
        <v>1171</v>
      </c>
      <c r="C520" s="1">
        <v>46055</v>
      </c>
      <c r="D520" t="s">
        <v>230</v>
      </c>
      <c r="E520">
        <v>33</v>
      </c>
      <c r="F520">
        <v>5.8</v>
      </c>
      <c r="G520" t="s">
        <v>76</v>
      </c>
      <c r="H520" t="s">
        <v>95</v>
      </c>
      <c r="I520" s="1">
        <v>46055.352777777778</v>
      </c>
      <c r="J520" s="1">
        <v>46055.370138888888</v>
      </c>
      <c r="K520" s="1">
        <v>46055.411805555559</v>
      </c>
      <c r="L520" s="1">
        <v>46055.418055555558</v>
      </c>
      <c r="M520" s="1">
        <v>46055.444444444445</v>
      </c>
      <c r="N520" s="1">
        <v>46055.457638888889</v>
      </c>
      <c r="O520">
        <v>6</v>
      </c>
      <c r="P520" t="s">
        <v>37</v>
      </c>
      <c r="Q520" t="s">
        <v>69</v>
      </c>
      <c r="R520" t="s">
        <v>146</v>
      </c>
      <c r="S520" t="s">
        <v>71</v>
      </c>
      <c r="T520">
        <v>2000</v>
      </c>
      <c r="U520" t="s">
        <v>35</v>
      </c>
      <c r="V520" t="s">
        <v>59</v>
      </c>
      <c r="W520">
        <v>1</v>
      </c>
      <c r="X520" t="s">
        <v>193</v>
      </c>
      <c r="Y520">
        <v>3</v>
      </c>
      <c r="Z520" t="s">
        <v>296</v>
      </c>
    </row>
    <row r="521" spans="1:26" hidden="1" x14ac:dyDescent="0.2">
      <c r="A521" t="s">
        <v>1172</v>
      </c>
      <c r="B521" t="s">
        <v>1173</v>
      </c>
      <c r="C521" s="1">
        <v>46047</v>
      </c>
      <c r="D521" t="s">
        <v>254</v>
      </c>
      <c r="E521">
        <v>23</v>
      </c>
      <c r="F521">
        <v>4.2</v>
      </c>
      <c r="G521" t="s">
        <v>57</v>
      </c>
      <c r="H521" t="s">
        <v>95</v>
      </c>
      <c r="I521" s="1">
        <v>46047.395138888889</v>
      </c>
      <c r="J521" s="1">
        <v>46047.406944444447</v>
      </c>
      <c r="K521" s="1">
        <v>46047.467361111114</v>
      </c>
      <c r="L521" s="1">
        <v>46047.474999999999</v>
      </c>
      <c r="M521" s="1">
        <v>46047.484722222223</v>
      </c>
      <c r="N521" s="1">
        <v>46047.494444444441</v>
      </c>
      <c r="O521">
        <v>1</v>
      </c>
      <c r="P521" t="s">
        <v>37</v>
      </c>
      <c r="Q521" t="s">
        <v>43</v>
      </c>
      <c r="R521" t="s">
        <v>158</v>
      </c>
      <c r="S521" t="s">
        <v>45</v>
      </c>
      <c r="T521">
        <v>2500</v>
      </c>
      <c r="U521" t="s">
        <v>35</v>
      </c>
      <c r="V521" t="s">
        <v>36</v>
      </c>
      <c r="W521">
        <v>1</v>
      </c>
      <c r="X521" t="s">
        <v>37</v>
      </c>
      <c r="Y521">
        <v>4</v>
      </c>
      <c r="Z521" t="s">
        <v>38</v>
      </c>
    </row>
    <row r="522" spans="1:26" x14ac:dyDescent="0.2">
      <c r="A522" t="s">
        <v>1174</v>
      </c>
      <c r="B522" t="s">
        <v>1175</v>
      </c>
      <c r="C522" s="1">
        <v>46040</v>
      </c>
      <c r="D522" t="s">
        <v>233</v>
      </c>
      <c r="E522">
        <v>29</v>
      </c>
      <c r="F522">
        <v>7.1</v>
      </c>
      <c r="G522" t="s">
        <v>29</v>
      </c>
      <c r="H522" t="s">
        <v>42</v>
      </c>
      <c r="I522" s="1">
        <v>46040.252083333333</v>
      </c>
      <c r="J522" s="1">
        <v>46040.272222222222</v>
      </c>
      <c r="K522" s="1">
        <v>46040.282638888886</v>
      </c>
      <c r="L522" s="1">
        <v>46040.288888888892</v>
      </c>
      <c r="M522" s="1">
        <v>46040.306250000001</v>
      </c>
      <c r="N522" s="1">
        <v>46040.313194444447</v>
      </c>
      <c r="O522">
        <v>3</v>
      </c>
      <c r="P522" t="s">
        <v>52</v>
      </c>
      <c r="Q522" t="s">
        <v>32</v>
      </c>
      <c r="R522" t="s">
        <v>77</v>
      </c>
      <c r="S522" t="s">
        <v>34</v>
      </c>
      <c r="T522">
        <v>5000</v>
      </c>
      <c r="U522" t="s">
        <v>35</v>
      </c>
      <c r="V522" t="s">
        <v>36</v>
      </c>
      <c r="W522">
        <v>1</v>
      </c>
      <c r="X522" t="s">
        <v>37</v>
      </c>
      <c r="Y522">
        <v>1</v>
      </c>
      <c r="Z522" t="s">
        <v>61</v>
      </c>
    </row>
    <row r="523" spans="1:26" x14ac:dyDescent="0.2">
      <c r="A523" t="s">
        <v>1176</v>
      </c>
      <c r="B523" t="s">
        <v>1177</v>
      </c>
      <c r="C523" s="1">
        <v>46092</v>
      </c>
      <c r="D523" t="s">
        <v>233</v>
      </c>
      <c r="E523">
        <v>17</v>
      </c>
      <c r="F523">
        <v>5.0999999999999996</v>
      </c>
      <c r="G523" t="s">
        <v>81</v>
      </c>
      <c r="H523" t="s">
        <v>157</v>
      </c>
      <c r="I523" s="1">
        <v>46092.394444444442</v>
      </c>
      <c r="J523" s="1">
        <v>46092.401388888888</v>
      </c>
      <c r="K523" s="1">
        <v>46092.435416666667</v>
      </c>
      <c r="L523" s="1">
        <v>46092.445833333331</v>
      </c>
      <c r="M523" s="1">
        <v>46092.473611111112</v>
      </c>
      <c r="N523" s="1">
        <v>46092.48333333333</v>
      </c>
      <c r="O523">
        <v>2</v>
      </c>
      <c r="P523" t="s">
        <v>52</v>
      </c>
      <c r="Q523" t="s">
        <v>96</v>
      </c>
      <c r="R523" t="s">
        <v>90</v>
      </c>
      <c r="S523" t="s">
        <v>98</v>
      </c>
      <c r="T523">
        <v>3000</v>
      </c>
      <c r="U523" t="s">
        <v>35</v>
      </c>
      <c r="V523" t="s">
        <v>36</v>
      </c>
      <c r="W523">
        <v>1</v>
      </c>
      <c r="X523" t="s">
        <v>37</v>
      </c>
      <c r="Y523">
        <v>1</v>
      </c>
      <c r="Z523" t="s">
        <v>102</v>
      </c>
    </row>
    <row r="524" spans="1:26" hidden="1" x14ac:dyDescent="0.2">
      <c r="A524" t="s">
        <v>1178</v>
      </c>
      <c r="B524" t="s">
        <v>1179</v>
      </c>
      <c r="C524" s="1">
        <v>46092</v>
      </c>
      <c r="D524" t="s">
        <v>149</v>
      </c>
      <c r="E524">
        <v>14</v>
      </c>
      <c r="F524">
        <v>4</v>
      </c>
      <c r="G524" t="s">
        <v>57</v>
      </c>
      <c r="H524" t="s">
        <v>51</v>
      </c>
      <c r="I524" s="1">
        <v>46092.290277777778</v>
      </c>
      <c r="J524" s="1">
        <v>46092.302777777775</v>
      </c>
      <c r="K524" s="1">
        <v>46092.34375</v>
      </c>
      <c r="L524" s="1">
        <v>46092.35</v>
      </c>
      <c r="M524" s="1">
        <v>46092.37222222222</v>
      </c>
      <c r="N524" s="1">
        <v>46092.388194444444</v>
      </c>
      <c r="O524">
        <v>2</v>
      </c>
      <c r="P524" t="s">
        <v>37</v>
      </c>
      <c r="Q524" t="s">
        <v>32</v>
      </c>
      <c r="R524" t="s">
        <v>140</v>
      </c>
      <c r="S524" t="s">
        <v>34</v>
      </c>
      <c r="T524">
        <v>5000</v>
      </c>
      <c r="U524" t="s">
        <v>35</v>
      </c>
      <c r="V524" t="s">
        <v>36</v>
      </c>
      <c r="W524">
        <v>1</v>
      </c>
      <c r="X524" t="s">
        <v>37</v>
      </c>
      <c r="Y524">
        <v>5</v>
      </c>
      <c r="Z524" t="s">
        <v>86</v>
      </c>
    </row>
    <row r="525" spans="1:26" hidden="1" x14ac:dyDescent="0.2">
      <c r="A525" t="s">
        <v>1180</v>
      </c>
      <c r="B525" t="s">
        <v>1181</v>
      </c>
      <c r="C525" s="1">
        <v>46085</v>
      </c>
      <c r="D525" t="s">
        <v>126</v>
      </c>
      <c r="E525">
        <v>11</v>
      </c>
      <c r="F525">
        <v>11.7</v>
      </c>
      <c r="G525" t="s">
        <v>76</v>
      </c>
      <c r="H525" t="s">
        <v>167</v>
      </c>
      <c r="I525" s="1">
        <v>46085.263194444444</v>
      </c>
      <c r="J525" s="1">
        <v>46085.279861111114</v>
      </c>
      <c r="K525" s="1">
        <v>46085.315972222219</v>
      </c>
      <c r="L525" s="1">
        <v>46085.321527777778</v>
      </c>
      <c r="M525" s="1">
        <v>46085.344444444447</v>
      </c>
      <c r="N525" s="1">
        <v>46085.351388888892</v>
      </c>
      <c r="O525">
        <v>1</v>
      </c>
      <c r="P525" t="s">
        <v>37</v>
      </c>
      <c r="Q525" t="s">
        <v>32</v>
      </c>
      <c r="R525" t="s">
        <v>120</v>
      </c>
      <c r="S525" t="s">
        <v>34</v>
      </c>
      <c r="T525">
        <v>5000</v>
      </c>
      <c r="U525" t="s">
        <v>35</v>
      </c>
      <c r="V525" t="s">
        <v>36</v>
      </c>
      <c r="W525">
        <v>1</v>
      </c>
      <c r="X525" t="s">
        <v>37</v>
      </c>
      <c r="Y525">
        <v>4</v>
      </c>
      <c r="Z525" t="s">
        <v>134</v>
      </c>
    </row>
    <row r="526" spans="1:26" hidden="1" x14ac:dyDescent="0.2">
      <c r="A526" t="s">
        <v>1182</v>
      </c>
      <c r="B526" t="s">
        <v>1183</v>
      </c>
      <c r="C526" s="1">
        <v>46042</v>
      </c>
      <c r="D526" t="s">
        <v>145</v>
      </c>
      <c r="E526">
        <v>23</v>
      </c>
      <c r="F526">
        <v>6.8</v>
      </c>
      <c r="G526" t="s">
        <v>29</v>
      </c>
      <c r="H526" t="s">
        <v>167</v>
      </c>
      <c r="I526" s="1">
        <v>46042.412499999999</v>
      </c>
      <c r="J526" s="1">
        <v>46042.426388888889</v>
      </c>
      <c r="K526" s="1">
        <v>46042.46597222222</v>
      </c>
      <c r="L526" s="1">
        <v>46042.474999999999</v>
      </c>
      <c r="M526" s="1">
        <v>46042.513194444444</v>
      </c>
      <c r="N526" s="1">
        <v>46042.519444444442</v>
      </c>
      <c r="O526">
        <v>7</v>
      </c>
      <c r="P526" t="s">
        <v>106</v>
      </c>
      <c r="Q526" t="s">
        <v>96</v>
      </c>
      <c r="R526" t="s">
        <v>130</v>
      </c>
      <c r="S526" t="s">
        <v>98</v>
      </c>
      <c r="T526">
        <v>3000</v>
      </c>
      <c r="U526" t="s">
        <v>35</v>
      </c>
      <c r="V526" t="s">
        <v>36</v>
      </c>
      <c r="W526">
        <v>1</v>
      </c>
      <c r="X526" t="s">
        <v>37</v>
      </c>
      <c r="Y526">
        <v>3</v>
      </c>
      <c r="Z526" t="s">
        <v>72</v>
      </c>
    </row>
    <row r="527" spans="1:26" hidden="1" x14ac:dyDescent="0.2">
      <c r="A527" t="s">
        <v>1184</v>
      </c>
      <c r="B527" t="s">
        <v>1185</v>
      </c>
      <c r="C527" s="1">
        <v>46031</v>
      </c>
      <c r="D527" t="s">
        <v>28</v>
      </c>
      <c r="E527">
        <v>22</v>
      </c>
      <c r="F527">
        <v>5.2</v>
      </c>
      <c r="G527" t="s">
        <v>76</v>
      </c>
      <c r="H527" t="s">
        <v>95</v>
      </c>
      <c r="I527" s="1">
        <v>46031.281944444447</v>
      </c>
      <c r="J527" s="1">
        <v>46031.302083333336</v>
      </c>
      <c r="K527" s="1">
        <v>46031.343055555553</v>
      </c>
      <c r="L527" s="1">
        <v>46031.354166666664</v>
      </c>
      <c r="M527" s="1">
        <v>46031.375</v>
      </c>
      <c r="N527" s="1">
        <v>46031.4</v>
      </c>
      <c r="O527">
        <v>4</v>
      </c>
      <c r="P527" t="s">
        <v>37</v>
      </c>
      <c r="Q527" t="s">
        <v>69</v>
      </c>
      <c r="R527" t="s">
        <v>70</v>
      </c>
      <c r="S527" t="s">
        <v>71</v>
      </c>
      <c r="T527">
        <v>2000</v>
      </c>
      <c r="U527" t="s">
        <v>91</v>
      </c>
      <c r="V527" t="s">
        <v>36</v>
      </c>
      <c r="W527">
        <v>1</v>
      </c>
      <c r="X527" t="s">
        <v>37</v>
      </c>
      <c r="Y527">
        <v>5</v>
      </c>
      <c r="Z527" t="s">
        <v>296</v>
      </c>
    </row>
    <row r="528" spans="1:26" hidden="1" x14ac:dyDescent="0.2">
      <c r="A528" t="s">
        <v>1186</v>
      </c>
      <c r="B528" t="s">
        <v>1187</v>
      </c>
      <c r="C528" s="1">
        <v>46054</v>
      </c>
      <c r="D528" t="s">
        <v>220</v>
      </c>
      <c r="E528">
        <v>36</v>
      </c>
      <c r="F528">
        <v>8.3000000000000007</v>
      </c>
      <c r="G528" t="s">
        <v>50</v>
      </c>
      <c r="H528" t="s">
        <v>65</v>
      </c>
      <c r="I528" s="1">
        <v>46054.345138888886</v>
      </c>
      <c r="J528" s="1">
        <v>46054.353472222225</v>
      </c>
      <c r="K528" s="1">
        <v>46054.394444444442</v>
      </c>
      <c r="L528" s="1">
        <v>46054.399305555555</v>
      </c>
      <c r="M528" s="1">
        <v>46054.431944444441</v>
      </c>
      <c r="N528" s="1">
        <v>46054.453472222223</v>
      </c>
      <c r="O528">
        <v>5</v>
      </c>
      <c r="P528" t="s">
        <v>37</v>
      </c>
      <c r="Q528" t="s">
        <v>43</v>
      </c>
      <c r="R528" t="s">
        <v>44</v>
      </c>
      <c r="S528" t="s">
        <v>45</v>
      </c>
      <c r="T528">
        <v>2500</v>
      </c>
      <c r="U528" t="s">
        <v>35</v>
      </c>
      <c r="V528" t="s">
        <v>36</v>
      </c>
      <c r="W528">
        <v>1</v>
      </c>
      <c r="X528" t="s">
        <v>37</v>
      </c>
      <c r="Y528">
        <v>5</v>
      </c>
      <c r="Z528" t="s">
        <v>54</v>
      </c>
    </row>
    <row r="529" spans="1:26" hidden="1" x14ac:dyDescent="0.2">
      <c r="A529" t="s">
        <v>1188</v>
      </c>
      <c r="B529" t="s">
        <v>1189</v>
      </c>
      <c r="C529" s="1">
        <v>46023</v>
      </c>
      <c r="D529" t="s">
        <v>267</v>
      </c>
      <c r="E529">
        <v>40</v>
      </c>
      <c r="F529">
        <v>7.8</v>
      </c>
      <c r="G529" t="s">
        <v>57</v>
      </c>
      <c r="H529" t="s">
        <v>51</v>
      </c>
      <c r="I529" s="1">
        <v>46023.260416666664</v>
      </c>
      <c r="J529" s="1">
        <v>46023.271527777775</v>
      </c>
      <c r="K529" s="1">
        <v>46023.310416666667</v>
      </c>
      <c r="L529" s="1">
        <v>46023.316666666666</v>
      </c>
      <c r="M529" s="1">
        <v>46023.336111111108</v>
      </c>
      <c r="N529" s="1">
        <v>46023.359722222223</v>
      </c>
      <c r="O529">
        <v>2</v>
      </c>
      <c r="P529" t="s">
        <v>37</v>
      </c>
      <c r="Q529" t="s">
        <v>32</v>
      </c>
      <c r="R529" t="s">
        <v>66</v>
      </c>
      <c r="S529" t="s">
        <v>34</v>
      </c>
      <c r="T529">
        <v>5000</v>
      </c>
      <c r="U529" t="s">
        <v>35</v>
      </c>
      <c r="V529" t="s">
        <v>59</v>
      </c>
      <c r="W529">
        <v>4</v>
      </c>
      <c r="X529" t="s">
        <v>85</v>
      </c>
      <c r="Y529">
        <v>3</v>
      </c>
      <c r="Z529" t="s">
        <v>54</v>
      </c>
    </row>
    <row r="530" spans="1:26" x14ac:dyDescent="0.2">
      <c r="A530" t="s">
        <v>1190</v>
      </c>
      <c r="B530" t="s">
        <v>1191</v>
      </c>
      <c r="C530" s="1">
        <v>46040</v>
      </c>
      <c r="D530" t="s">
        <v>28</v>
      </c>
      <c r="E530">
        <v>6</v>
      </c>
      <c r="F530">
        <v>9.6</v>
      </c>
      <c r="G530" t="s">
        <v>50</v>
      </c>
      <c r="H530" t="s">
        <v>167</v>
      </c>
      <c r="I530" s="1">
        <v>46040.259027777778</v>
      </c>
      <c r="J530" s="1">
        <v>46040.277777777781</v>
      </c>
      <c r="K530" s="1">
        <v>46040.293749999997</v>
      </c>
      <c r="L530" s="1">
        <v>46040.298611111109</v>
      </c>
      <c r="M530" s="1">
        <v>46040.326388888891</v>
      </c>
      <c r="N530" s="1">
        <v>46040.356249999997</v>
      </c>
      <c r="O530">
        <v>7</v>
      </c>
      <c r="P530" t="s">
        <v>106</v>
      </c>
      <c r="Q530" t="s">
        <v>82</v>
      </c>
      <c r="R530" t="s">
        <v>214</v>
      </c>
      <c r="S530" t="s">
        <v>84</v>
      </c>
      <c r="T530">
        <v>4000</v>
      </c>
      <c r="U530" t="s">
        <v>35</v>
      </c>
      <c r="V530" t="s">
        <v>36</v>
      </c>
      <c r="W530">
        <v>1</v>
      </c>
      <c r="X530" t="s">
        <v>37</v>
      </c>
      <c r="Y530">
        <v>2</v>
      </c>
      <c r="Z530" t="s">
        <v>215</v>
      </c>
    </row>
    <row r="531" spans="1:26" hidden="1" x14ac:dyDescent="0.2">
      <c r="A531" t="s">
        <v>1192</v>
      </c>
      <c r="B531" t="s">
        <v>1193</v>
      </c>
      <c r="C531" s="1">
        <v>46042</v>
      </c>
      <c r="D531" t="s">
        <v>137</v>
      </c>
      <c r="E531">
        <v>13</v>
      </c>
      <c r="F531">
        <v>10</v>
      </c>
      <c r="G531" t="s">
        <v>76</v>
      </c>
      <c r="H531" t="s">
        <v>157</v>
      </c>
      <c r="I531" s="1">
        <v>46042.322916666664</v>
      </c>
      <c r="J531" s="1">
        <v>46042.342361111114</v>
      </c>
      <c r="K531" s="1">
        <v>46042.379166666666</v>
      </c>
      <c r="L531" s="1">
        <v>46042.392361111109</v>
      </c>
      <c r="M531" s="1">
        <v>46042.434027777781</v>
      </c>
      <c r="N531" s="1">
        <v>46042.4375</v>
      </c>
      <c r="O531">
        <v>3</v>
      </c>
      <c r="P531" t="s">
        <v>238</v>
      </c>
      <c r="Q531" t="s">
        <v>82</v>
      </c>
      <c r="R531" t="s">
        <v>214</v>
      </c>
      <c r="S531" t="s">
        <v>84</v>
      </c>
      <c r="T531">
        <v>4000</v>
      </c>
      <c r="U531" t="s">
        <v>35</v>
      </c>
      <c r="V531" t="s">
        <v>36</v>
      </c>
      <c r="W531">
        <v>1</v>
      </c>
      <c r="X531" t="s">
        <v>37</v>
      </c>
      <c r="Y531">
        <v>5</v>
      </c>
      <c r="Z531" t="s">
        <v>131</v>
      </c>
    </row>
    <row r="532" spans="1:26" hidden="1" x14ac:dyDescent="0.2">
      <c r="A532" t="s">
        <v>1194</v>
      </c>
      <c r="B532" t="s">
        <v>1195</v>
      </c>
      <c r="C532" s="1">
        <v>46024</v>
      </c>
      <c r="D532" t="s">
        <v>220</v>
      </c>
      <c r="E532">
        <v>40</v>
      </c>
      <c r="F532">
        <v>9.6999999999999993</v>
      </c>
      <c r="G532" t="s">
        <v>76</v>
      </c>
      <c r="H532" t="s">
        <v>65</v>
      </c>
      <c r="I532" s="1">
        <v>46024.338888888888</v>
      </c>
      <c r="J532" s="1">
        <v>46024.348611111112</v>
      </c>
      <c r="K532" s="1">
        <v>46024.375694444447</v>
      </c>
      <c r="L532" s="1">
        <v>46024.388194444444</v>
      </c>
      <c r="M532" s="1">
        <v>46024.402083333334</v>
      </c>
      <c r="N532" s="1">
        <v>46024.417361111111</v>
      </c>
      <c r="O532">
        <v>1</v>
      </c>
      <c r="P532" t="s">
        <v>37</v>
      </c>
      <c r="Q532" t="s">
        <v>43</v>
      </c>
      <c r="R532" t="s">
        <v>200</v>
      </c>
      <c r="S532" t="s">
        <v>45</v>
      </c>
      <c r="T532">
        <v>2500</v>
      </c>
      <c r="U532" t="s">
        <v>91</v>
      </c>
      <c r="V532" t="s">
        <v>36</v>
      </c>
      <c r="W532">
        <v>1</v>
      </c>
      <c r="X532" t="s">
        <v>37</v>
      </c>
      <c r="Y532">
        <v>3</v>
      </c>
      <c r="Z532" t="s">
        <v>215</v>
      </c>
    </row>
    <row r="533" spans="1:26" hidden="1" x14ac:dyDescent="0.2">
      <c r="A533" t="s">
        <v>1196</v>
      </c>
      <c r="B533" t="s">
        <v>1197</v>
      </c>
      <c r="C533" s="1">
        <v>46051</v>
      </c>
      <c r="D533" t="s">
        <v>220</v>
      </c>
      <c r="E533">
        <v>40</v>
      </c>
      <c r="F533">
        <v>8.8000000000000007</v>
      </c>
      <c r="G533" t="s">
        <v>29</v>
      </c>
      <c r="H533" t="s">
        <v>42</v>
      </c>
      <c r="I533" s="1">
        <v>46051.372916666667</v>
      </c>
      <c r="J533" s="1">
        <v>46051.386111111111</v>
      </c>
      <c r="K533" s="1">
        <v>46051.435416666667</v>
      </c>
      <c r="L533" s="1">
        <v>46051.445833333331</v>
      </c>
      <c r="M533" s="1">
        <v>46051.481249999997</v>
      </c>
      <c r="N533" s="1">
        <v>46051.502083333333</v>
      </c>
      <c r="O533">
        <v>7</v>
      </c>
      <c r="P533" t="s">
        <v>37</v>
      </c>
      <c r="Q533" t="s">
        <v>82</v>
      </c>
      <c r="R533" t="s">
        <v>239</v>
      </c>
      <c r="S533" t="s">
        <v>84</v>
      </c>
      <c r="T533">
        <v>4000</v>
      </c>
      <c r="U533" t="s">
        <v>35</v>
      </c>
      <c r="V533" t="s">
        <v>36</v>
      </c>
      <c r="W533">
        <v>1</v>
      </c>
      <c r="X533" t="s">
        <v>37</v>
      </c>
      <c r="Y533">
        <v>4</v>
      </c>
      <c r="Z533" t="s">
        <v>161</v>
      </c>
    </row>
    <row r="534" spans="1:26" hidden="1" x14ac:dyDescent="0.2">
      <c r="A534" t="s">
        <v>1198</v>
      </c>
      <c r="B534" t="s">
        <v>1199</v>
      </c>
      <c r="C534" s="1">
        <v>46036</v>
      </c>
      <c r="D534" t="s">
        <v>89</v>
      </c>
      <c r="E534">
        <v>26</v>
      </c>
      <c r="F534">
        <v>4.2</v>
      </c>
      <c r="G534" t="s">
        <v>76</v>
      </c>
      <c r="H534" t="s">
        <v>95</v>
      </c>
      <c r="I534" s="1">
        <v>46036.345833333333</v>
      </c>
      <c r="J534" s="1">
        <v>46036.351388888892</v>
      </c>
      <c r="K534" s="1">
        <v>46036.363888888889</v>
      </c>
      <c r="L534" s="1">
        <v>46036.371527777781</v>
      </c>
      <c r="M534" s="1">
        <v>46036.404861111114</v>
      </c>
      <c r="N534" s="1">
        <v>46036.408333333333</v>
      </c>
      <c r="O534">
        <v>7</v>
      </c>
      <c r="P534" t="s">
        <v>37</v>
      </c>
      <c r="Q534" t="s">
        <v>96</v>
      </c>
      <c r="R534" t="s">
        <v>130</v>
      </c>
      <c r="S534" t="s">
        <v>98</v>
      </c>
      <c r="T534">
        <v>3000</v>
      </c>
      <c r="U534" t="s">
        <v>35</v>
      </c>
      <c r="V534" t="s">
        <v>36</v>
      </c>
      <c r="W534">
        <v>1</v>
      </c>
      <c r="X534" t="s">
        <v>37</v>
      </c>
      <c r="Y534">
        <v>5</v>
      </c>
      <c r="Z534" t="s">
        <v>54</v>
      </c>
    </row>
    <row r="535" spans="1:26" x14ac:dyDescent="0.2">
      <c r="A535" t="s">
        <v>1200</v>
      </c>
      <c r="B535" t="s">
        <v>1201</v>
      </c>
      <c r="C535" s="1">
        <v>46033</v>
      </c>
      <c r="D535" t="s">
        <v>254</v>
      </c>
      <c r="E535">
        <v>35</v>
      </c>
      <c r="F535">
        <v>4.4000000000000004</v>
      </c>
      <c r="G535" t="s">
        <v>76</v>
      </c>
      <c r="H535" t="s">
        <v>51</v>
      </c>
      <c r="I535" s="1">
        <v>46033.304861111108</v>
      </c>
      <c r="J535" s="1">
        <v>46033.308333333334</v>
      </c>
      <c r="K535" s="1">
        <v>46033.34652777778</v>
      </c>
      <c r="L535" s="1">
        <v>46033.356249999997</v>
      </c>
      <c r="M535" s="1">
        <v>46033.380555555559</v>
      </c>
      <c r="N535" s="1">
        <v>46033.40625</v>
      </c>
      <c r="O535">
        <v>2</v>
      </c>
      <c r="P535" t="s">
        <v>37</v>
      </c>
      <c r="Q535" t="s">
        <v>69</v>
      </c>
      <c r="R535" t="s">
        <v>111</v>
      </c>
      <c r="S535" t="s">
        <v>71</v>
      </c>
      <c r="T535">
        <v>2000</v>
      </c>
      <c r="U535" t="s">
        <v>35</v>
      </c>
      <c r="V535" t="s">
        <v>36</v>
      </c>
      <c r="W535">
        <v>1</v>
      </c>
      <c r="X535" t="s">
        <v>37</v>
      </c>
      <c r="Y535">
        <v>2</v>
      </c>
      <c r="Z535" t="s">
        <v>134</v>
      </c>
    </row>
    <row r="536" spans="1:26" hidden="1" x14ac:dyDescent="0.2">
      <c r="A536" t="s">
        <v>1202</v>
      </c>
      <c r="B536" t="s">
        <v>1203</v>
      </c>
      <c r="C536" s="1">
        <v>46065</v>
      </c>
      <c r="D536" t="s">
        <v>181</v>
      </c>
      <c r="E536">
        <v>37</v>
      </c>
      <c r="F536">
        <v>10.5</v>
      </c>
      <c r="G536" t="s">
        <v>57</v>
      </c>
      <c r="H536" t="s">
        <v>51</v>
      </c>
      <c r="I536" s="1">
        <v>46065.354166666664</v>
      </c>
      <c r="J536" s="1">
        <v>46065.375</v>
      </c>
      <c r="K536" s="1">
        <v>46065.415277777778</v>
      </c>
      <c r="L536" s="1">
        <v>46065.429166666669</v>
      </c>
      <c r="M536" s="1">
        <v>46065.461805555555</v>
      </c>
      <c r="N536" s="1">
        <v>46065.466666666667</v>
      </c>
      <c r="O536">
        <v>3</v>
      </c>
      <c r="P536" t="s">
        <v>52</v>
      </c>
      <c r="Q536" t="s">
        <v>69</v>
      </c>
      <c r="R536" t="s">
        <v>111</v>
      </c>
      <c r="S536" t="s">
        <v>71</v>
      </c>
      <c r="T536">
        <v>2000</v>
      </c>
      <c r="U536" t="s">
        <v>35</v>
      </c>
      <c r="V536" t="s">
        <v>59</v>
      </c>
      <c r="W536">
        <v>1</v>
      </c>
      <c r="X536" t="s">
        <v>60</v>
      </c>
      <c r="Y536">
        <v>3</v>
      </c>
      <c r="Z536" t="s">
        <v>54</v>
      </c>
    </row>
    <row r="537" spans="1:26" hidden="1" x14ac:dyDescent="0.2">
      <c r="A537" t="s">
        <v>1204</v>
      </c>
      <c r="B537" t="s">
        <v>1205</v>
      </c>
      <c r="C537" s="1">
        <v>46106</v>
      </c>
      <c r="D537" t="s">
        <v>123</v>
      </c>
      <c r="E537">
        <v>38</v>
      </c>
      <c r="F537">
        <v>11.9</v>
      </c>
      <c r="G537" t="s">
        <v>81</v>
      </c>
      <c r="H537" t="s">
        <v>30</v>
      </c>
      <c r="I537" s="1">
        <v>46106.342361111114</v>
      </c>
      <c r="J537" s="1">
        <v>46106.362500000003</v>
      </c>
      <c r="K537" s="1">
        <v>46106.399305555555</v>
      </c>
      <c r="L537" s="1">
        <v>46106.412499999999</v>
      </c>
      <c r="M537" s="1">
        <v>46106.45416666667</v>
      </c>
      <c r="N537" s="1">
        <v>46106.463194444441</v>
      </c>
      <c r="O537">
        <v>3</v>
      </c>
      <c r="P537" t="s">
        <v>37</v>
      </c>
      <c r="Q537" t="s">
        <v>82</v>
      </c>
      <c r="R537" t="s">
        <v>77</v>
      </c>
      <c r="S537" t="s">
        <v>84</v>
      </c>
      <c r="T537">
        <v>4000</v>
      </c>
      <c r="U537" t="s">
        <v>35</v>
      </c>
      <c r="V537" t="s">
        <v>59</v>
      </c>
      <c r="W537">
        <v>1</v>
      </c>
      <c r="X537" t="s">
        <v>60</v>
      </c>
      <c r="Y537">
        <v>5</v>
      </c>
      <c r="Z537" t="s">
        <v>168</v>
      </c>
    </row>
    <row r="538" spans="1:26" x14ac:dyDescent="0.2">
      <c r="A538" t="s">
        <v>1206</v>
      </c>
      <c r="B538" t="s">
        <v>1207</v>
      </c>
      <c r="C538" s="1">
        <v>46049</v>
      </c>
      <c r="D538" t="s">
        <v>80</v>
      </c>
      <c r="E538">
        <v>14</v>
      </c>
      <c r="F538">
        <v>8.5</v>
      </c>
      <c r="G538" t="s">
        <v>50</v>
      </c>
      <c r="H538" t="s">
        <v>51</v>
      </c>
      <c r="I538" s="1">
        <v>46049.393055555556</v>
      </c>
      <c r="J538" s="1">
        <v>46049.396527777775</v>
      </c>
      <c r="K538" s="1">
        <v>46049.415972222225</v>
      </c>
      <c r="L538" s="1">
        <v>46049.425694444442</v>
      </c>
      <c r="M538" s="1">
        <v>46049.456944444442</v>
      </c>
      <c r="N538" s="1">
        <v>46049.463888888888</v>
      </c>
      <c r="O538">
        <v>4</v>
      </c>
      <c r="P538" t="s">
        <v>129</v>
      </c>
      <c r="Q538" t="s">
        <v>69</v>
      </c>
      <c r="R538" t="s">
        <v>111</v>
      </c>
      <c r="S538" t="s">
        <v>71</v>
      </c>
      <c r="T538">
        <v>2000</v>
      </c>
      <c r="U538" t="s">
        <v>35</v>
      </c>
      <c r="V538" t="s">
        <v>36</v>
      </c>
      <c r="W538">
        <v>1</v>
      </c>
      <c r="X538" t="s">
        <v>37</v>
      </c>
      <c r="Y538">
        <v>2</v>
      </c>
      <c r="Z538" t="s">
        <v>215</v>
      </c>
    </row>
    <row r="539" spans="1:26" hidden="1" x14ac:dyDescent="0.2">
      <c r="A539" t="s">
        <v>1208</v>
      </c>
      <c r="B539" t="s">
        <v>1209</v>
      </c>
      <c r="C539" s="1">
        <v>46068</v>
      </c>
      <c r="D539" t="s">
        <v>89</v>
      </c>
      <c r="E539">
        <v>34</v>
      </c>
      <c r="F539">
        <v>6.1</v>
      </c>
      <c r="G539" t="s">
        <v>50</v>
      </c>
      <c r="H539" t="s">
        <v>167</v>
      </c>
      <c r="I539" s="1">
        <v>46068.385416666664</v>
      </c>
      <c r="J539" s="1">
        <v>46068.398611111108</v>
      </c>
      <c r="K539" s="1">
        <v>46068.417361111111</v>
      </c>
      <c r="L539" s="1">
        <v>46068.42291666667</v>
      </c>
      <c r="M539" s="1">
        <v>46068.454861111109</v>
      </c>
      <c r="N539" s="1">
        <v>46068.479861111111</v>
      </c>
      <c r="O539">
        <v>1</v>
      </c>
      <c r="P539" t="s">
        <v>37</v>
      </c>
      <c r="Q539" t="s">
        <v>32</v>
      </c>
      <c r="R539" t="s">
        <v>278</v>
      </c>
      <c r="S539" t="s">
        <v>34</v>
      </c>
      <c r="T539">
        <v>5000</v>
      </c>
      <c r="U539" t="s">
        <v>35</v>
      </c>
      <c r="V539" t="s">
        <v>36</v>
      </c>
      <c r="W539">
        <v>1</v>
      </c>
      <c r="X539" t="s">
        <v>37</v>
      </c>
      <c r="Y539">
        <v>4</v>
      </c>
      <c r="Z539" t="s">
        <v>134</v>
      </c>
    </row>
    <row r="540" spans="1:26" hidden="1" x14ac:dyDescent="0.2">
      <c r="A540" t="s">
        <v>1210</v>
      </c>
      <c r="B540" t="s">
        <v>1211</v>
      </c>
      <c r="C540" s="1">
        <v>46079</v>
      </c>
      <c r="D540" t="s">
        <v>242</v>
      </c>
      <c r="E540">
        <v>28</v>
      </c>
      <c r="F540">
        <v>4.7</v>
      </c>
      <c r="G540" t="s">
        <v>50</v>
      </c>
      <c r="H540" t="s">
        <v>65</v>
      </c>
      <c r="I540" s="1">
        <v>46079.329861111109</v>
      </c>
      <c r="J540" s="1">
        <v>46079.338888888888</v>
      </c>
      <c r="K540" s="1">
        <v>46079.349305555559</v>
      </c>
      <c r="L540" s="1">
        <v>46079.353472222225</v>
      </c>
      <c r="M540" s="1">
        <v>46079.393055555556</v>
      </c>
      <c r="N540" s="1">
        <v>46079.406944444447</v>
      </c>
      <c r="O540">
        <v>6</v>
      </c>
      <c r="P540" t="s">
        <v>37</v>
      </c>
      <c r="Q540" t="s">
        <v>69</v>
      </c>
      <c r="R540" t="s">
        <v>251</v>
      </c>
      <c r="S540" t="s">
        <v>71</v>
      </c>
      <c r="T540">
        <v>2000</v>
      </c>
      <c r="U540" t="s">
        <v>35</v>
      </c>
      <c r="V540" t="s">
        <v>59</v>
      </c>
      <c r="W540">
        <v>3</v>
      </c>
      <c r="X540" t="s">
        <v>193</v>
      </c>
      <c r="Y540">
        <v>3</v>
      </c>
      <c r="Z540" t="s">
        <v>168</v>
      </c>
    </row>
    <row r="541" spans="1:26" hidden="1" x14ac:dyDescent="0.2">
      <c r="A541" t="s">
        <v>1212</v>
      </c>
      <c r="B541" t="s">
        <v>1213</v>
      </c>
      <c r="C541" s="1">
        <v>46051</v>
      </c>
      <c r="D541" t="s">
        <v>220</v>
      </c>
      <c r="E541">
        <v>27</v>
      </c>
      <c r="F541">
        <v>7.7</v>
      </c>
      <c r="G541" t="s">
        <v>81</v>
      </c>
      <c r="H541" t="s">
        <v>42</v>
      </c>
      <c r="I541" s="1">
        <v>46051.332638888889</v>
      </c>
      <c r="J541" s="1">
        <v>46051.338194444441</v>
      </c>
      <c r="K541" s="1">
        <v>46051.352083333331</v>
      </c>
      <c r="L541" s="1">
        <v>46051.359027777777</v>
      </c>
      <c r="M541" s="1">
        <v>46051.397916666669</v>
      </c>
      <c r="N541" s="1">
        <v>46051.405555555553</v>
      </c>
      <c r="O541">
        <v>4</v>
      </c>
      <c r="P541" t="s">
        <v>37</v>
      </c>
      <c r="Q541" t="s">
        <v>43</v>
      </c>
      <c r="R541" t="s">
        <v>90</v>
      </c>
      <c r="S541" t="s">
        <v>45</v>
      </c>
      <c r="T541">
        <v>2500</v>
      </c>
      <c r="U541" t="s">
        <v>35</v>
      </c>
      <c r="V541" t="s">
        <v>36</v>
      </c>
      <c r="W541">
        <v>1</v>
      </c>
      <c r="X541" t="s">
        <v>37</v>
      </c>
      <c r="Y541">
        <v>4</v>
      </c>
      <c r="Z541" t="s">
        <v>215</v>
      </c>
    </row>
    <row r="542" spans="1:26" hidden="1" x14ac:dyDescent="0.2">
      <c r="A542" t="s">
        <v>1214</v>
      </c>
      <c r="B542" t="s">
        <v>1215</v>
      </c>
      <c r="C542" s="1">
        <v>46050</v>
      </c>
      <c r="D542" t="s">
        <v>114</v>
      </c>
      <c r="E542">
        <v>22</v>
      </c>
      <c r="F542">
        <v>7.6</v>
      </c>
      <c r="G542" t="s">
        <v>81</v>
      </c>
      <c r="H542" t="s">
        <v>95</v>
      </c>
      <c r="I542" s="1">
        <v>46050.333333333336</v>
      </c>
      <c r="J542" s="1">
        <v>46050.339583333334</v>
      </c>
      <c r="K542" s="1">
        <v>46050.365277777775</v>
      </c>
      <c r="L542" s="1">
        <v>46050.375694444447</v>
      </c>
      <c r="M542" s="1">
        <v>46050.407638888886</v>
      </c>
      <c r="N542" s="1">
        <v>46050.412499999999</v>
      </c>
      <c r="O542">
        <v>5</v>
      </c>
      <c r="P542" t="s">
        <v>37</v>
      </c>
      <c r="Q542" t="s">
        <v>43</v>
      </c>
      <c r="R542" t="s">
        <v>90</v>
      </c>
      <c r="S542" t="s">
        <v>45</v>
      </c>
      <c r="T542">
        <v>2500</v>
      </c>
      <c r="U542" t="s">
        <v>35</v>
      </c>
      <c r="V542" t="s">
        <v>36</v>
      </c>
      <c r="W542">
        <v>1</v>
      </c>
      <c r="X542" t="s">
        <v>37</v>
      </c>
      <c r="Y542">
        <v>5</v>
      </c>
      <c r="Z542" t="s">
        <v>72</v>
      </c>
    </row>
    <row r="543" spans="1:26" hidden="1" x14ac:dyDescent="0.2">
      <c r="A543" t="s">
        <v>1216</v>
      </c>
      <c r="B543" t="s">
        <v>1217</v>
      </c>
      <c r="C543" s="1">
        <v>46029</v>
      </c>
      <c r="D543" t="s">
        <v>267</v>
      </c>
      <c r="E543">
        <v>22</v>
      </c>
      <c r="F543">
        <v>6</v>
      </c>
      <c r="G543" t="s">
        <v>57</v>
      </c>
      <c r="H543" t="s">
        <v>51</v>
      </c>
      <c r="I543" s="1">
        <v>46029.275000000001</v>
      </c>
      <c r="J543" s="1">
        <v>46029.279861111114</v>
      </c>
      <c r="K543" s="1">
        <v>46029.311111111114</v>
      </c>
      <c r="L543" s="1">
        <v>46029.322916666664</v>
      </c>
      <c r="M543" s="1">
        <v>46029.333333333336</v>
      </c>
      <c r="N543" s="1">
        <v>46029.35</v>
      </c>
      <c r="O543">
        <v>7</v>
      </c>
      <c r="P543" t="s">
        <v>37</v>
      </c>
      <c r="Q543" t="s">
        <v>32</v>
      </c>
      <c r="R543" t="s">
        <v>140</v>
      </c>
      <c r="S543" t="s">
        <v>34</v>
      </c>
      <c r="T543">
        <v>5000</v>
      </c>
      <c r="U543" t="s">
        <v>35</v>
      </c>
      <c r="V543" t="s">
        <v>36</v>
      </c>
      <c r="W543">
        <v>1</v>
      </c>
      <c r="X543" t="s">
        <v>37</v>
      </c>
      <c r="Y543">
        <v>5</v>
      </c>
      <c r="Z543" t="s">
        <v>161</v>
      </c>
    </row>
    <row r="544" spans="1:26" hidden="1" x14ac:dyDescent="0.2">
      <c r="A544" t="s">
        <v>1218</v>
      </c>
      <c r="B544" t="s">
        <v>1219</v>
      </c>
      <c r="C544" s="1">
        <v>46029</v>
      </c>
      <c r="D544" t="s">
        <v>89</v>
      </c>
      <c r="E544">
        <v>24</v>
      </c>
      <c r="F544">
        <v>5.3</v>
      </c>
      <c r="G544" t="s">
        <v>76</v>
      </c>
      <c r="H544" t="s">
        <v>157</v>
      </c>
      <c r="I544" s="1">
        <v>46029.335416666669</v>
      </c>
      <c r="J544" s="1">
        <v>46029.349305555559</v>
      </c>
      <c r="K544" s="1">
        <v>46029.40347222222</v>
      </c>
      <c r="L544" s="1">
        <v>46029.410416666666</v>
      </c>
      <c r="M544" s="1">
        <v>46029.447916666664</v>
      </c>
      <c r="N544" s="1">
        <v>46029.470138888886</v>
      </c>
      <c r="O544">
        <v>3</v>
      </c>
      <c r="P544" t="s">
        <v>37</v>
      </c>
      <c r="Q544" t="s">
        <v>43</v>
      </c>
      <c r="R544" t="s">
        <v>58</v>
      </c>
      <c r="S544" t="s">
        <v>45</v>
      </c>
      <c r="T544">
        <v>2500</v>
      </c>
      <c r="U544" t="s">
        <v>35</v>
      </c>
      <c r="V544" t="s">
        <v>59</v>
      </c>
      <c r="W544">
        <v>2</v>
      </c>
      <c r="X544" t="s">
        <v>116</v>
      </c>
      <c r="Y544">
        <v>5</v>
      </c>
      <c r="Z544" t="s">
        <v>215</v>
      </c>
    </row>
    <row r="545" spans="1:26" hidden="1" x14ac:dyDescent="0.2">
      <c r="A545" t="s">
        <v>1220</v>
      </c>
      <c r="B545" t="s">
        <v>1221</v>
      </c>
      <c r="C545" s="1">
        <v>46041</v>
      </c>
      <c r="D545" t="s">
        <v>289</v>
      </c>
      <c r="E545">
        <v>14</v>
      </c>
      <c r="F545">
        <v>11.2</v>
      </c>
      <c r="G545" t="s">
        <v>57</v>
      </c>
      <c r="H545" t="s">
        <v>157</v>
      </c>
      <c r="I545" s="1">
        <v>46041.40347222222</v>
      </c>
      <c r="J545" s="1">
        <v>46041.413888888892</v>
      </c>
      <c r="K545" s="1">
        <v>46041.430555555555</v>
      </c>
      <c r="L545" s="1">
        <v>46041.443055555559</v>
      </c>
      <c r="M545" s="1">
        <v>46041.461111111108</v>
      </c>
      <c r="N545" s="1">
        <v>46041.487500000003</v>
      </c>
      <c r="O545">
        <v>6</v>
      </c>
      <c r="P545" t="s">
        <v>115</v>
      </c>
      <c r="Q545" t="s">
        <v>96</v>
      </c>
      <c r="R545" t="s">
        <v>90</v>
      </c>
      <c r="S545" t="s">
        <v>98</v>
      </c>
      <c r="T545">
        <v>3000</v>
      </c>
      <c r="U545" t="s">
        <v>91</v>
      </c>
      <c r="V545" t="s">
        <v>59</v>
      </c>
      <c r="W545">
        <v>4</v>
      </c>
      <c r="X545" t="s">
        <v>60</v>
      </c>
      <c r="Y545">
        <v>5</v>
      </c>
      <c r="Z545" t="s">
        <v>117</v>
      </c>
    </row>
    <row r="546" spans="1:26" hidden="1" x14ac:dyDescent="0.2">
      <c r="A546" t="s">
        <v>1222</v>
      </c>
      <c r="B546" t="s">
        <v>1223</v>
      </c>
      <c r="C546" s="1">
        <v>46050</v>
      </c>
      <c r="D546" t="s">
        <v>233</v>
      </c>
      <c r="E546">
        <v>39</v>
      </c>
      <c r="F546">
        <v>10.199999999999999</v>
      </c>
      <c r="G546" t="s">
        <v>81</v>
      </c>
      <c r="H546" t="s">
        <v>157</v>
      </c>
      <c r="I546" s="1">
        <v>46050.288194444445</v>
      </c>
      <c r="J546" s="1">
        <v>46050.299305555556</v>
      </c>
      <c r="K546" s="1">
        <v>46050.324305555558</v>
      </c>
      <c r="L546" s="1">
        <v>46050.331944444442</v>
      </c>
      <c r="M546" s="1">
        <v>46050.368750000001</v>
      </c>
      <c r="N546" s="1">
        <v>46050.397222222222</v>
      </c>
      <c r="O546">
        <v>1</v>
      </c>
      <c r="P546" t="s">
        <v>37</v>
      </c>
      <c r="Q546" t="s">
        <v>82</v>
      </c>
      <c r="R546" t="s">
        <v>214</v>
      </c>
      <c r="S546" t="s">
        <v>84</v>
      </c>
      <c r="T546">
        <v>4000</v>
      </c>
      <c r="U546" t="s">
        <v>35</v>
      </c>
      <c r="V546" t="s">
        <v>36</v>
      </c>
      <c r="W546">
        <v>1</v>
      </c>
      <c r="X546" t="s">
        <v>37</v>
      </c>
      <c r="Y546">
        <v>4</v>
      </c>
      <c r="Z546" t="s">
        <v>46</v>
      </c>
    </row>
    <row r="547" spans="1:26" hidden="1" x14ac:dyDescent="0.2">
      <c r="A547" t="s">
        <v>1224</v>
      </c>
      <c r="B547" t="s">
        <v>1225</v>
      </c>
      <c r="C547" s="1">
        <v>46112</v>
      </c>
      <c r="D547" t="s">
        <v>186</v>
      </c>
      <c r="E547">
        <v>31</v>
      </c>
      <c r="F547">
        <v>6.8</v>
      </c>
      <c r="G547" t="s">
        <v>81</v>
      </c>
      <c r="H547" t="s">
        <v>157</v>
      </c>
      <c r="I547" s="1">
        <v>46112.342361111114</v>
      </c>
      <c r="J547" s="1">
        <v>46112.362500000003</v>
      </c>
      <c r="K547" s="1">
        <v>46112.398611111108</v>
      </c>
      <c r="L547" s="1">
        <v>46112.404166666667</v>
      </c>
      <c r="M547" s="1">
        <v>46112.418749999997</v>
      </c>
      <c r="N547" s="1">
        <v>46112.442361111112</v>
      </c>
      <c r="O547">
        <v>4</v>
      </c>
      <c r="P547" t="s">
        <v>37</v>
      </c>
      <c r="Q547" t="s">
        <v>43</v>
      </c>
      <c r="R547" t="s">
        <v>200</v>
      </c>
      <c r="S547" t="s">
        <v>45</v>
      </c>
      <c r="T547">
        <v>2500</v>
      </c>
      <c r="U547" t="s">
        <v>35</v>
      </c>
      <c r="V547" t="s">
        <v>36</v>
      </c>
      <c r="W547">
        <v>1</v>
      </c>
      <c r="X547" t="s">
        <v>37</v>
      </c>
      <c r="Y547">
        <v>4</v>
      </c>
      <c r="Z547" t="s">
        <v>161</v>
      </c>
    </row>
    <row r="548" spans="1:26" hidden="1" x14ac:dyDescent="0.2">
      <c r="A548" t="s">
        <v>1226</v>
      </c>
      <c r="B548" t="s">
        <v>1227</v>
      </c>
      <c r="C548" s="1">
        <v>46111</v>
      </c>
      <c r="D548" t="s">
        <v>94</v>
      </c>
      <c r="E548">
        <v>11</v>
      </c>
      <c r="F548">
        <v>12</v>
      </c>
      <c r="G548" t="s">
        <v>29</v>
      </c>
      <c r="H548" t="s">
        <v>51</v>
      </c>
      <c r="I548" s="1">
        <v>46111.365277777775</v>
      </c>
      <c r="J548" s="1">
        <v>46111.368750000001</v>
      </c>
      <c r="K548" s="1">
        <v>46111.429861111108</v>
      </c>
      <c r="L548" s="1">
        <v>46111.442361111112</v>
      </c>
      <c r="M548" s="1">
        <v>46111.453472222223</v>
      </c>
      <c r="N548" s="1">
        <v>46111.478472222225</v>
      </c>
      <c r="O548">
        <v>6</v>
      </c>
      <c r="P548" t="s">
        <v>37</v>
      </c>
      <c r="Q548" t="s">
        <v>43</v>
      </c>
      <c r="R548" t="s">
        <v>58</v>
      </c>
      <c r="S548" t="s">
        <v>45</v>
      </c>
      <c r="T548">
        <v>2500</v>
      </c>
      <c r="U548" t="s">
        <v>91</v>
      </c>
      <c r="V548" t="s">
        <v>36</v>
      </c>
      <c r="W548">
        <v>1</v>
      </c>
      <c r="X548" t="s">
        <v>37</v>
      </c>
      <c r="Y548">
        <v>4</v>
      </c>
      <c r="Z548" t="s">
        <v>215</v>
      </c>
    </row>
    <row r="549" spans="1:26" hidden="1" x14ac:dyDescent="0.2">
      <c r="A549" t="s">
        <v>1228</v>
      </c>
      <c r="B549" t="s">
        <v>1229</v>
      </c>
      <c r="C549" s="1">
        <v>46108</v>
      </c>
      <c r="D549" t="s">
        <v>149</v>
      </c>
      <c r="E549">
        <v>19</v>
      </c>
      <c r="F549">
        <v>10.199999999999999</v>
      </c>
      <c r="G549" t="s">
        <v>81</v>
      </c>
      <c r="H549" t="s">
        <v>157</v>
      </c>
      <c r="I549" s="1">
        <v>46108.270138888889</v>
      </c>
      <c r="J549" s="1">
        <v>46108.277777777781</v>
      </c>
      <c r="K549" s="1">
        <v>46108.326388888891</v>
      </c>
      <c r="L549" s="1">
        <v>46108.331944444442</v>
      </c>
      <c r="M549" s="1">
        <v>46108.354166666664</v>
      </c>
      <c r="N549" s="1">
        <v>46108.37777777778</v>
      </c>
      <c r="O549">
        <v>4</v>
      </c>
      <c r="P549" t="s">
        <v>37</v>
      </c>
      <c r="Q549" t="s">
        <v>43</v>
      </c>
      <c r="R549" t="s">
        <v>158</v>
      </c>
      <c r="S549" t="s">
        <v>45</v>
      </c>
      <c r="T549">
        <v>2500</v>
      </c>
      <c r="U549" t="s">
        <v>35</v>
      </c>
      <c r="V549" t="s">
        <v>36</v>
      </c>
      <c r="W549">
        <v>1</v>
      </c>
      <c r="X549" t="s">
        <v>37</v>
      </c>
      <c r="Y549">
        <v>4</v>
      </c>
      <c r="Z549" t="s">
        <v>99</v>
      </c>
    </row>
    <row r="550" spans="1:26" hidden="1" x14ac:dyDescent="0.2">
      <c r="A550" t="s">
        <v>1230</v>
      </c>
      <c r="B550" t="s">
        <v>1231</v>
      </c>
      <c r="C550" s="1">
        <v>46087</v>
      </c>
      <c r="D550" t="s">
        <v>149</v>
      </c>
      <c r="E550">
        <v>24</v>
      </c>
      <c r="F550">
        <v>10.7</v>
      </c>
      <c r="G550" t="s">
        <v>50</v>
      </c>
      <c r="H550" t="s">
        <v>30</v>
      </c>
      <c r="I550" s="1">
        <v>46087.292361111111</v>
      </c>
      <c r="J550" s="1">
        <v>46087.29583333333</v>
      </c>
      <c r="K550" s="1">
        <v>46087.339583333334</v>
      </c>
      <c r="L550" s="1">
        <v>46087.34375</v>
      </c>
      <c r="M550" s="1">
        <v>46087.350694444445</v>
      </c>
      <c r="N550" s="1">
        <v>46087.354861111111</v>
      </c>
      <c r="O550">
        <v>2</v>
      </c>
      <c r="P550" t="s">
        <v>37</v>
      </c>
      <c r="Q550" t="s">
        <v>96</v>
      </c>
      <c r="R550" t="s">
        <v>214</v>
      </c>
      <c r="S550" t="s">
        <v>98</v>
      </c>
      <c r="T550">
        <v>3000</v>
      </c>
      <c r="U550" t="s">
        <v>35</v>
      </c>
      <c r="V550" t="s">
        <v>36</v>
      </c>
      <c r="W550">
        <v>1</v>
      </c>
      <c r="X550" t="s">
        <v>37</v>
      </c>
      <c r="Y550">
        <v>5</v>
      </c>
      <c r="Z550" t="s">
        <v>99</v>
      </c>
    </row>
    <row r="551" spans="1:26" hidden="1" x14ac:dyDescent="0.2">
      <c r="A551" t="s">
        <v>1232</v>
      </c>
      <c r="B551" t="s">
        <v>1233</v>
      </c>
      <c r="C551" s="1">
        <v>46044</v>
      </c>
      <c r="D551" t="s">
        <v>254</v>
      </c>
      <c r="E551">
        <v>40</v>
      </c>
      <c r="F551">
        <v>11.8</v>
      </c>
      <c r="G551" t="s">
        <v>57</v>
      </c>
      <c r="H551" t="s">
        <v>65</v>
      </c>
      <c r="I551" s="1">
        <v>46044.363888888889</v>
      </c>
      <c r="J551" s="1">
        <v>46044.375694444447</v>
      </c>
      <c r="K551" s="1">
        <v>46044.386805555558</v>
      </c>
      <c r="L551" s="1">
        <v>46044.399305555555</v>
      </c>
      <c r="M551" s="1">
        <v>46044.411805555559</v>
      </c>
      <c r="N551" s="1">
        <v>46044.443055555559</v>
      </c>
      <c r="O551">
        <v>4</v>
      </c>
      <c r="P551" t="s">
        <v>37</v>
      </c>
      <c r="Q551" t="s">
        <v>43</v>
      </c>
      <c r="R551" t="s">
        <v>158</v>
      </c>
      <c r="S551" t="s">
        <v>45</v>
      </c>
      <c r="T551">
        <v>2500</v>
      </c>
      <c r="U551" t="s">
        <v>35</v>
      </c>
      <c r="V551" t="s">
        <v>59</v>
      </c>
      <c r="W551">
        <v>2</v>
      </c>
      <c r="X551" t="s">
        <v>193</v>
      </c>
      <c r="Y551">
        <v>3</v>
      </c>
      <c r="Z551" t="s">
        <v>38</v>
      </c>
    </row>
    <row r="552" spans="1:26" hidden="1" x14ac:dyDescent="0.2">
      <c r="A552" t="s">
        <v>1234</v>
      </c>
      <c r="B552" t="s">
        <v>1235</v>
      </c>
      <c r="C552" s="1">
        <v>46087</v>
      </c>
      <c r="D552" t="s">
        <v>28</v>
      </c>
      <c r="E552">
        <v>21</v>
      </c>
      <c r="F552">
        <v>10.7</v>
      </c>
      <c r="G552" t="s">
        <v>57</v>
      </c>
      <c r="H552" t="s">
        <v>167</v>
      </c>
      <c r="I552" s="1">
        <v>46087.286111111112</v>
      </c>
      <c r="J552" s="1">
        <v>46087.290972222225</v>
      </c>
      <c r="K552" s="1">
        <v>46087.305555555555</v>
      </c>
      <c r="L552" s="1">
        <v>46087.309027777781</v>
      </c>
      <c r="M552" s="1">
        <v>46087.334722222222</v>
      </c>
      <c r="N552" s="1">
        <v>46087.338194444441</v>
      </c>
      <c r="O552">
        <v>6</v>
      </c>
      <c r="P552" t="s">
        <v>37</v>
      </c>
      <c r="Q552" t="s">
        <v>69</v>
      </c>
      <c r="R552" t="s">
        <v>70</v>
      </c>
      <c r="S552" t="s">
        <v>71</v>
      </c>
      <c r="T552">
        <v>2000</v>
      </c>
      <c r="U552" t="s">
        <v>35</v>
      </c>
      <c r="V552" t="s">
        <v>36</v>
      </c>
      <c r="W552">
        <v>1</v>
      </c>
      <c r="X552" t="s">
        <v>37</v>
      </c>
      <c r="Y552">
        <v>4</v>
      </c>
      <c r="Z552" t="s">
        <v>117</v>
      </c>
    </row>
    <row r="553" spans="1:26" hidden="1" x14ac:dyDescent="0.2">
      <c r="A553" t="s">
        <v>1236</v>
      </c>
      <c r="B553" t="s">
        <v>1237</v>
      </c>
      <c r="C553" s="1">
        <v>46071</v>
      </c>
      <c r="D553" t="s">
        <v>178</v>
      </c>
      <c r="E553">
        <v>27</v>
      </c>
      <c r="F553">
        <v>5.5</v>
      </c>
      <c r="G553" t="s">
        <v>57</v>
      </c>
      <c r="H553" t="s">
        <v>167</v>
      </c>
      <c r="I553" s="1">
        <v>46071.28402777778</v>
      </c>
      <c r="J553" s="1">
        <v>46071.299305555556</v>
      </c>
      <c r="K553" s="1">
        <v>46071.327777777777</v>
      </c>
      <c r="L553" s="1">
        <v>46071.339583333334</v>
      </c>
      <c r="M553" s="1">
        <v>46071.380555555559</v>
      </c>
      <c r="N553" s="1">
        <v>46071.395138888889</v>
      </c>
      <c r="O553">
        <v>6</v>
      </c>
      <c r="P553" t="s">
        <v>238</v>
      </c>
      <c r="Q553" t="s">
        <v>82</v>
      </c>
      <c r="R553" t="s">
        <v>214</v>
      </c>
      <c r="S553" t="s">
        <v>84</v>
      </c>
      <c r="T553">
        <v>4000</v>
      </c>
      <c r="U553" t="s">
        <v>91</v>
      </c>
      <c r="V553" t="s">
        <v>36</v>
      </c>
      <c r="W553">
        <v>1</v>
      </c>
      <c r="X553" t="s">
        <v>37</v>
      </c>
      <c r="Y553">
        <v>5</v>
      </c>
      <c r="Z553" t="s">
        <v>215</v>
      </c>
    </row>
    <row r="554" spans="1:26" hidden="1" x14ac:dyDescent="0.2">
      <c r="A554" t="s">
        <v>1238</v>
      </c>
      <c r="B554" t="s">
        <v>1239</v>
      </c>
      <c r="C554" s="1">
        <v>46037</v>
      </c>
      <c r="D554" t="s">
        <v>225</v>
      </c>
      <c r="E554">
        <v>11</v>
      </c>
      <c r="F554">
        <v>5.0999999999999996</v>
      </c>
      <c r="G554" t="s">
        <v>76</v>
      </c>
      <c r="H554" t="s">
        <v>95</v>
      </c>
      <c r="I554" s="1">
        <v>46037.265972222223</v>
      </c>
      <c r="J554" s="1">
        <v>46037.270833333336</v>
      </c>
      <c r="K554" s="1">
        <v>46037.321527777778</v>
      </c>
      <c r="L554" s="1">
        <v>46037.332638888889</v>
      </c>
      <c r="M554" s="1">
        <v>46037.348611111112</v>
      </c>
      <c r="N554" s="1">
        <v>46037.369444444441</v>
      </c>
      <c r="O554">
        <v>1</v>
      </c>
      <c r="P554" t="s">
        <v>37</v>
      </c>
      <c r="Q554" t="s">
        <v>69</v>
      </c>
      <c r="R554" t="s">
        <v>111</v>
      </c>
      <c r="S554" t="s">
        <v>71</v>
      </c>
      <c r="T554">
        <v>2000</v>
      </c>
      <c r="U554" t="s">
        <v>35</v>
      </c>
      <c r="V554" t="s">
        <v>36</v>
      </c>
      <c r="W554">
        <v>1</v>
      </c>
      <c r="X554" t="s">
        <v>37</v>
      </c>
      <c r="Y554">
        <v>5</v>
      </c>
      <c r="Z554" t="s">
        <v>117</v>
      </c>
    </row>
    <row r="555" spans="1:26" hidden="1" x14ac:dyDescent="0.2">
      <c r="A555" t="s">
        <v>1240</v>
      </c>
      <c r="B555" t="s">
        <v>1241</v>
      </c>
      <c r="C555" s="1">
        <v>46110</v>
      </c>
      <c r="D555" t="s">
        <v>181</v>
      </c>
      <c r="E555">
        <v>33</v>
      </c>
      <c r="F555">
        <v>10.5</v>
      </c>
      <c r="G555" t="s">
        <v>57</v>
      </c>
      <c r="H555" t="s">
        <v>167</v>
      </c>
      <c r="I555" s="1">
        <v>46110.251388888886</v>
      </c>
      <c r="J555" s="1">
        <v>46110.258333333331</v>
      </c>
      <c r="K555" s="1">
        <v>46110.31527777778</v>
      </c>
      <c r="L555" s="1">
        <v>46110.319444444445</v>
      </c>
      <c r="M555" s="1">
        <v>46110.331250000003</v>
      </c>
      <c r="N555" s="1">
        <v>46110.349305555559</v>
      </c>
      <c r="O555">
        <v>3</v>
      </c>
      <c r="P555" t="s">
        <v>37</v>
      </c>
      <c r="Q555" t="s">
        <v>43</v>
      </c>
      <c r="R555" t="s">
        <v>58</v>
      </c>
      <c r="S555" t="s">
        <v>45</v>
      </c>
      <c r="T555">
        <v>2500</v>
      </c>
      <c r="U555" t="s">
        <v>35</v>
      </c>
      <c r="V555" t="s">
        <v>36</v>
      </c>
      <c r="W555">
        <v>1</v>
      </c>
      <c r="X555" t="s">
        <v>37</v>
      </c>
      <c r="Y555">
        <v>3</v>
      </c>
      <c r="Z555" t="s">
        <v>38</v>
      </c>
    </row>
    <row r="556" spans="1:26" hidden="1" x14ac:dyDescent="0.2">
      <c r="A556" t="s">
        <v>1242</v>
      </c>
      <c r="B556" t="s">
        <v>1243</v>
      </c>
      <c r="C556" s="1">
        <v>46038</v>
      </c>
      <c r="D556" t="s">
        <v>267</v>
      </c>
      <c r="E556">
        <v>39</v>
      </c>
      <c r="F556">
        <v>4.2</v>
      </c>
      <c r="G556" t="s">
        <v>81</v>
      </c>
      <c r="H556" t="s">
        <v>42</v>
      </c>
      <c r="I556" s="1">
        <v>46038.277083333334</v>
      </c>
      <c r="J556" s="1">
        <v>46038.284722222219</v>
      </c>
      <c r="K556" s="1">
        <v>46038.323611111111</v>
      </c>
      <c r="L556" s="1">
        <v>46038.32916666667</v>
      </c>
      <c r="M556" s="1">
        <v>46038.345138888886</v>
      </c>
      <c r="N556" s="1">
        <v>46038.349305555559</v>
      </c>
      <c r="O556">
        <v>3</v>
      </c>
      <c r="P556" t="s">
        <v>238</v>
      </c>
      <c r="Q556" t="s">
        <v>69</v>
      </c>
      <c r="R556" t="s">
        <v>111</v>
      </c>
      <c r="S556" t="s">
        <v>71</v>
      </c>
      <c r="T556">
        <v>2000</v>
      </c>
      <c r="U556" t="s">
        <v>35</v>
      </c>
      <c r="V556" t="s">
        <v>59</v>
      </c>
      <c r="W556">
        <v>3</v>
      </c>
      <c r="X556" t="s">
        <v>353</v>
      </c>
      <c r="Y556">
        <v>4</v>
      </c>
      <c r="Z556" t="s">
        <v>117</v>
      </c>
    </row>
    <row r="557" spans="1:26" hidden="1" x14ac:dyDescent="0.2">
      <c r="A557" t="s">
        <v>1244</v>
      </c>
      <c r="B557" t="s">
        <v>1245</v>
      </c>
      <c r="C557" s="1">
        <v>46093</v>
      </c>
      <c r="D557" t="s">
        <v>105</v>
      </c>
      <c r="E557">
        <v>36</v>
      </c>
      <c r="F557">
        <v>7.5</v>
      </c>
      <c r="G557" t="s">
        <v>50</v>
      </c>
      <c r="H557" t="s">
        <v>95</v>
      </c>
      <c r="I557" s="1">
        <v>46093.294444444444</v>
      </c>
      <c r="J557" s="1">
        <v>46093.301388888889</v>
      </c>
      <c r="K557" s="1">
        <v>46093.325694444444</v>
      </c>
      <c r="L557" s="1">
        <v>46093.334722222222</v>
      </c>
      <c r="M557" s="1">
        <v>46093.359027777777</v>
      </c>
      <c r="N557" s="1">
        <v>46093.366666666669</v>
      </c>
      <c r="O557">
        <v>5</v>
      </c>
      <c r="P557" t="s">
        <v>37</v>
      </c>
      <c r="Q557" t="s">
        <v>96</v>
      </c>
      <c r="R557" t="s">
        <v>97</v>
      </c>
      <c r="S557" t="s">
        <v>98</v>
      </c>
      <c r="T557">
        <v>3000</v>
      </c>
      <c r="U557" t="s">
        <v>35</v>
      </c>
      <c r="V557" t="s">
        <v>36</v>
      </c>
      <c r="W557">
        <v>1</v>
      </c>
      <c r="X557" t="s">
        <v>37</v>
      </c>
      <c r="Y557">
        <v>3</v>
      </c>
      <c r="Z557" t="s">
        <v>38</v>
      </c>
    </row>
    <row r="558" spans="1:26" hidden="1" x14ac:dyDescent="0.2">
      <c r="A558" t="s">
        <v>1246</v>
      </c>
      <c r="B558" t="s">
        <v>1247</v>
      </c>
      <c r="C558" s="1">
        <v>46078</v>
      </c>
      <c r="D558" t="s">
        <v>145</v>
      </c>
      <c r="E558">
        <v>22</v>
      </c>
      <c r="F558">
        <v>10.5</v>
      </c>
      <c r="G558" t="s">
        <v>81</v>
      </c>
      <c r="H558" t="s">
        <v>51</v>
      </c>
      <c r="I558" s="1">
        <v>46078.357638888891</v>
      </c>
      <c r="J558" s="1">
        <v>46078.369444444441</v>
      </c>
      <c r="K558" s="1">
        <v>46078.413888888892</v>
      </c>
      <c r="L558" s="1">
        <v>46078.421527777777</v>
      </c>
      <c r="M558" s="1">
        <v>46078.453472222223</v>
      </c>
      <c r="N558" s="1">
        <v>46078.472222222219</v>
      </c>
      <c r="O558">
        <v>3</v>
      </c>
      <c r="P558" t="s">
        <v>37</v>
      </c>
      <c r="Q558" t="s">
        <v>43</v>
      </c>
      <c r="R558" t="s">
        <v>200</v>
      </c>
      <c r="S558" t="s">
        <v>45</v>
      </c>
      <c r="T558">
        <v>2500</v>
      </c>
      <c r="U558" t="s">
        <v>35</v>
      </c>
      <c r="V558" t="s">
        <v>36</v>
      </c>
      <c r="W558">
        <v>1</v>
      </c>
      <c r="X558" t="s">
        <v>37</v>
      </c>
      <c r="Y558">
        <v>5</v>
      </c>
      <c r="Z558" t="s">
        <v>131</v>
      </c>
    </row>
    <row r="559" spans="1:26" hidden="1" x14ac:dyDescent="0.2">
      <c r="A559" t="s">
        <v>1248</v>
      </c>
      <c r="B559" t="s">
        <v>1249</v>
      </c>
      <c r="C559" s="1">
        <v>46098</v>
      </c>
      <c r="D559" t="s">
        <v>181</v>
      </c>
      <c r="E559">
        <v>38</v>
      </c>
      <c r="F559">
        <v>6.8</v>
      </c>
      <c r="G559" t="s">
        <v>29</v>
      </c>
      <c r="H559" t="s">
        <v>51</v>
      </c>
      <c r="I559" s="1">
        <v>46098.281944444447</v>
      </c>
      <c r="J559" s="1">
        <v>46098.302777777775</v>
      </c>
      <c r="K559" s="1">
        <v>46098.338194444441</v>
      </c>
      <c r="L559" s="1">
        <v>46098.350694444445</v>
      </c>
      <c r="M559" s="1">
        <v>46098.392361111109</v>
      </c>
      <c r="N559" s="1">
        <v>46098.40347222222</v>
      </c>
      <c r="O559">
        <v>3</v>
      </c>
      <c r="P559" t="s">
        <v>106</v>
      </c>
      <c r="Q559" t="s">
        <v>96</v>
      </c>
      <c r="R559" t="s">
        <v>130</v>
      </c>
      <c r="S559" t="s">
        <v>98</v>
      </c>
      <c r="T559">
        <v>3000</v>
      </c>
      <c r="U559" t="s">
        <v>35</v>
      </c>
      <c r="V559" t="s">
        <v>36</v>
      </c>
      <c r="W559">
        <v>1</v>
      </c>
      <c r="X559" t="s">
        <v>37</v>
      </c>
      <c r="Y559">
        <v>5</v>
      </c>
      <c r="Z559" t="s">
        <v>117</v>
      </c>
    </row>
    <row r="560" spans="1:26" hidden="1" x14ac:dyDescent="0.2">
      <c r="A560" t="s">
        <v>1250</v>
      </c>
      <c r="B560" t="s">
        <v>1251</v>
      </c>
      <c r="C560" s="1">
        <v>46063</v>
      </c>
      <c r="D560" t="s">
        <v>114</v>
      </c>
      <c r="E560">
        <v>18</v>
      </c>
      <c r="F560">
        <v>7.7</v>
      </c>
      <c r="G560" t="s">
        <v>76</v>
      </c>
      <c r="H560" t="s">
        <v>95</v>
      </c>
      <c r="I560" s="1">
        <v>46063.349305555559</v>
      </c>
      <c r="J560" s="1">
        <v>46063.354166666664</v>
      </c>
      <c r="K560" s="1">
        <v>46063.395138888889</v>
      </c>
      <c r="L560" s="1">
        <v>46063.404861111114</v>
      </c>
      <c r="M560" s="1">
        <v>46063.438194444447</v>
      </c>
      <c r="N560" s="1">
        <v>46063.450694444444</v>
      </c>
      <c r="O560">
        <v>5</v>
      </c>
      <c r="P560" t="s">
        <v>31</v>
      </c>
      <c r="Q560" t="s">
        <v>32</v>
      </c>
      <c r="R560" t="s">
        <v>66</v>
      </c>
      <c r="S560" t="s">
        <v>34</v>
      </c>
      <c r="T560">
        <v>5000</v>
      </c>
      <c r="U560" t="s">
        <v>35</v>
      </c>
      <c r="V560" t="s">
        <v>36</v>
      </c>
      <c r="W560">
        <v>1</v>
      </c>
      <c r="X560" t="s">
        <v>37</v>
      </c>
      <c r="Y560">
        <v>5</v>
      </c>
      <c r="Z560" t="s">
        <v>46</v>
      </c>
    </row>
    <row r="561" spans="1:26" hidden="1" x14ac:dyDescent="0.2">
      <c r="A561" t="s">
        <v>1252</v>
      </c>
      <c r="B561" t="s">
        <v>1253</v>
      </c>
      <c r="C561" s="1">
        <v>46032</v>
      </c>
      <c r="D561" t="s">
        <v>254</v>
      </c>
      <c r="E561">
        <v>25</v>
      </c>
      <c r="F561">
        <v>10.5</v>
      </c>
      <c r="G561" t="s">
        <v>57</v>
      </c>
      <c r="H561" t="s">
        <v>95</v>
      </c>
      <c r="I561" s="1">
        <v>46032.258333333331</v>
      </c>
      <c r="J561" s="1">
        <v>46032.279166666667</v>
      </c>
      <c r="K561" s="1">
        <v>46032.329861111109</v>
      </c>
      <c r="L561" s="1">
        <v>46032.34375</v>
      </c>
      <c r="M561" s="1">
        <v>46032.352083333331</v>
      </c>
      <c r="N561" s="1">
        <v>46032.367361111108</v>
      </c>
      <c r="O561">
        <v>4</v>
      </c>
      <c r="P561" t="s">
        <v>115</v>
      </c>
      <c r="Q561" t="s">
        <v>43</v>
      </c>
      <c r="R561" t="s">
        <v>200</v>
      </c>
      <c r="S561" t="s">
        <v>45</v>
      </c>
      <c r="T561">
        <v>2500</v>
      </c>
      <c r="U561" t="s">
        <v>35</v>
      </c>
      <c r="V561" t="s">
        <v>36</v>
      </c>
      <c r="W561">
        <v>1</v>
      </c>
      <c r="X561" t="s">
        <v>37</v>
      </c>
      <c r="Y561">
        <v>4</v>
      </c>
      <c r="Z561" t="s">
        <v>215</v>
      </c>
    </row>
    <row r="562" spans="1:26" hidden="1" x14ac:dyDescent="0.2">
      <c r="A562" t="s">
        <v>1254</v>
      </c>
      <c r="B562" t="s">
        <v>1255</v>
      </c>
      <c r="C562" s="1">
        <v>46059</v>
      </c>
      <c r="D562" t="s">
        <v>178</v>
      </c>
      <c r="E562">
        <v>34</v>
      </c>
      <c r="F562">
        <v>6.3</v>
      </c>
      <c r="G562" t="s">
        <v>50</v>
      </c>
      <c r="H562" t="s">
        <v>51</v>
      </c>
      <c r="I562" s="1">
        <v>46059.40902777778</v>
      </c>
      <c r="J562" s="1">
        <v>46059.424305555556</v>
      </c>
      <c r="K562" s="1">
        <v>46059.477777777778</v>
      </c>
      <c r="L562" s="1">
        <v>46059.481944444444</v>
      </c>
      <c r="M562" s="1">
        <v>46059.503472222219</v>
      </c>
      <c r="N562" s="1">
        <v>46059.507638888892</v>
      </c>
      <c r="O562">
        <v>1</v>
      </c>
      <c r="P562" t="s">
        <v>37</v>
      </c>
      <c r="Q562" t="s">
        <v>69</v>
      </c>
      <c r="R562" t="s">
        <v>111</v>
      </c>
      <c r="S562" t="s">
        <v>71</v>
      </c>
      <c r="T562">
        <v>2000</v>
      </c>
      <c r="U562" t="s">
        <v>35</v>
      </c>
      <c r="V562" t="s">
        <v>36</v>
      </c>
      <c r="W562">
        <v>1</v>
      </c>
      <c r="X562" t="s">
        <v>37</v>
      </c>
      <c r="Y562">
        <v>4</v>
      </c>
      <c r="Z562" t="s">
        <v>99</v>
      </c>
    </row>
    <row r="563" spans="1:26" hidden="1" x14ac:dyDescent="0.2">
      <c r="A563" t="s">
        <v>1256</v>
      </c>
      <c r="B563" t="s">
        <v>1257</v>
      </c>
      <c r="C563" s="1">
        <v>46074</v>
      </c>
      <c r="D563" t="s">
        <v>89</v>
      </c>
      <c r="E563">
        <v>36</v>
      </c>
      <c r="F563">
        <v>8.9</v>
      </c>
      <c r="G563" t="s">
        <v>50</v>
      </c>
      <c r="H563" t="s">
        <v>167</v>
      </c>
      <c r="I563" s="1">
        <v>46074.373611111114</v>
      </c>
      <c r="J563" s="1">
        <v>46074.386805555558</v>
      </c>
      <c r="K563" s="1">
        <v>46074.4375</v>
      </c>
      <c r="L563" s="1">
        <v>46074.443055555559</v>
      </c>
      <c r="M563" s="1">
        <v>46074.46597222222</v>
      </c>
      <c r="N563" s="1">
        <v>46074.496527777781</v>
      </c>
      <c r="O563">
        <v>1</v>
      </c>
      <c r="P563" t="s">
        <v>238</v>
      </c>
      <c r="Q563" t="s">
        <v>69</v>
      </c>
      <c r="R563" t="s">
        <v>251</v>
      </c>
      <c r="S563" t="s">
        <v>71</v>
      </c>
      <c r="T563">
        <v>2000</v>
      </c>
      <c r="U563" t="s">
        <v>35</v>
      </c>
      <c r="V563" t="s">
        <v>36</v>
      </c>
      <c r="W563">
        <v>1</v>
      </c>
      <c r="X563" t="s">
        <v>37</v>
      </c>
      <c r="Y563">
        <v>5</v>
      </c>
      <c r="Z563" t="s">
        <v>46</v>
      </c>
    </row>
    <row r="564" spans="1:26" hidden="1" x14ac:dyDescent="0.2">
      <c r="A564" t="s">
        <v>1258</v>
      </c>
      <c r="B564" t="s">
        <v>1259</v>
      </c>
      <c r="C564" s="1">
        <v>46051</v>
      </c>
      <c r="D564" t="s">
        <v>126</v>
      </c>
      <c r="E564">
        <v>28</v>
      </c>
      <c r="F564">
        <v>10.5</v>
      </c>
      <c r="G564" t="s">
        <v>81</v>
      </c>
      <c r="H564" t="s">
        <v>51</v>
      </c>
      <c r="I564" s="1">
        <v>46051.415972222225</v>
      </c>
      <c r="J564" s="1">
        <v>46051.43472222222</v>
      </c>
      <c r="K564" s="1">
        <v>46051.445833333331</v>
      </c>
      <c r="L564" s="1">
        <v>46051.454861111109</v>
      </c>
      <c r="M564" s="1">
        <v>46051.496527777781</v>
      </c>
      <c r="N564" s="1">
        <v>46051.501388888886</v>
      </c>
      <c r="O564">
        <v>1</v>
      </c>
      <c r="P564" t="s">
        <v>129</v>
      </c>
      <c r="Q564" t="s">
        <v>32</v>
      </c>
      <c r="R564" t="s">
        <v>120</v>
      </c>
      <c r="S564" t="s">
        <v>34</v>
      </c>
      <c r="T564">
        <v>5000</v>
      </c>
      <c r="U564" t="s">
        <v>35</v>
      </c>
      <c r="V564" t="s">
        <v>36</v>
      </c>
      <c r="W564">
        <v>1</v>
      </c>
      <c r="X564" t="s">
        <v>37</v>
      </c>
      <c r="Y564">
        <v>4</v>
      </c>
      <c r="Z564" t="s">
        <v>61</v>
      </c>
    </row>
    <row r="565" spans="1:26" hidden="1" x14ac:dyDescent="0.2">
      <c r="A565" t="s">
        <v>1260</v>
      </c>
      <c r="B565" t="s">
        <v>1261</v>
      </c>
      <c r="C565" s="1">
        <v>46057</v>
      </c>
      <c r="D565" t="s">
        <v>114</v>
      </c>
      <c r="E565">
        <v>34</v>
      </c>
      <c r="F565">
        <v>5</v>
      </c>
      <c r="G565" t="s">
        <v>76</v>
      </c>
      <c r="H565" t="s">
        <v>42</v>
      </c>
      <c r="I565" s="1">
        <v>46057.275694444441</v>
      </c>
      <c r="J565" s="1">
        <v>46057.29583333333</v>
      </c>
      <c r="K565" s="1">
        <v>46057.354166666664</v>
      </c>
      <c r="L565" s="1">
        <v>46057.366666666669</v>
      </c>
      <c r="M565" s="1">
        <v>46057.401388888888</v>
      </c>
      <c r="N565" s="1">
        <v>46057.424305555556</v>
      </c>
      <c r="O565">
        <v>6</v>
      </c>
      <c r="P565" t="s">
        <v>31</v>
      </c>
      <c r="Q565" t="s">
        <v>82</v>
      </c>
      <c r="R565" t="s">
        <v>83</v>
      </c>
      <c r="S565" t="s">
        <v>84</v>
      </c>
      <c r="T565">
        <v>4000</v>
      </c>
      <c r="U565" t="s">
        <v>35</v>
      </c>
      <c r="V565" t="s">
        <v>36</v>
      </c>
      <c r="W565">
        <v>1</v>
      </c>
      <c r="X565" t="s">
        <v>37</v>
      </c>
      <c r="Y565">
        <v>4</v>
      </c>
      <c r="Z565" t="s">
        <v>161</v>
      </c>
    </row>
    <row r="566" spans="1:26" hidden="1" x14ac:dyDescent="0.2">
      <c r="A566" t="s">
        <v>1262</v>
      </c>
      <c r="B566" t="s">
        <v>1263</v>
      </c>
      <c r="C566" s="1">
        <v>46084</v>
      </c>
      <c r="D566" t="s">
        <v>41</v>
      </c>
      <c r="E566">
        <v>23</v>
      </c>
      <c r="F566">
        <v>9.6999999999999993</v>
      </c>
      <c r="G566" t="s">
        <v>76</v>
      </c>
      <c r="H566" t="s">
        <v>65</v>
      </c>
      <c r="I566" s="1">
        <v>46084.397916666669</v>
      </c>
      <c r="J566" s="1">
        <v>46084.40625</v>
      </c>
      <c r="K566" s="1">
        <v>46084.431250000001</v>
      </c>
      <c r="L566" s="1">
        <v>46084.436111111114</v>
      </c>
      <c r="M566" s="1">
        <v>46084.445833333331</v>
      </c>
      <c r="N566" s="1">
        <v>46084.470833333333</v>
      </c>
      <c r="O566">
        <v>1</v>
      </c>
      <c r="P566" t="s">
        <v>52</v>
      </c>
      <c r="Q566" t="s">
        <v>32</v>
      </c>
      <c r="R566" t="s">
        <v>33</v>
      </c>
      <c r="S566" t="s">
        <v>34</v>
      </c>
      <c r="T566">
        <v>5000</v>
      </c>
      <c r="U566" t="s">
        <v>35</v>
      </c>
      <c r="V566" t="s">
        <v>36</v>
      </c>
      <c r="W566">
        <v>1</v>
      </c>
      <c r="X566" t="s">
        <v>37</v>
      </c>
      <c r="Y566">
        <v>3</v>
      </c>
      <c r="Z566" t="s">
        <v>117</v>
      </c>
    </row>
    <row r="567" spans="1:26" hidden="1" x14ac:dyDescent="0.2">
      <c r="A567" t="s">
        <v>1264</v>
      </c>
      <c r="B567" t="s">
        <v>1265</v>
      </c>
      <c r="C567" s="1">
        <v>46049</v>
      </c>
      <c r="D567" t="s">
        <v>64</v>
      </c>
      <c r="E567">
        <v>24</v>
      </c>
      <c r="F567">
        <v>9.6999999999999993</v>
      </c>
      <c r="G567" t="s">
        <v>57</v>
      </c>
      <c r="H567" t="s">
        <v>42</v>
      </c>
      <c r="I567" s="1">
        <v>46049.339583333334</v>
      </c>
      <c r="J567" s="1">
        <v>46049.345138888886</v>
      </c>
      <c r="K567" s="1">
        <v>46049.363194444442</v>
      </c>
      <c r="L567" s="1">
        <v>46049.371527777781</v>
      </c>
      <c r="M567" s="1">
        <v>46049.394444444442</v>
      </c>
      <c r="N567" s="1">
        <v>46049.414583333331</v>
      </c>
      <c r="O567">
        <v>4</v>
      </c>
      <c r="P567" t="s">
        <v>37</v>
      </c>
      <c r="Q567" t="s">
        <v>69</v>
      </c>
      <c r="R567" t="s">
        <v>251</v>
      </c>
      <c r="S567" t="s">
        <v>71</v>
      </c>
      <c r="T567">
        <v>2000</v>
      </c>
      <c r="U567" t="s">
        <v>35</v>
      </c>
      <c r="V567" t="s">
        <v>36</v>
      </c>
      <c r="W567">
        <v>1</v>
      </c>
      <c r="X567" t="s">
        <v>37</v>
      </c>
      <c r="Y567">
        <v>3</v>
      </c>
      <c r="Z567" t="s">
        <v>161</v>
      </c>
    </row>
    <row r="568" spans="1:26" x14ac:dyDescent="0.2">
      <c r="A568" t="s">
        <v>1266</v>
      </c>
      <c r="B568" t="s">
        <v>1267</v>
      </c>
      <c r="C568" s="1">
        <v>46044</v>
      </c>
      <c r="D568" t="s">
        <v>94</v>
      </c>
      <c r="E568">
        <v>11</v>
      </c>
      <c r="F568">
        <v>5.2</v>
      </c>
      <c r="G568" t="s">
        <v>29</v>
      </c>
      <c r="H568" t="s">
        <v>30</v>
      </c>
      <c r="I568" s="1">
        <v>46044.269444444442</v>
      </c>
      <c r="J568" s="1">
        <v>46044.277777777781</v>
      </c>
      <c r="K568" s="1">
        <v>46044.286111111112</v>
      </c>
      <c r="L568" s="1">
        <v>46044.299305555556</v>
      </c>
      <c r="M568" s="1">
        <v>46044.313888888886</v>
      </c>
      <c r="N568" s="1">
        <v>46044.32916666667</v>
      </c>
      <c r="O568">
        <v>1</v>
      </c>
      <c r="P568" t="s">
        <v>37</v>
      </c>
      <c r="Q568" t="s">
        <v>96</v>
      </c>
      <c r="R568" t="s">
        <v>130</v>
      </c>
      <c r="S568" t="s">
        <v>98</v>
      </c>
      <c r="T568">
        <v>3000</v>
      </c>
      <c r="U568" t="s">
        <v>35</v>
      </c>
      <c r="V568" t="s">
        <v>36</v>
      </c>
      <c r="W568">
        <v>1</v>
      </c>
      <c r="X568" t="s">
        <v>37</v>
      </c>
      <c r="Y568">
        <v>2</v>
      </c>
      <c r="Z568" t="s">
        <v>131</v>
      </c>
    </row>
    <row r="569" spans="1:26" hidden="1" x14ac:dyDescent="0.2">
      <c r="A569" t="s">
        <v>1268</v>
      </c>
      <c r="B569" t="s">
        <v>1269</v>
      </c>
      <c r="C569" s="1">
        <v>46068</v>
      </c>
      <c r="D569" t="s">
        <v>181</v>
      </c>
      <c r="E569">
        <v>30</v>
      </c>
      <c r="F569">
        <v>8</v>
      </c>
      <c r="G569" t="s">
        <v>81</v>
      </c>
      <c r="H569" t="s">
        <v>167</v>
      </c>
      <c r="I569" s="1">
        <v>46068.259027777778</v>
      </c>
      <c r="J569" s="1">
        <v>46068.272222222222</v>
      </c>
      <c r="K569" s="1">
        <v>46068.302777777775</v>
      </c>
      <c r="L569" s="1">
        <v>46068.313888888886</v>
      </c>
      <c r="M569" s="1">
        <v>46068.324999999997</v>
      </c>
      <c r="N569" s="1">
        <v>46068.330555555556</v>
      </c>
      <c r="O569">
        <v>6</v>
      </c>
      <c r="P569" t="s">
        <v>37</v>
      </c>
      <c r="Q569" t="s">
        <v>82</v>
      </c>
      <c r="R569" t="s">
        <v>83</v>
      </c>
      <c r="S569" t="s">
        <v>84</v>
      </c>
      <c r="T569">
        <v>4000</v>
      </c>
      <c r="U569" t="s">
        <v>91</v>
      </c>
      <c r="V569" t="s">
        <v>36</v>
      </c>
      <c r="W569">
        <v>1</v>
      </c>
      <c r="X569" t="s">
        <v>37</v>
      </c>
      <c r="Y569">
        <v>3</v>
      </c>
      <c r="Z569" t="s">
        <v>296</v>
      </c>
    </row>
    <row r="570" spans="1:26" hidden="1" x14ac:dyDescent="0.2">
      <c r="A570" t="s">
        <v>1270</v>
      </c>
      <c r="B570" t="s">
        <v>1271</v>
      </c>
      <c r="C570" s="1">
        <v>46058</v>
      </c>
      <c r="D570" t="s">
        <v>285</v>
      </c>
      <c r="E570">
        <v>38</v>
      </c>
      <c r="F570">
        <v>7.5</v>
      </c>
      <c r="G570" t="s">
        <v>29</v>
      </c>
      <c r="H570" t="s">
        <v>30</v>
      </c>
      <c r="I570" s="1">
        <v>46058.293749999997</v>
      </c>
      <c r="J570" s="1">
        <v>46058.299305555556</v>
      </c>
      <c r="K570" s="1">
        <v>46058.325694444444</v>
      </c>
      <c r="L570" s="1">
        <v>46058.331250000003</v>
      </c>
      <c r="M570" s="1">
        <v>46058.340277777781</v>
      </c>
      <c r="N570" s="1">
        <v>46058.345138888886</v>
      </c>
      <c r="O570">
        <v>5</v>
      </c>
      <c r="P570" t="s">
        <v>238</v>
      </c>
      <c r="Q570" t="s">
        <v>69</v>
      </c>
      <c r="R570" t="s">
        <v>70</v>
      </c>
      <c r="S570" t="s">
        <v>71</v>
      </c>
      <c r="T570">
        <v>2000</v>
      </c>
      <c r="U570" t="s">
        <v>35</v>
      </c>
      <c r="V570" t="s">
        <v>36</v>
      </c>
      <c r="W570">
        <v>1</v>
      </c>
      <c r="X570" t="s">
        <v>37</v>
      </c>
      <c r="Y570">
        <v>5</v>
      </c>
      <c r="Z570" t="s">
        <v>38</v>
      </c>
    </row>
    <row r="571" spans="1:26" hidden="1" x14ac:dyDescent="0.2">
      <c r="A571" t="s">
        <v>1272</v>
      </c>
      <c r="B571" t="s">
        <v>1273</v>
      </c>
      <c r="C571" s="1">
        <v>46073</v>
      </c>
      <c r="D571" t="s">
        <v>220</v>
      </c>
      <c r="E571">
        <v>22</v>
      </c>
      <c r="F571">
        <v>8</v>
      </c>
      <c r="G571" t="s">
        <v>57</v>
      </c>
      <c r="H571" t="s">
        <v>42</v>
      </c>
      <c r="I571" s="1">
        <v>46073.286111111112</v>
      </c>
      <c r="J571" s="1">
        <v>46073.297222222223</v>
      </c>
      <c r="K571" s="1">
        <v>46073.32916666667</v>
      </c>
      <c r="L571" s="1">
        <v>46073.338888888888</v>
      </c>
      <c r="M571" s="1">
        <v>46073.37777777778</v>
      </c>
      <c r="N571" s="1">
        <v>46073.381249999999</v>
      </c>
      <c r="O571">
        <v>1</v>
      </c>
      <c r="P571" t="s">
        <v>52</v>
      </c>
      <c r="Q571" t="s">
        <v>32</v>
      </c>
      <c r="R571" t="s">
        <v>120</v>
      </c>
      <c r="S571" t="s">
        <v>34</v>
      </c>
      <c r="T571">
        <v>5000</v>
      </c>
      <c r="U571" t="s">
        <v>35</v>
      </c>
      <c r="V571" t="s">
        <v>36</v>
      </c>
      <c r="W571">
        <v>1</v>
      </c>
      <c r="X571" t="s">
        <v>37</v>
      </c>
      <c r="Y571">
        <v>5</v>
      </c>
      <c r="Z571" t="s">
        <v>38</v>
      </c>
    </row>
    <row r="572" spans="1:26" hidden="1" x14ac:dyDescent="0.2">
      <c r="A572" t="s">
        <v>1274</v>
      </c>
      <c r="B572" t="s">
        <v>1275</v>
      </c>
      <c r="C572" s="1">
        <v>46044</v>
      </c>
      <c r="D572" t="s">
        <v>289</v>
      </c>
      <c r="E572">
        <v>16</v>
      </c>
      <c r="F572">
        <v>6.7</v>
      </c>
      <c r="G572" t="s">
        <v>50</v>
      </c>
      <c r="H572" t="s">
        <v>95</v>
      </c>
      <c r="I572" s="1">
        <v>46044.252083333333</v>
      </c>
      <c r="J572" s="1">
        <v>46044.270138888889</v>
      </c>
      <c r="K572" s="1">
        <v>46044.318749999999</v>
      </c>
      <c r="L572" s="1">
        <v>46044.331250000003</v>
      </c>
      <c r="M572" s="1">
        <v>46044.352777777778</v>
      </c>
      <c r="N572" s="1">
        <v>46044.356944444444</v>
      </c>
      <c r="O572">
        <v>2</v>
      </c>
      <c r="P572" t="s">
        <v>37</v>
      </c>
      <c r="Q572" t="s">
        <v>32</v>
      </c>
      <c r="R572" t="s">
        <v>278</v>
      </c>
      <c r="S572" t="s">
        <v>34</v>
      </c>
      <c r="T572">
        <v>5000</v>
      </c>
      <c r="U572" t="s">
        <v>35</v>
      </c>
      <c r="V572" t="s">
        <v>36</v>
      </c>
      <c r="W572">
        <v>1</v>
      </c>
      <c r="X572" t="s">
        <v>37</v>
      </c>
      <c r="Y572">
        <v>5</v>
      </c>
      <c r="Z572" t="s">
        <v>102</v>
      </c>
    </row>
    <row r="573" spans="1:26" hidden="1" x14ac:dyDescent="0.2">
      <c r="A573" t="s">
        <v>1276</v>
      </c>
      <c r="B573" t="s">
        <v>1277</v>
      </c>
      <c r="C573" s="1">
        <v>46068</v>
      </c>
      <c r="D573" t="s">
        <v>186</v>
      </c>
      <c r="E573">
        <v>36</v>
      </c>
      <c r="F573">
        <v>11</v>
      </c>
      <c r="G573" t="s">
        <v>50</v>
      </c>
      <c r="H573" t="s">
        <v>51</v>
      </c>
      <c r="I573" s="1">
        <v>46068.257638888892</v>
      </c>
      <c r="J573" s="1">
        <v>46068.261111111111</v>
      </c>
      <c r="K573" s="1">
        <v>46068.318055555559</v>
      </c>
      <c r="L573" s="1">
        <v>46068.327777777777</v>
      </c>
      <c r="M573" s="1">
        <v>46068.344444444447</v>
      </c>
      <c r="N573" s="1">
        <v>46068.370833333334</v>
      </c>
      <c r="O573">
        <v>5</v>
      </c>
      <c r="P573" t="s">
        <v>106</v>
      </c>
      <c r="Q573" t="s">
        <v>69</v>
      </c>
      <c r="R573" t="s">
        <v>111</v>
      </c>
      <c r="S573" t="s">
        <v>71</v>
      </c>
      <c r="T573">
        <v>2000</v>
      </c>
      <c r="U573" t="s">
        <v>35</v>
      </c>
      <c r="V573" t="s">
        <v>36</v>
      </c>
      <c r="W573">
        <v>1</v>
      </c>
      <c r="X573" t="s">
        <v>37</v>
      </c>
      <c r="Y573">
        <v>5</v>
      </c>
      <c r="Z573" t="s">
        <v>99</v>
      </c>
    </row>
    <row r="574" spans="1:26" hidden="1" x14ac:dyDescent="0.2">
      <c r="A574" t="s">
        <v>1278</v>
      </c>
      <c r="B574" t="s">
        <v>1279</v>
      </c>
      <c r="C574" s="1">
        <v>46085</v>
      </c>
      <c r="D574" t="s">
        <v>233</v>
      </c>
      <c r="E574">
        <v>21</v>
      </c>
      <c r="F574">
        <v>9.3000000000000007</v>
      </c>
      <c r="G574" t="s">
        <v>76</v>
      </c>
      <c r="H574" t="s">
        <v>167</v>
      </c>
      <c r="I574" s="1">
        <v>46085.331250000003</v>
      </c>
      <c r="J574" s="1">
        <v>46085.334722222222</v>
      </c>
      <c r="K574" s="1">
        <v>46085.372916666667</v>
      </c>
      <c r="L574" s="1">
        <v>46085.382638888892</v>
      </c>
      <c r="M574" s="1">
        <v>46085.42083333333</v>
      </c>
      <c r="N574" s="1">
        <v>46085.438888888886</v>
      </c>
      <c r="O574">
        <v>5</v>
      </c>
      <c r="P574" t="s">
        <v>37</v>
      </c>
      <c r="Q574" t="s">
        <v>96</v>
      </c>
      <c r="R574" t="s">
        <v>130</v>
      </c>
      <c r="S574" t="s">
        <v>98</v>
      </c>
      <c r="T574">
        <v>3000</v>
      </c>
      <c r="U574" t="s">
        <v>35</v>
      </c>
      <c r="V574" t="s">
        <v>59</v>
      </c>
      <c r="W574">
        <v>4</v>
      </c>
      <c r="X574" t="s">
        <v>116</v>
      </c>
      <c r="Y574">
        <v>3</v>
      </c>
      <c r="Z574" t="s">
        <v>131</v>
      </c>
    </row>
    <row r="575" spans="1:26" hidden="1" x14ac:dyDescent="0.2">
      <c r="A575" t="s">
        <v>1280</v>
      </c>
      <c r="B575" t="s">
        <v>1281</v>
      </c>
      <c r="C575" s="1">
        <v>46025</v>
      </c>
      <c r="D575" t="s">
        <v>123</v>
      </c>
      <c r="E575">
        <v>14</v>
      </c>
      <c r="F575">
        <v>6.9</v>
      </c>
      <c r="G575" t="s">
        <v>29</v>
      </c>
      <c r="H575" t="s">
        <v>95</v>
      </c>
      <c r="I575" s="1">
        <v>46025.352083333331</v>
      </c>
      <c r="J575" s="1">
        <v>46025.371527777781</v>
      </c>
      <c r="K575" s="1">
        <v>46025.416666666664</v>
      </c>
      <c r="L575" s="1">
        <v>46025.427777777775</v>
      </c>
      <c r="M575" s="1">
        <v>46025.443749999999</v>
      </c>
      <c r="N575" s="1">
        <v>46025.450694444444</v>
      </c>
      <c r="O575">
        <v>2</v>
      </c>
      <c r="P575" t="s">
        <v>37</v>
      </c>
      <c r="Q575" t="s">
        <v>43</v>
      </c>
      <c r="R575" t="s">
        <v>158</v>
      </c>
      <c r="S575" t="s">
        <v>45</v>
      </c>
      <c r="T575">
        <v>2500</v>
      </c>
      <c r="U575" t="s">
        <v>35</v>
      </c>
      <c r="V575" t="s">
        <v>36</v>
      </c>
      <c r="W575">
        <v>1</v>
      </c>
      <c r="X575" t="s">
        <v>37</v>
      </c>
      <c r="Y575">
        <v>3</v>
      </c>
      <c r="Z575" t="s">
        <v>134</v>
      </c>
    </row>
    <row r="576" spans="1:26" hidden="1" x14ac:dyDescent="0.2">
      <c r="A576" t="s">
        <v>1282</v>
      </c>
      <c r="B576" t="s">
        <v>1283</v>
      </c>
      <c r="C576" s="1">
        <v>46092</v>
      </c>
      <c r="D576" t="s">
        <v>145</v>
      </c>
      <c r="E576">
        <v>16</v>
      </c>
      <c r="F576">
        <v>6.1</v>
      </c>
      <c r="G576" t="s">
        <v>76</v>
      </c>
      <c r="H576" t="s">
        <v>167</v>
      </c>
      <c r="I576" s="1">
        <v>46092.319444444445</v>
      </c>
      <c r="J576" s="1">
        <v>46092.335416666669</v>
      </c>
      <c r="K576" s="1">
        <v>46092.379166666666</v>
      </c>
      <c r="L576" s="1">
        <v>46092.388194444444</v>
      </c>
      <c r="M576" s="1">
        <v>46092.408333333333</v>
      </c>
      <c r="N576" s="1">
        <v>46092.420138888891</v>
      </c>
      <c r="O576">
        <v>1</v>
      </c>
      <c r="P576" t="s">
        <v>37</v>
      </c>
      <c r="Q576" t="s">
        <v>43</v>
      </c>
      <c r="R576" t="s">
        <v>44</v>
      </c>
      <c r="S576" t="s">
        <v>45</v>
      </c>
      <c r="T576">
        <v>2500</v>
      </c>
      <c r="U576" t="s">
        <v>35</v>
      </c>
      <c r="V576" t="s">
        <v>59</v>
      </c>
      <c r="W576">
        <v>1</v>
      </c>
      <c r="X576" t="s">
        <v>193</v>
      </c>
      <c r="Y576">
        <v>5</v>
      </c>
      <c r="Z576" t="s">
        <v>215</v>
      </c>
    </row>
    <row r="577" spans="1:26" hidden="1" x14ac:dyDescent="0.2">
      <c r="A577" t="s">
        <v>1284</v>
      </c>
      <c r="B577" t="s">
        <v>1285</v>
      </c>
      <c r="C577" s="1">
        <v>46059</v>
      </c>
      <c r="D577" t="s">
        <v>28</v>
      </c>
      <c r="E577">
        <v>14</v>
      </c>
      <c r="F577">
        <v>7.7</v>
      </c>
      <c r="G577" t="s">
        <v>57</v>
      </c>
      <c r="H577" t="s">
        <v>65</v>
      </c>
      <c r="I577" s="1">
        <v>46059.301388888889</v>
      </c>
      <c r="J577" s="1">
        <v>46059.318055555559</v>
      </c>
      <c r="K577" s="1">
        <v>46059.374305555553</v>
      </c>
      <c r="L577" s="1">
        <v>46059.381249999999</v>
      </c>
      <c r="M577" s="1">
        <v>46059.401388888888</v>
      </c>
      <c r="N577" s="1">
        <v>46059.426388888889</v>
      </c>
      <c r="O577">
        <v>3</v>
      </c>
      <c r="P577" t="s">
        <v>129</v>
      </c>
      <c r="Q577" t="s">
        <v>32</v>
      </c>
      <c r="R577" t="s">
        <v>53</v>
      </c>
      <c r="S577" t="s">
        <v>34</v>
      </c>
      <c r="T577">
        <v>5000</v>
      </c>
      <c r="U577" t="s">
        <v>35</v>
      </c>
      <c r="V577" t="s">
        <v>36</v>
      </c>
      <c r="W577">
        <v>1</v>
      </c>
      <c r="X577" t="s">
        <v>37</v>
      </c>
      <c r="Y577">
        <v>4</v>
      </c>
      <c r="Z577" t="s">
        <v>215</v>
      </c>
    </row>
    <row r="578" spans="1:26" hidden="1" x14ac:dyDescent="0.2">
      <c r="A578" t="s">
        <v>1286</v>
      </c>
      <c r="B578" t="s">
        <v>1287</v>
      </c>
      <c r="C578" s="1">
        <v>46029</v>
      </c>
      <c r="D578" t="s">
        <v>186</v>
      </c>
      <c r="E578">
        <v>32</v>
      </c>
      <c r="F578">
        <v>6.8</v>
      </c>
      <c r="G578" t="s">
        <v>29</v>
      </c>
      <c r="H578" t="s">
        <v>51</v>
      </c>
      <c r="I578" s="1">
        <v>46029.294444444444</v>
      </c>
      <c r="J578" s="1">
        <v>46029.300694444442</v>
      </c>
      <c r="K578" s="1">
        <v>46029.338194444441</v>
      </c>
      <c r="L578" s="1">
        <v>46029.347916666666</v>
      </c>
      <c r="M578" s="1">
        <v>46029.38958333333</v>
      </c>
      <c r="N578" s="1">
        <v>46029.415277777778</v>
      </c>
      <c r="O578">
        <v>6</v>
      </c>
      <c r="P578" t="s">
        <v>37</v>
      </c>
      <c r="Q578" t="s">
        <v>96</v>
      </c>
      <c r="R578" t="s">
        <v>90</v>
      </c>
      <c r="S578" t="s">
        <v>98</v>
      </c>
      <c r="T578">
        <v>3000</v>
      </c>
      <c r="U578" t="s">
        <v>35</v>
      </c>
      <c r="V578" t="s">
        <v>59</v>
      </c>
      <c r="W578">
        <v>3</v>
      </c>
      <c r="X578" t="s">
        <v>85</v>
      </c>
      <c r="Y578">
        <v>5</v>
      </c>
      <c r="Z578" t="s">
        <v>54</v>
      </c>
    </row>
    <row r="579" spans="1:26" hidden="1" x14ac:dyDescent="0.2">
      <c r="A579" t="s">
        <v>1288</v>
      </c>
      <c r="B579" t="s">
        <v>1289</v>
      </c>
      <c r="C579" s="1">
        <v>46097</v>
      </c>
      <c r="D579" t="s">
        <v>171</v>
      </c>
      <c r="E579">
        <v>19</v>
      </c>
      <c r="F579">
        <v>4.3</v>
      </c>
      <c r="G579" t="s">
        <v>76</v>
      </c>
      <c r="H579" t="s">
        <v>95</v>
      </c>
      <c r="I579" s="1">
        <v>46097.393750000003</v>
      </c>
      <c r="J579" s="1">
        <v>46097.411805555559</v>
      </c>
      <c r="K579" s="1">
        <v>46097.452777777777</v>
      </c>
      <c r="L579" s="1">
        <v>46097.465277777781</v>
      </c>
      <c r="M579" s="1">
        <v>46097.489583333336</v>
      </c>
      <c r="N579" s="1">
        <v>46097.49722222222</v>
      </c>
      <c r="O579">
        <v>3</v>
      </c>
      <c r="P579" t="s">
        <v>37</v>
      </c>
      <c r="Q579" t="s">
        <v>32</v>
      </c>
      <c r="R579" t="s">
        <v>33</v>
      </c>
      <c r="S579" t="s">
        <v>34</v>
      </c>
      <c r="T579">
        <v>5000</v>
      </c>
      <c r="U579" t="s">
        <v>35</v>
      </c>
      <c r="V579" t="s">
        <v>36</v>
      </c>
      <c r="W579">
        <v>1</v>
      </c>
      <c r="X579" t="s">
        <v>37</v>
      </c>
      <c r="Y579">
        <v>4</v>
      </c>
      <c r="Z579" t="s">
        <v>86</v>
      </c>
    </row>
    <row r="580" spans="1:26" hidden="1" x14ac:dyDescent="0.2">
      <c r="A580" t="s">
        <v>1290</v>
      </c>
      <c r="B580" t="s">
        <v>1291</v>
      </c>
      <c r="C580" s="1">
        <v>46097</v>
      </c>
      <c r="D580" t="s">
        <v>123</v>
      </c>
      <c r="E580">
        <v>13</v>
      </c>
      <c r="F580">
        <v>7.3</v>
      </c>
      <c r="G580" t="s">
        <v>57</v>
      </c>
      <c r="H580" t="s">
        <v>167</v>
      </c>
      <c r="I580" s="1">
        <v>46097.304166666669</v>
      </c>
      <c r="J580" s="1">
        <v>46097.309027777781</v>
      </c>
      <c r="K580" s="1">
        <v>46097.342361111114</v>
      </c>
      <c r="L580" s="1">
        <v>46097.355555555558</v>
      </c>
      <c r="M580" s="1">
        <v>46097.386111111111</v>
      </c>
      <c r="N580" s="1">
        <v>46097.397222222222</v>
      </c>
      <c r="O580">
        <v>4</v>
      </c>
      <c r="P580" t="s">
        <v>37</v>
      </c>
      <c r="Q580" t="s">
        <v>82</v>
      </c>
      <c r="R580" t="s">
        <v>33</v>
      </c>
      <c r="S580" t="s">
        <v>84</v>
      </c>
      <c r="T580">
        <v>4000</v>
      </c>
      <c r="U580" t="s">
        <v>35</v>
      </c>
      <c r="V580" t="s">
        <v>36</v>
      </c>
      <c r="W580">
        <v>1</v>
      </c>
      <c r="X580" t="s">
        <v>37</v>
      </c>
      <c r="Y580">
        <v>4</v>
      </c>
      <c r="Z580" t="s">
        <v>38</v>
      </c>
    </row>
    <row r="581" spans="1:26" hidden="1" x14ac:dyDescent="0.2">
      <c r="A581" t="s">
        <v>1292</v>
      </c>
      <c r="B581" t="s">
        <v>1293</v>
      </c>
      <c r="C581" s="1">
        <v>46087</v>
      </c>
      <c r="D581" t="s">
        <v>171</v>
      </c>
      <c r="E581">
        <v>27</v>
      </c>
      <c r="F581">
        <v>7.4</v>
      </c>
      <c r="G581" t="s">
        <v>50</v>
      </c>
      <c r="H581" t="s">
        <v>157</v>
      </c>
      <c r="I581" s="1">
        <v>46087.331944444442</v>
      </c>
      <c r="J581" s="1">
        <v>46087.335416666669</v>
      </c>
      <c r="K581" s="1">
        <v>46087.39166666667</v>
      </c>
      <c r="L581" s="1">
        <v>46087.395138888889</v>
      </c>
      <c r="M581" s="1">
        <v>46087.436111111114</v>
      </c>
      <c r="N581" s="1">
        <v>46087.457638888889</v>
      </c>
      <c r="O581">
        <v>1</v>
      </c>
      <c r="P581" t="s">
        <v>37</v>
      </c>
      <c r="Q581" t="s">
        <v>96</v>
      </c>
      <c r="R581" t="s">
        <v>97</v>
      </c>
      <c r="S581" t="s">
        <v>98</v>
      </c>
      <c r="T581">
        <v>3000</v>
      </c>
      <c r="U581" t="s">
        <v>35</v>
      </c>
      <c r="V581" t="s">
        <v>36</v>
      </c>
      <c r="W581">
        <v>1</v>
      </c>
      <c r="X581" t="s">
        <v>37</v>
      </c>
      <c r="Y581">
        <v>3</v>
      </c>
      <c r="Z581" t="s">
        <v>131</v>
      </c>
    </row>
    <row r="582" spans="1:26" hidden="1" x14ac:dyDescent="0.2">
      <c r="A582" t="s">
        <v>1294</v>
      </c>
      <c r="B582" t="s">
        <v>1295</v>
      </c>
      <c r="C582" s="1">
        <v>46039</v>
      </c>
      <c r="D582" t="s">
        <v>80</v>
      </c>
      <c r="E582">
        <v>8</v>
      </c>
      <c r="F582">
        <v>10</v>
      </c>
      <c r="G582" t="s">
        <v>50</v>
      </c>
      <c r="H582" t="s">
        <v>95</v>
      </c>
      <c r="I582" s="1">
        <v>46039.321527777778</v>
      </c>
      <c r="J582" s="1">
        <v>46039.339583333334</v>
      </c>
      <c r="K582" s="1">
        <v>46039.34652777778</v>
      </c>
      <c r="L582" s="1">
        <v>46039.359722222223</v>
      </c>
      <c r="M582" s="1">
        <v>46039.4</v>
      </c>
      <c r="N582" s="1">
        <v>46039.426388888889</v>
      </c>
      <c r="O582">
        <v>4</v>
      </c>
      <c r="P582" t="s">
        <v>37</v>
      </c>
      <c r="Q582" t="s">
        <v>69</v>
      </c>
      <c r="R582" t="s">
        <v>251</v>
      </c>
      <c r="S582" t="s">
        <v>71</v>
      </c>
      <c r="T582">
        <v>2000</v>
      </c>
      <c r="U582" t="s">
        <v>35</v>
      </c>
      <c r="V582" t="s">
        <v>36</v>
      </c>
      <c r="W582">
        <v>1</v>
      </c>
      <c r="X582" t="s">
        <v>37</v>
      </c>
      <c r="Y582">
        <v>5</v>
      </c>
      <c r="Z582" t="s">
        <v>117</v>
      </c>
    </row>
    <row r="583" spans="1:26" hidden="1" x14ac:dyDescent="0.2">
      <c r="A583" t="s">
        <v>1296</v>
      </c>
      <c r="B583" t="s">
        <v>1297</v>
      </c>
      <c r="C583" s="1">
        <v>46099</v>
      </c>
      <c r="D583" t="s">
        <v>28</v>
      </c>
      <c r="E583">
        <v>35</v>
      </c>
      <c r="F583">
        <v>9.5</v>
      </c>
      <c r="G583" t="s">
        <v>29</v>
      </c>
      <c r="H583" t="s">
        <v>51</v>
      </c>
      <c r="I583" s="1">
        <v>46099.381249999999</v>
      </c>
      <c r="J583" s="1">
        <v>46099.397222222222</v>
      </c>
      <c r="K583" s="1">
        <v>46099.449305555558</v>
      </c>
      <c r="L583" s="1">
        <v>46099.453472222223</v>
      </c>
      <c r="M583" s="1">
        <v>46099.490972222222</v>
      </c>
      <c r="N583" s="1">
        <v>46099.503472222219</v>
      </c>
      <c r="O583">
        <v>5</v>
      </c>
      <c r="P583" t="s">
        <v>52</v>
      </c>
      <c r="Q583" t="s">
        <v>96</v>
      </c>
      <c r="R583" t="s">
        <v>130</v>
      </c>
      <c r="S583" t="s">
        <v>98</v>
      </c>
      <c r="T583">
        <v>3000</v>
      </c>
      <c r="U583" t="s">
        <v>91</v>
      </c>
      <c r="V583" t="s">
        <v>36</v>
      </c>
      <c r="W583">
        <v>1</v>
      </c>
      <c r="X583" t="s">
        <v>37</v>
      </c>
      <c r="Y583">
        <v>5</v>
      </c>
      <c r="Z583" t="s">
        <v>134</v>
      </c>
    </row>
    <row r="584" spans="1:26" hidden="1" x14ac:dyDescent="0.2">
      <c r="A584" t="s">
        <v>1298</v>
      </c>
      <c r="B584" t="s">
        <v>1299</v>
      </c>
      <c r="C584" s="1">
        <v>46061</v>
      </c>
      <c r="D584" t="s">
        <v>105</v>
      </c>
      <c r="E584">
        <v>36</v>
      </c>
      <c r="F584">
        <v>9</v>
      </c>
      <c r="G584" t="s">
        <v>57</v>
      </c>
      <c r="H584" t="s">
        <v>51</v>
      </c>
      <c r="I584" s="1">
        <v>46061.261805555558</v>
      </c>
      <c r="J584" s="1">
        <v>46061.265277777777</v>
      </c>
      <c r="K584" s="1">
        <v>46061.285416666666</v>
      </c>
      <c r="L584" s="1">
        <v>46061.290972222225</v>
      </c>
      <c r="M584" s="1">
        <v>46061.320833333331</v>
      </c>
      <c r="N584" s="1">
        <v>46061.328472222223</v>
      </c>
      <c r="O584">
        <v>2</v>
      </c>
      <c r="P584" t="s">
        <v>115</v>
      </c>
      <c r="Q584" t="s">
        <v>96</v>
      </c>
      <c r="R584" t="s">
        <v>90</v>
      </c>
      <c r="S584" t="s">
        <v>98</v>
      </c>
      <c r="T584">
        <v>3000</v>
      </c>
      <c r="U584" t="s">
        <v>35</v>
      </c>
      <c r="V584" t="s">
        <v>36</v>
      </c>
      <c r="W584">
        <v>1</v>
      </c>
      <c r="X584" t="s">
        <v>37</v>
      </c>
      <c r="Y584">
        <v>4</v>
      </c>
      <c r="Z584" t="s">
        <v>86</v>
      </c>
    </row>
    <row r="585" spans="1:26" hidden="1" x14ac:dyDescent="0.2">
      <c r="A585" t="s">
        <v>1300</v>
      </c>
      <c r="B585" t="s">
        <v>1301</v>
      </c>
      <c r="C585" s="1">
        <v>46061</v>
      </c>
      <c r="D585" t="s">
        <v>220</v>
      </c>
      <c r="E585">
        <v>20</v>
      </c>
      <c r="F585">
        <v>10.7</v>
      </c>
      <c r="G585" t="s">
        <v>81</v>
      </c>
      <c r="H585" t="s">
        <v>167</v>
      </c>
      <c r="I585" s="1">
        <v>46061.395833333336</v>
      </c>
      <c r="J585" s="1">
        <v>46061.412499999999</v>
      </c>
      <c r="K585" s="1">
        <v>46061.458333333336</v>
      </c>
      <c r="L585" s="1">
        <v>46061.463888888888</v>
      </c>
      <c r="M585" s="1">
        <v>46061.489583333336</v>
      </c>
      <c r="N585" s="1">
        <v>46061.499305555553</v>
      </c>
      <c r="O585">
        <v>6</v>
      </c>
      <c r="P585" t="s">
        <v>106</v>
      </c>
      <c r="Q585" t="s">
        <v>43</v>
      </c>
      <c r="R585" t="s">
        <v>158</v>
      </c>
      <c r="S585" t="s">
        <v>45</v>
      </c>
      <c r="T585">
        <v>2500</v>
      </c>
      <c r="U585" t="s">
        <v>35</v>
      </c>
      <c r="V585" t="s">
        <v>36</v>
      </c>
      <c r="W585">
        <v>1</v>
      </c>
      <c r="X585" t="s">
        <v>37</v>
      </c>
      <c r="Y585">
        <v>3</v>
      </c>
      <c r="Z585" t="s">
        <v>38</v>
      </c>
    </row>
    <row r="586" spans="1:26" hidden="1" x14ac:dyDescent="0.2">
      <c r="A586" t="s">
        <v>1302</v>
      </c>
      <c r="B586" t="s">
        <v>1303</v>
      </c>
      <c r="C586" s="1">
        <v>46048</v>
      </c>
      <c r="D586" t="s">
        <v>186</v>
      </c>
      <c r="E586">
        <v>23</v>
      </c>
      <c r="F586">
        <v>9.3000000000000007</v>
      </c>
      <c r="G586" t="s">
        <v>81</v>
      </c>
      <c r="H586" t="s">
        <v>157</v>
      </c>
      <c r="I586" s="1">
        <v>46048.31527777778</v>
      </c>
      <c r="J586" s="1">
        <v>46048.333333333336</v>
      </c>
      <c r="K586" s="1">
        <v>46048.364583333336</v>
      </c>
      <c r="L586" s="1">
        <v>46048.376388888886</v>
      </c>
      <c r="M586" s="1">
        <v>46048.4</v>
      </c>
      <c r="N586" s="1">
        <v>46048.407638888886</v>
      </c>
      <c r="O586">
        <v>4</v>
      </c>
      <c r="P586" t="s">
        <v>37</v>
      </c>
      <c r="Q586" t="s">
        <v>43</v>
      </c>
      <c r="R586" t="s">
        <v>58</v>
      </c>
      <c r="S586" t="s">
        <v>45</v>
      </c>
      <c r="T586">
        <v>2500</v>
      </c>
      <c r="U586" t="s">
        <v>35</v>
      </c>
      <c r="V586" t="s">
        <v>36</v>
      </c>
      <c r="W586">
        <v>1</v>
      </c>
      <c r="X586" t="s">
        <v>37</v>
      </c>
      <c r="Y586">
        <v>4</v>
      </c>
      <c r="Z586" t="s">
        <v>215</v>
      </c>
    </row>
    <row r="587" spans="1:26" hidden="1" x14ac:dyDescent="0.2">
      <c r="A587" t="s">
        <v>1304</v>
      </c>
      <c r="B587" t="s">
        <v>1305</v>
      </c>
      <c r="C587" s="1">
        <v>46024</v>
      </c>
      <c r="D587" t="s">
        <v>254</v>
      </c>
      <c r="E587">
        <v>33</v>
      </c>
      <c r="F587">
        <v>4.3</v>
      </c>
      <c r="G587" t="s">
        <v>76</v>
      </c>
      <c r="H587" t="s">
        <v>95</v>
      </c>
      <c r="I587" s="1">
        <v>46024.332638888889</v>
      </c>
      <c r="J587" s="1">
        <v>46024.352083333331</v>
      </c>
      <c r="K587" s="1">
        <v>46024.399305555555</v>
      </c>
      <c r="L587" s="1">
        <v>46024.408333333333</v>
      </c>
      <c r="M587" s="1">
        <v>46024.415277777778</v>
      </c>
      <c r="N587" s="1">
        <v>46024.425694444442</v>
      </c>
      <c r="O587">
        <v>3</v>
      </c>
      <c r="P587" t="s">
        <v>37</v>
      </c>
      <c r="Q587" t="s">
        <v>96</v>
      </c>
      <c r="R587" t="s">
        <v>90</v>
      </c>
      <c r="S587" t="s">
        <v>98</v>
      </c>
      <c r="T587">
        <v>3000</v>
      </c>
      <c r="U587" t="s">
        <v>35</v>
      </c>
      <c r="V587" t="s">
        <v>36</v>
      </c>
      <c r="W587">
        <v>1</v>
      </c>
      <c r="X587" t="s">
        <v>37</v>
      </c>
      <c r="Y587">
        <v>5</v>
      </c>
      <c r="Z587" t="s">
        <v>131</v>
      </c>
    </row>
    <row r="588" spans="1:26" hidden="1" x14ac:dyDescent="0.2">
      <c r="A588" t="s">
        <v>1306</v>
      </c>
      <c r="B588" t="s">
        <v>1307</v>
      </c>
      <c r="C588" s="1">
        <v>46088</v>
      </c>
      <c r="D588" t="s">
        <v>89</v>
      </c>
      <c r="E588">
        <v>14</v>
      </c>
      <c r="F588">
        <v>6.8</v>
      </c>
      <c r="G588" t="s">
        <v>81</v>
      </c>
      <c r="H588" t="s">
        <v>167</v>
      </c>
      <c r="I588" s="1">
        <v>46088.331250000003</v>
      </c>
      <c r="J588" s="1">
        <v>46088.35</v>
      </c>
      <c r="K588" s="1">
        <v>46088.368750000001</v>
      </c>
      <c r="L588" s="1">
        <v>46088.37777777778</v>
      </c>
      <c r="M588" s="1">
        <v>46088.419444444444</v>
      </c>
      <c r="N588" s="1">
        <v>46088.436111111114</v>
      </c>
      <c r="O588">
        <v>4</v>
      </c>
      <c r="P588" t="s">
        <v>52</v>
      </c>
      <c r="Q588" t="s">
        <v>82</v>
      </c>
      <c r="R588" t="s">
        <v>211</v>
      </c>
      <c r="S588" t="s">
        <v>84</v>
      </c>
      <c r="T588">
        <v>4000</v>
      </c>
      <c r="U588" t="s">
        <v>35</v>
      </c>
      <c r="V588" t="s">
        <v>59</v>
      </c>
      <c r="W588">
        <v>2</v>
      </c>
      <c r="X588" t="s">
        <v>374</v>
      </c>
      <c r="Y588">
        <v>5</v>
      </c>
      <c r="Z588" t="s">
        <v>131</v>
      </c>
    </row>
    <row r="589" spans="1:26" hidden="1" x14ac:dyDescent="0.2">
      <c r="A589" t="s">
        <v>1308</v>
      </c>
      <c r="B589" t="s">
        <v>1309</v>
      </c>
      <c r="C589" s="1">
        <v>46090</v>
      </c>
      <c r="D589" t="s">
        <v>49</v>
      </c>
      <c r="E589">
        <v>25</v>
      </c>
      <c r="F589">
        <v>8.6999999999999993</v>
      </c>
      <c r="G589" t="s">
        <v>81</v>
      </c>
      <c r="H589" t="s">
        <v>167</v>
      </c>
      <c r="I589" s="1">
        <v>46090.353472222225</v>
      </c>
      <c r="J589" s="1">
        <v>46090.370138888888</v>
      </c>
      <c r="K589" s="1">
        <v>46090.412499999999</v>
      </c>
      <c r="L589" s="1">
        <v>46090.417361111111</v>
      </c>
      <c r="M589" s="1">
        <v>46090.425694444442</v>
      </c>
      <c r="N589" s="1">
        <v>46090.429861111108</v>
      </c>
      <c r="O589">
        <v>7</v>
      </c>
      <c r="P589" t="s">
        <v>37</v>
      </c>
      <c r="Q589" t="s">
        <v>82</v>
      </c>
      <c r="R589" t="s">
        <v>211</v>
      </c>
      <c r="S589" t="s">
        <v>84</v>
      </c>
      <c r="T589">
        <v>4000</v>
      </c>
      <c r="U589" t="s">
        <v>35</v>
      </c>
      <c r="V589" t="s">
        <v>36</v>
      </c>
      <c r="W589">
        <v>1</v>
      </c>
      <c r="X589" t="s">
        <v>37</v>
      </c>
      <c r="Y589">
        <v>4</v>
      </c>
      <c r="Z589" t="s">
        <v>134</v>
      </c>
    </row>
    <row r="590" spans="1:26" hidden="1" x14ac:dyDescent="0.2">
      <c r="A590" t="s">
        <v>1310</v>
      </c>
      <c r="B590" t="s">
        <v>1311</v>
      </c>
      <c r="C590" s="1">
        <v>46064</v>
      </c>
      <c r="D590" t="s">
        <v>137</v>
      </c>
      <c r="E590">
        <v>20</v>
      </c>
      <c r="F590">
        <v>4.8</v>
      </c>
      <c r="G590" t="s">
        <v>57</v>
      </c>
      <c r="H590" t="s">
        <v>30</v>
      </c>
      <c r="I590" s="1">
        <v>46064.408333333333</v>
      </c>
      <c r="J590" s="1">
        <v>46064.420138888891</v>
      </c>
      <c r="K590" s="1">
        <v>46064.463888888888</v>
      </c>
      <c r="L590" s="1">
        <v>46064.46875</v>
      </c>
      <c r="M590" s="1">
        <v>46064.477777777778</v>
      </c>
      <c r="N590" s="1">
        <v>46064.508333333331</v>
      </c>
      <c r="O590">
        <v>3</v>
      </c>
      <c r="P590" t="s">
        <v>52</v>
      </c>
      <c r="Q590" t="s">
        <v>82</v>
      </c>
      <c r="R590" t="s">
        <v>239</v>
      </c>
      <c r="S590" t="s">
        <v>84</v>
      </c>
      <c r="T590">
        <v>4000</v>
      </c>
      <c r="U590" t="s">
        <v>35</v>
      </c>
      <c r="V590" t="s">
        <v>36</v>
      </c>
      <c r="W590">
        <v>1</v>
      </c>
      <c r="X590" t="s">
        <v>37</v>
      </c>
      <c r="Y590">
        <v>4</v>
      </c>
      <c r="Z590" t="s">
        <v>46</v>
      </c>
    </row>
    <row r="591" spans="1:26" hidden="1" x14ac:dyDescent="0.2">
      <c r="A591" t="s">
        <v>1312</v>
      </c>
      <c r="B591" t="s">
        <v>1313</v>
      </c>
      <c r="C591" s="1">
        <v>46045</v>
      </c>
      <c r="D591" t="s">
        <v>289</v>
      </c>
      <c r="E591">
        <v>29</v>
      </c>
      <c r="F591">
        <v>5.0999999999999996</v>
      </c>
      <c r="G591" t="s">
        <v>81</v>
      </c>
      <c r="H591" t="s">
        <v>65</v>
      </c>
      <c r="I591" s="1">
        <v>46045.285416666666</v>
      </c>
      <c r="J591" s="1">
        <v>46045.293055555558</v>
      </c>
      <c r="K591" s="1">
        <v>46045.322222222225</v>
      </c>
      <c r="L591" s="1">
        <v>46045.336111111108</v>
      </c>
      <c r="M591" s="1">
        <v>46045.362500000003</v>
      </c>
      <c r="N591" s="1">
        <v>46045.378472222219</v>
      </c>
      <c r="O591">
        <v>2</v>
      </c>
      <c r="P591" t="s">
        <v>106</v>
      </c>
      <c r="Q591" t="s">
        <v>32</v>
      </c>
      <c r="R591" t="s">
        <v>53</v>
      </c>
      <c r="S591" t="s">
        <v>34</v>
      </c>
      <c r="T591">
        <v>5000</v>
      </c>
      <c r="U591" t="s">
        <v>35</v>
      </c>
      <c r="V591" t="s">
        <v>36</v>
      </c>
      <c r="W591">
        <v>1</v>
      </c>
      <c r="X591" t="s">
        <v>37</v>
      </c>
      <c r="Y591">
        <v>5</v>
      </c>
      <c r="Z591" t="s">
        <v>117</v>
      </c>
    </row>
    <row r="592" spans="1:26" hidden="1" x14ac:dyDescent="0.2">
      <c r="A592" t="s">
        <v>1314</v>
      </c>
      <c r="B592" t="s">
        <v>1315</v>
      </c>
      <c r="C592" s="1">
        <v>46026</v>
      </c>
      <c r="D592" t="s">
        <v>105</v>
      </c>
      <c r="E592">
        <v>7</v>
      </c>
      <c r="F592">
        <v>10.5</v>
      </c>
      <c r="G592" t="s">
        <v>29</v>
      </c>
      <c r="H592" t="s">
        <v>167</v>
      </c>
      <c r="I592" s="1">
        <v>46026.387499999997</v>
      </c>
      <c r="J592" s="1">
        <v>46026.400000000001</v>
      </c>
      <c r="K592" s="1">
        <v>46026.456944444442</v>
      </c>
      <c r="L592" s="1">
        <v>46026.461805555555</v>
      </c>
      <c r="M592" s="1">
        <v>46026.48333333333</v>
      </c>
      <c r="N592" s="1">
        <v>46026.494444444441</v>
      </c>
      <c r="O592">
        <v>6</v>
      </c>
      <c r="P592" t="s">
        <v>37</v>
      </c>
      <c r="Q592" t="s">
        <v>32</v>
      </c>
      <c r="R592" t="s">
        <v>120</v>
      </c>
      <c r="S592" t="s">
        <v>34</v>
      </c>
      <c r="T592">
        <v>5000</v>
      </c>
      <c r="U592" t="s">
        <v>35</v>
      </c>
      <c r="V592" t="s">
        <v>36</v>
      </c>
      <c r="W592">
        <v>1</v>
      </c>
      <c r="X592" t="s">
        <v>37</v>
      </c>
      <c r="Y592">
        <v>4</v>
      </c>
      <c r="Z592" t="s">
        <v>46</v>
      </c>
    </row>
    <row r="593" spans="1:26" hidden="1" x14ac:dyDescent="0.2">
      <c r="A593" t="s">
        <v>1316</v>
      </c>
      <c r="B593" t="s">
        <v>1317</v>
      </c>
      <c r="C593" s="1">
        <v>46096</v>
      </c>
      <c r="D593" t="s">
        <v>64</v>
      </c>
      <c r="E593">
        <v>27</v>
      </c>
      <c r="F593">
        <v>6.9</v>
      </c>
      <c r="G593" t="s">
        <v>81</v>
      </c>
      <c r="H593" t="s">
        <v>42</v>
      </c>
      <c r="I593" s="1">
        <v>46096.274305555555</v>
      </c>
      <c r="J593" s="1">
        <v>46096.295138888891</v>
      </c>
      <c r="K593" s="1">
        <v>46096.307638888888</v>
      </c>
      <c r="L593" s="1">
        <v>46096.320833333331</v>
      </c>
      <c r="M593" s="1">
        <v>46096.34652777778</v>
      </c>
      <c r="N593" s="1">
        <v>46096.37777777778</v>
      </c>
      <c r="O593">
        <v>4</v>
      </c>
      <c r="P593" t="s">
        <v>37</v>
      </c>
      <c r="Q593" t="s">
        <v>43</v>
      </c>
      <c r="R593" t="s">
        <v>44</v>
      </c>
      <c r="S593" t="s">
        <v>45</v>
      </c>
      <c r="T593">
        <v>2500</v>
      </c>
      <c r="U593" t="s">
        <v>35</v>
      </c>
      <c r="V593" t="s">
        <v>36</v>
      </c>
      <c r="W593">
        <v>1</v>
      </c>
      <c r="X593" t="s">
        <v>37</v>
      </c>
      <c r="Y593">
        <v>4</v>
      </c>
      <c r="Z593" t="s">
        <v>117</v>
      </c>
    </row>
    <row r="594" spans="1:26" hidden="1" x14ac:dyDescent="0.2">
      <c r="A594" t="s">
        <v>1318</v>
      </c>
      <c r="B594" t="s">
        <v>1319</v>
      </c>
      <c r="C594" s="1">
        <v>46086</v>
      </c>
      <c r="D594" t="s">
        <v>41</v>
      </c>
      <c r="E594">
        <v>6</v>
      </c>
      <c r="F594">
        <v>5.8</v>
      </c>
      <c r="G594" t="s">
        <v>76</v>
      </c>
      <c r="H594" t="s">
        <v>42</v>
      </c>
      <c r="I594" s="1">
        <v>46086.294444444444</v>
      </c>
      <c r="J594" s="1">
        <v>46086.306250000001</v>
      </c>
      <c r="K594" s="1">
        <v>46086.344444444447</v>
      </c>
      <c r="L594" s="1">
        <v>46086.349305555559</v>
      </c>
      <c r="M594" s="1">
        <v>46086.363194444442</v>
      </c>
      <c r="N594" s="1">
        <v>46086.379166666666</v>
      </c>
      <c r="O594">
        <v>1</v>
      </c>
      <c r="P594" t="s">
        <v>37</v>
      </c>
      <c r="Q594" t="s">
        <v>32</v>
      </c>
      <c r="R594" t="s">
        <v>66</v>
      </c>
      <c r="S594" t="s">
        <v>34</v>
      </c>
      <c r="T594">
        <v>5000</v>
      </c>
      <c r="U594" t="s">
        <v>35</v>
      </c>
      <c r="V594" t="s">
        <v>36</v>
      </c>
      <c r="W594">
        <v>1</v>
      </c>
      <c r="X594" t="s">
        <v>37</v>
      </c>
      <c r="Y594">
        <v>4</v>
      </c>
      <c r="Z594" t="s">
        <v>161</v>
      </c>
    </row>
    <row r="595" spans="1:26" hidden="1" x14ac:dyDescent="0.2">
      <c r="A595" t="s">
        <v>1320</v>
      </c>
      <c r="B595" t="s">
        <v>1321</v>
      </c>
      <c r="C595" s="1">
        <v>46102</v>
      </c>
      <c r="D595" t="s">
        <v>110</v>
      </c>
      <c r="E595">
        <v>35</v>
      </c>
      <c r="F595">
        <v>11.5</v>
      </c>
      <c r="G595" t="s">
        <v>76</v>
      </c>
      <c r="H595" t="s">
        <v>30</v>
      </c>
      <c r="I595" s="1">
        <v>46102.254861111112</v>
      </c>
      <c r="J595" s="1">
        <v>46102.259027777778</v>
      </c>
      <c r="K595" s="1">
        <v>46102.29583333333</v>
      </c>
      <c r="L595" s="1">
        <v>46102.308333333334</v>
      </c>
      <c r="M595" s="1">
        <v>46102.326388888891</v>
      </c>
      <c r="N595" s="1">
        <v>46102.338194444441</v>
      </c>
      <c r="O595">
        <v>3</v>
      </c>
      <c r="P595" t="s">
        <v>37</v>
      </c>
      <c r="Q595" t="s">
        <v>69</v>
      </c>
      <c r="R595" t="s">
        <v>111</v>
      </c>
      <c r="S595" t="s">
        <v>71</v>
      </c>
      <c r="T595">
        <v>2000</v>
      </c>
      <c r="U595" t="s">
        <v>35</v>
      </c>
      <c r="V595" t="s">
        <v>36</v>
      </c>
      <c r="W595">
        <v>1</v>
      </c>
      <c r="X595" t="s">
        <v>37</v>
      </c>
      <c r="Y595">
        <v>5</v>
      </c>
      <c r="Z595" t="s">
        <v>99</v>
      </c>
    </row>
    <row r="596" spans="1:26" hidden="1" x14ac:dyDescent="0.2">
      <c r="A596" t="s">
        <v>1322</v>
      </c>
      <c r="B596" t="s">
        <v>1323</v>
      </c>
      <c r="C596" s="1">
        <v>46030</v>
      </c>
      <c r="D596" t="s">
        <v>41</v>
      </c>
      <c r="E596">
        <v>7</v>
      </c>
      <c r="F596">
        <v>6.8</v>
      </c>
      <c r="G596" t="s">
        <v>29</v>
      </c>
      <c r="H596" t="s">
        <v>157</v>
      </c>
      <c r="I596" s="1">
        <v>46030.356249999997</v>
      </c>
      <c r="J596" s="1">
        <v>46030.375694444447</v>
      </c>
      <c r="K596" s="1">
        <v>46030.436805555553</v>
      </c>
      <c r="L596" s="1">
        <v>46030.441666666666</v>
      </c>
      <c r="M596" s="1">
        <v>46030.472916666666</v>
      </c>
      <c r="N596" s="1">
        <v>46030.49722222222</v>
      </c>
      <c r="O596">
        <v>2</v>
      </c>
      <c r="P596" t="s">
        <v>238</v>
      </c>
      <c r="Q596" t="s">
        <v>43</v>
      </c>
      <c r="R596" t="s">
        <v>90</v>
      </c>
      <c r="S596" t="s">
        <v>45</v>
      </c>
      <c r="T596">
        <v>2500</v>
      </c>
      <c r="U596" t="s">
        <v>35</v>
      </c>
      <c r="V596" t="s">
        <v>36</v>
      </c>
      <c r="W596">
        <v>1</v>
      </c>
      <c r="X596" t="s">
        <v>37</v>
      </c>
      <c r="Y596">
        <v>3</v>
      </c>
      <c r="Z596" t="s">
        <v>99</v>
      </c>
    </row>
    <row r="597" spans="1:26" hidden="1" x14ac:dyDescent="0.2">
      <c r="A597" t="s">
        <v>1324</v>
      </c>
      <c r="B597" t="s">
        <v>1325</v>
      </c>
      <c r="C597" s="1">
        <v>46084</v>
      </c>
      <c r="D597" t="s">
        <v>149</v>
      </c>
      <c r="E597">
        <v>8</v>
      </c>
      <c r="F597">
        <v>4.2</v>
      </c>
      <c r="G597" t="s">
        <v>57</v>
      </c>
      <c r="H597" t="s">
        <v>65</v>
      </c>
      <c r="I597" s="1">
        <v>46084.357638888891</v>
      </c>
      <c r="J597" s="1">
        <v>46084.369444444441</v>
      </c>
      <c r="K597" s="1">
        <v>46084.37777777778</v>
      </c>
      <c r="L597" s="1">
        <v>46084.39166666667</v>
      </c>
      <c r="M597" s="1">
        <v>46084.400694444441</v>
      </c>
      <c r="N597" s="1">
        <v>46084.42083333333</v>
      </c>
      <c r="O597">
        <v>7</v>
      </c>
      <c r="P597" t="s">
        <v>37</v>
      </c>
      <c r="Q597" t="s">
        <v>82</v>
      </c>
      <c r="R597" t="s">
        <v>286</v>
      </c>
      <c r="S597" t="s">
        <v>84</v>
      </c>
      <c r="T597">
        <v>4000</v>
      </c>
      <c r="U597" t="s">
        <v>35</v>
      </c>
      <c r="V597" t="s">
        <v>36</v>
      </c>
      <c r="W597">
        <v>1</v>
      </c>
      <c r="X597" t="s">
        <v>37</v>
      </c>
      <c r="Y597">
        <v>4</v>
      </c>
      <c r="Z597" t="s">
        <v>117</v>
      </c>
    </row>
    <row r="598" spans="1:26" x14ac:dyDescent="0.2">
      <c r="A598" t="s">
        <v>1326</v>
      </c>
      <c r="B598" t="s">
        <v>1327</v>
      </c>
      <c r="C598" s="1">
        <v>46038</v>
      </c>
      <c r="D598" t="s">
        <v>145</v>
      </c>
      <c r="E598">
        <v>27</v>
      </c>
      <c r="F598">
        <v>5.5</v>
      </c>
      <c r="G598" t="s">
        <v>50</v>
      </c>
      <c r="H598" t="s">
        <v>51</v>
      </c>
      <c r="I598" s="1">
        <v>46038.291666666664</v>
      </c>
      <c r="J598" s="1">
        <v>46038.3</v>
      </c>
      <c r="K598" s="1">
        <v>46038.314583333333</v>
      </c>
      <c r="L598" s="1">
        <v>46038.318055555559</v>
      </c>
      <c r="M598" s="1">
        <v>46038.334722222222</v>
      </c>
      <c r="N598" s="1">
        <v>46038.356249999997</v>
      </c>
      <c r="O598">
        <v>6</v>
      </c>
      <c r="P598" t="s">
        <v>37</v>
      </c>
      <c r="Q598" t="s">
        <v>69</v>
      </c>
      <c r="R598" t="s">
        <v>251</v>
      </c>
      <c r="S598" t="s">
        <v>71</v>
      </c>
      <c r="T598">
        <v>2000</v>
      </c>
      <c r="U598" t="s">
        <v>35</v>
      </c>
      <c r="V598" t="s">
        <v>36</v>
      </c>
      <c r="W598">
        <v>1</v>
      </c>
      <c r="X598" t="s">
        <v>37</v>
      </c>
      <c r="Y598">
        <v>1</v>
      </c>
      <c r="Z598" t="s">
        <v>61</v>
      </c>
    </row>
    <row r="599" spans="1:26" x14ac:dyDescent="0.2">
      <c r="A599" t="s">
        <v>1328</v>
      </c>
      <c r="B599" t="s">
        <v>1329</v>
      </c>
      <c r="C599" s="1">
        <v>46054</v>
      </c>
      <c r="D599" t="s">
        <v>64</v>
      </c>
      <c r="E599">
        <v>8</v>
      </c>
      <c r="F599">
        <v>5</v>
      </c>
      <c r="G599" t="s">
        <v>57</v>
      </c>
      <c r="H599" t="s">
        <v>167</v>
      </c>
      <c r="I599" s="1">
        <v>46054.257638888892</v>
      </c>
      <c r="J599" s="1">
        <v>46054.268055555556</v>
      </c>
      <c r="K599" s="1">
        <v>46054.305555555555</v>
      </c>
      <c r="L599" s="1">
        <v>46054.313888888886</v>
      </c>
      <c r="M599" s="1">
        <v>46054.333333333336</v>
      </c>
      <c r="N599" s="1">
        <v>46054.342361111114</v>
      </c>
      <c r="O599">
        <v>5</v>
      </c>
      <c r="P599" t="s">
        <v>37</v>
      </c>
      <c r="Q599" t="s">
        <v>32</v>
      </c>
      <c r="R599" t="s">
        <v>77</v>
      </c>
      <c r="S599" t="s">
        <v>34</v>
      </c>
      <c r="T599">
        <v>5000</v>
      </c>
      <c r="U599" t="s">
        <v>35</v>
      </c>
      <c r="V599" t="s">
        <v>36</v>
      </c>
      <c r="W599">
        <v>1</v>
      </c>
      <c r="X599" t="s">
        <v>37</v>
      </c>
      <c r="Y599">
        <v>2</v>
      </c>
      <c r="Z599" t="s">
        <v>131</v>
      </c>
    </row>
    <row r="600" spans="1:26" hidden="1" x14ac:dyDescent="0.2">
      <c r="A600" t="s">
        <v>1330</v>
      </c>
      <c r="B600" t="s">
        <v>1331</v>
      </c>
      <c r="C600" s="1">
        <v>46086</v>
      </c>
      <c r="D600" t="s">
        <v>114</v>
      </c>
      <c r="E600">
        <v>33</v>
      </c>
      <c r="F600">
        <v>9.6999999999999993</v>
      </c>
      <c r="G600" t="s">
        <v>76</v>
      </c>
      <c r="H600" t="s">
        <v>42</v>
      </c>
      <c r="I600" s="1">
        <v>46086.347916666666</v>
      </c>
      <c r="J600" s="1">
        <v>46086.357638888891</v>
      </c>
      <c r="K600" s="1">
        <v>46086.386111111111</v>
      </c>
      <c r="L600" s="1">
        <v>46086.395138888889</v>
      </c>
      <c r="M600" s="1">
        <v>46086.415972222225</v>
      </c>
      <c r="N600" s="1">
        <v>46086.443055555559</v>
      </c>
      <c r="O600">
        <v>5</v>
      </c>
      <c r="P600" t="s">
        <v>129</v>
      </c>
      <c r="Q600" t="s">
        <v>96</v>
      </c>
      <c r="R600" t="s">
        <v>164</v>
      </c>
      <c r="S600" t="s">
        <v>98</v>
      </c>
      <c r="T600">
        <v>3000</v>
      </c>
      <c r="U600" t="s">
        <v>35</v>
      </c>
      <c r="V600" t="s">
        <v>36</v>
      </c>
      <c r="W600">
        <v>1</v>
      </c>
      <c r="X600" t="s">
        <v>37</v>
      </c>
      <c r="Y600">
        <v>4</v>
      </c>
      <c r="Z600" t="s">
        <v>161</v>
      </c>
    </row>
    <row r="601" spans="1:26" hidden="1" x14ac:dyDescent="0.2">
      <c r="A601" t="s">
        <v>1332</v>
      </c>
      <c r="B601" t="s">
        <v>1333</v>
      </c>
      <c r="C601" s="1">
        <v>46049</v>
      </c>
      <c r="D601" t="s">
        <v>171</v>
      </c>
      <c r="E601">
        <v>38</v>
      </c>
      <c r="F601">
        <v>5.8</v>
      </c>
      <c r="G601" t="s">
        <v>81</v>
      </c>
      <c r="H601" t="s">
        <v>95</v>
      </c>
      <c r="I601" s="1">
        <v>46049.271527777775</v>
      </c>
      <c r="J601" s="1">
        <v>46049.282638888886</v>
      </c>
      <c r="K601" s="1">
        <v>46049.302083333336</v>
      </c>
      <c r="L601" s="1">
        <v>46049.306250000001</v>
      </c>
      <c r="M601" s="1">
        <v>46049.323611111111</v>
      </c>
      <c r="N601" s="1">
        <v>46049.34652777778</v>
      </c>
      <c r="O601">
        <v>6</v>
      </c>
      <c r="P601" t="s">
        <v>37</v>
      </c>
      <c r="Q601" t="s">
        <v>82</v>
      </c>
      <c r="R601" t="s">
        <v>239</v>
      </c>
      <c r="S601" t="s">
        <v>84</v>
      </c>
      <c r="T601">
        <v>4000</v>
      </c>
      <c r="U601" t="s">
        <v>91</v>
      </c>
      <c r="V601" t="s">
        <v>36</v>
      </c>
      <c r="W601">
        <v>1</v>
      </c>
      <c r="X601" t="s">
        <v>37</v>
      </c>
      <c r="Y601">
        <v>5</v>
      </c>
      <c r="Z601" t="s">
        <v>161</v>
      </c>
    </row>
    <row r="602" spans="1:26" hidden="1" x14ac:dyDescent="0.2">
      <c r="A602" t="s">
        <v>1334</v>
      </c>
      <c r="B602" t="s">
        <v>1335</v>
      </c>
      <c r="C602" s="1">
        <v>46098</v>
      </c>
      <c r="D602" t="s">
        <v>220</v>
      </c>
      <c r="E602">
        <v>8</v>
      </c>
      <c r="F602">
        <v>6.2</v>
      </c>
      <c r="G602" t="s">
        <v>81</v>
      </c>
      <c r="H602" t="s">
        <v>157</v>
      </c>
      <c r="I602" s="1">
        <v>46098.337500000001</v>
      </c>
      <c r="J602" s="1">
        <v>46098.34097222222</v>
      </c>
      <c r="K602" s="1">
        <v>46098.381249999999</v>
      </c>
      <c r="L602" s="1">
        <v>46098.393055555556</v>
      </c>
      <c r="M602" s="1">
        <v>46098.419444444444</v>
      </c>
      <c r="N602" s="1">
        <v>46098.424305555556</v>
      </c>
      <c r="O602">
        <v>2</v>
      </c>
      <c r="P602" t="s">
        <v>106</v>
      </c>
      <c r="Q602" t="s">
        <v>96</v>
      </c>
      <c r="R602" t="s">
        <v>90</v>
      </c>
      <c r="S602" t="s">
        <v>98</v>
      </c>
      <c r="T602">
        <v>3000</v>
      </c>
      <c r="U602" t="s">
        <v>35</v>
      </c>
      <c r="V602" t="s">
        <v>36</v>
      </c>
      <c r="W602">
        <v>1</v>
      </c>
      <c r="X602" t="s">
        <v>37</v>
      </c>
      <c r="Y602">
        <v>5</v>
      </c>
      <c r="Z602" t="s">
        <v>102</v>
      </c>
    </row>
    <row r="603" spans="1:26" hidden="1" x14ac:dyDescent="0.2">
      <c r="A603" t="s">
        <v>1336</v>
      </c>
      <c r="B603" t="s">
        <v>1337</v>
      </c>
      <c r="C603" s="1">
        <v>46067</v>
      </c>
      <c r="D603" t="s">
        <v>171</v>
      </c>
      <c r="E603">
        <v>21</v>
      </c>
      <c r="F603">
        <v>10.5</v>
      </c>
      <c r="G603" t="s">
        <v>81</v>
      </c>
      <c r="H603" t="s">
        <v>95</v>
      </c>
      <c r="I603" s="1">
        <v>46067.384027777778</v>
      </c>
      <c r="J603" s="1">
        <v>46067.387499999997</v>
      </c>
      <c r="K603" s="1">
        <v>46067.424305555556</v>
      </c>
      <c r="L603" s="1">
        <v>46067.436805555553</v>
      </c>
      <c r="M603" s="1">
        <v>46067.462500000001</v>
      </c>
      <c r="N603" s="1">
        <v>46067.468055555553</v>
      </c>
      <c r="O603">
        <v>7</v>
      </c>
      <c r="P603" t="s">
        <v>115</v>
      </c>
      <c r="Q603" t="s">
        <v>32</v>
      </c>
      <c r="R603" t="s">
        <v>66</v>
      </c>
      <c r="S603" t="s">
        <v>34</v>
      </c>
      <c r="T603">
        <v>5000</v>
      </c>
      <c r="U603" t="s">
        <v>91</v>
      </c>
      <c r="V603" t="s">
        <v>59</v>
      </c>
      <c r="W603">
        <v>3</v>
      </c>
      <c r="X603" t="s">
        <v>374</v>
      </c>
      <c r="Y603">
        <v>4</v>
      </c>
      <c r="Z603" t="s">
        <v>215</v>
      </c>
    </row>
    <row r="604" spans="1:26" hidden="1" x14ac:dyDescent="0.2">
      <c r="A604" t="s">
        <v>1338</v>
      </c>
      <c r="B604" t="s">
        <v>1339</v>
      </c>
      <c r="C604" s="1">
        <v>46089</v>
      </c>
      <c r="D604" t="s">
        <v>49</v>
      </c>
      <c r="E604">
        <v>34</v>
      </c>
      <c r="F604">
        <v>10</v>
      </c>
      <c r="G604" t="s">
        <v>57</v>
      </c>
      <c r="H604" t="s">
        <v>95</v>
      </c>
      <c r="I604" s="1">
        <v>46089.411111111112</v>
      </c>
      <c r="J604" s="1">
        <v>46089.414583333331</v>
      </c>
      <c r="K604" s="1">
        <v>46089.445833333331</v>
      </c>
      <c r="L604" s="1">
        <v>46089.454861111109</v>
      </c>
      <c r="M604" s="1">
        <v>46089.465277777781</v>
      </c>
      <c r="N604" s="1">
        <v>46089.479166666664</v>
      </c>
      <c r="O604">
        <v>7</v>
      </c>
      <c r="P604" t="s">
        <v>37</v>
      </c>
      <c r="Q604" t="s">
        <v>82</v>
      </c>
      <c r="R604" t="s">
        <v>214</v>
      </c>
      <c r="S604" t="s">
        <v>84</v>
      </c>
      <c r="T604">
        <v>4000</v>
      </c>
      <c r="U604" t="s">
        <v>35</v>
      </c>
      <c r="V604" t="s">
        <v>36</v>
      </c>
      <c r="W604">
        <v>1</v>
      </c>
      <c r="X604" t="s">
        <v>37</v>
      </c>
      <c r="Y604">
        <v>4</v>
      </c>
      <c r="Z604" t="s">
        <v>99</v>
      </c>
    </row>
    <row r="605" spans="1:26" hidden="1" x14ac:dyDescent="0.2">
      <c r="A605" t="s">
        <v>1340</v>
      </c>
      <c r="B605" t="s">
        <v>1341</v>
      </c>
      <c r="C605" s="1">
        <v>46107</v>
      </c>
      <c r="D605" t="s">
        <v>49</v>
      </c>
      <c r="E605">
        <v>12</v>
      </c>
      <c r="F605">
        <v>6.5</v>
      </c>
      <c r="G605" t="s">
        <v>76</v>
      </c>
      <c r="H605" t="s">
        <v>42</v>
      </c>
      <c r="I605" s="1">
        <v>46107.296527777777</v>
      </c>
      <c r="J605" s="1">
        <v>46107.303472222222</v>
      </c>
      <c r="K605" s="1">
        <v>46107.349305555559</v>
      </c>
      <c r="L605" s="1">
        <v>46107.362500000003</v>
      </c>
      <c r="M605" s="1">
        <v>46107.370138888888</v>
      </c>
      <c r="N605" s="1">
        <v>46107.393055555556</v>
      </c>
      <c r="O605">
        <v>1</v>
      </c>
      <c r="P605" t="s">
        <v>37</v>
      </c>
      <c r="Q605" t="s">
        <v>69</v>
      </c>
      <c r="R605" t="s">
        <v>111</v>
      </c>
      <c r="S605" t="s">
        <v>71</v>
      </c>
      <c r="T605">
        <v>2000</v>
      </c>
      <c r="U605" t="s">
        <v>91</v>
      </c>
      <c r="V605" t="s">
        <v>36</v>
      </c>
      <c r="W605">
        <v>1</v>
      </c>
      <c r="X605" t="s">
        <v>37</v>
      </c>
      <c r="Y605">
        <v>5</v>
      </c>
      <c r="Z605" t="s">
        <v>54</v>
      </c>
    </row>
    <row r="606" spans="1:26" x14ac:dyDescent="0.2">
      <c r="A606" t="s">
        <v>1342</v>
      </c>
      <c r="B606" t="s">
        <v>1343</v>
      </c>
      <c r="C606" s="1">
        <v>46030</v>
      </c>
      <c r="D606" t="s">
        <v>254</v>
      </c>
      <c r="E606">
        <v>40</v>
      </c>
      <c r="F606">
        <v>6.5</v>
      </c>
      <c r="G606" t="s">
        <v>29</v>
      </c>
      <c r="H606" t="s">
        <v>157</v>
      </c>
      <c r="I606" s="1">
        <v>46030.281944444447</v>
      </c>
      <c r="J606" s="1">
        <v>46030.290972222225</v>
      </c>
      <c r="K606" s="1">
        <v>46030.322222222225</v>
      </c>
      <c r="L606" s="1">
        <v>46030.331250000003</v>
      </c>
      <c r="M606" s="1">
        <v>46030.359722222223</v>
      </c>
      <c r="N606" s="1">
        <v>46030.368750000001</v>
      </c>
      <c r="O606">
        <v>2</v>
      </c>
      <c r="P606" t="s">
        <v>37</v>
      </c>
      <c r="Q606" t="s">
        <v>32</v>
      </c>
      <c r="R606" t="s">
        <v>33</v>
      </c>
      <c r="S606" t="s">
        <v>34</v>
      </c>
      <c r="T606">
        <v>5000</v>
      </c>
      <c r="U606" t="s">
        <v>35</v>
      </c>
      <c r="V606" t="s">
        <v>36</v>
      </c>
      <c r="W606">
        <v>1</v>
      </c>
      <c r="X606" t="s">
        <v>37</v>
      </c>
      <c r="Y606">
        <v>1</v>
      </c>
      <c r="Z606" t="s">
        <v>117</v>
      </c>
    </row>
    <row r="607" spans="1:26" x14ac:dyDescent="0.2">
      <c r="A607" t="s">
        <v>1344</v>
      </c>
      <c r="B607" t="s">
        <v>1345</v>
      </c>
      <c r="C607" s="1">
        <v>46027</v>
      </c>
      <c r="D607" t="s">
        <v>126</v>
      </c>
      <c r="E607">
        <v>25</v>
      </c>
      <c r="F607">
        <v>4.3</v>
      </c>
      <c r="G607" t="s">
        <v>57</v>
      </c>
      <c r="H607" t="s">
        <v>51</v>
      </c>
      <c r="I607" s="1">
        <v>46027.376388888886</v>
      </c>
      <c r="J607" s="1">
        <v>46027.385416666664</v>
      </c>
      <c r="K607" s="1">
        <v>46027.414583333331</v>
      </c>
      <c r="L607" s="1">
        <v>46027.418055555558</v>
      </c>
      <c r="M607" s="1">
        <v>46027.454861111109</v>
      </c>
      <c r="N607" s="1">
        <v>46027.473611111112</v>
      </c>
      <c r="O607">
        <v>5</v>
      </c>
      <c r="P607" t="s">
        <v>37</v>
      </c>
      <c r="Q607" t="s">
        <v>69</v>
      </c>
      <c r="R607" t="s">
        <v>70</v>
      </c>
      <c r="S607" t="s">
        <v>71</v>
      </c>
      <c r="T607">
        <v>2000</v>
      </c>
      <c r="U607" t="s">
        <v>35</v>
      </c>
      <c r="V607" t="s">
        <v>36</v>
      </c>
      <c r="W607">
        <v>1</v>
      </c>
      <c r="X607" t="s">
        <v>37</v>
      </c>
      <c r="Y607">
        <v>2</v>
      </c>
      <c r="Z607" t="s">
        <v>72</v>
      </c>
    </row>
    <row r="608" spans="1:26" hidden="1" x14ac:dyDescent="0.2">
      <c r="A608" t="s">
        <v>1346</v>
      </c>
      <c r="B608" t="s">
        <v>1347</v>
      </c>
      <c r="C608" s="1">
        <v>46088</v>
      </c>
      <c r="D608" t="s">
        <v>89</v>
      </c>
      <c r="E608">
        <v>25</v>
      </c>
      <c r="F608">
        <v>8.6</v>
      </c>
      <c r="G608" t="s">
        <v>50</v>
      </c>
      <c r="H608" t="s">
        <v>51</v>
      </c>
      <c r="I608" s="1">
        <v>46088.363888888889</v>
      </c>
      <c r="J608" s="1">
        <v>46088.376388888886</v>
      </c>
      <c r="K608" s="1">
        <v>46088.408333333333</v>
      </c>
      <c r="L608" s="1">
        <v>46088.414583333331</v>
      </c>
      <c r="M608" s="1">
        <v>46088.422222222223</v>
      </c>
      <c r="N608" s="1">
        <v>46088.439583333333</v>
      </c>
      <c r="O608">
        <v>5</v>
      </c>
      <c r="P608" t="s">
        <v>37</v>
      </c>
      <c r="Q608" t="s">
        <v>82</v>
      </c>
      <c r="R608" t="s">
        <v>83</v>
      </c>
      <c r="S608" t="s">
        <v>84</v>
      </c>
      <c r="T608">
        <v>4000</v>
      </c>
      <c r="U608" t="s">
        <v>35</v>
      </c>
      <c r="V608" t="s">
        <v>36</v>
      </c>
      <c r="W608">
        <v>1</v>
      </c>
      <c r="X608" t="s">
        <v>37</v>
      </c>
      <c r="Y608">
        <v>5</v>
      </c>
      <c r="Z608" t="s">
        <v>72</v>
      </c>
    </row>
    <row r="609" spans="1:26" hidden="1" x14ac:dyDescent="0.2">
      <c r="A609" t="s">
        <v>1348</v>
      </c>
      <c r="B609" t="s">
        <v>1349</v>
      </c>
      <c r="C609" s="1">
        <v>46102</v>
      </c>
      <c r="D609" t="s">
        <v>178</v>
      </c>
      <c r="E609">
        <v>7</v>
      </c>
      <c r="F609">
        <v>6.3</v>
      </c>
      <c r="G609" t="s">
        <v>57</v>
      </c>
      <c r="H609" t="s">
        <v>65</v>
      </c>
      <c r="I609" s="1">
        <v>46102.254166666666</v>
      </c>
      <c r="J609" s="1">
        <v>46102.259722222225</v>
      </c>
      <c r="K609" s="1">
        <v>46102.320138888892</v>
      </c>
      <c r="L609" s="1">
        <v>46102.327777777777</v>
      </c>
      <c r="M609" s="1">
        <v>46102.348611111112</v>
      </c>
      <c r="N609" s="1">
        <v>46102.374305555553</v>
      </c>
      <c r="O609">
        <v>6</v>
      </c>
      <c r="P609" t="s">
        <v>37</v>
      </c>
      <c r="Q609" t="s">
        <v>82</v>
      </c>
      <c r="R609" t="s">
        <v>33</v>
      </c>
      <c r="S609" t="s">
        <v>84</v>
      </c>
      <c r="T609">
        <v>4000</v>
      </c>
      <c r="U609" t="s">
        <v>35</v>
      </c>
      <c r="V609" t="s">
        <v>36</v>
      </c>
      <c r="W609">
        <v>1</v>
      </c>
      <c r="X609" t="s">
        <v>37</v>
      </c>
      <c r="Y609">
        <v>4</v>
      </c>
      <c r="Z609" t="s">
        <v>54</v>
      </c>
    </row>
    <row r="610" spans="1:26" hidden="1" x14ac:dyDescent="0.2">
      <c r="A610" t="s">
        <v>1350</v>
      </c>
      <c r="B610" t="s">
        <v>1351</v>
      </c>
      <c r="C610" s="1">
        <v>46097</v>
      </c>
      <c r="D610" t="s">
        <v>110</v>
      </c>
      <c r="E610">
        <v>10</v>
      </c>
      <c r="F610">
        <v>11.6</v>
      </c>
      <c r="G610" t="s">
        <v>57</v>
      </c>
      <c r="H610" t="s">
        <v>65</v>
      </c>
      <c r="I610" s="1">
        <v>46097.338888888888</v>
      </c>
      <c r="J610" s="1">
        <v>46097.354861111111</v>
      </c>
      <c r="K610" s="1">
        <v>46097.417361111111</v>
      </c>
      <c r="L610" s="1">
        <v>46097.429861111108</v>
      </c>
      <c r="M610" s="1">
        <v>46097.460416666669</v>
      </c>
      <c r="N610" s="1">
        <v>46097.46875</v>
      </c>
      <c r="O610">
        <v>7</v>
      </c>
      <c r="P610" t="s">
        <v>37</v>
      </c>
      <c r="Q610" t="s">
        <v>82</v>
      </c>
      <c r="R610" t="s">
        <v>214</v>
      </c>
      <c r="S610" t="s">
        <v>84</v>
      </c>
      <c r="T610">
        <v>4000</v>
      </c>
      <c r="U610" t="s">
        <v>35</v>
      </c>
      <c r="V610" t="s">
        <v>36</v>
      </c>
      <c r="W610">
        <v>1</v>
      </c>
      <c r="X610" t="s">
        <v>37</v>
      </c>
      <c r="Y610">
        <v>5</v>
      </c>
      <c r="Z610" t="s">
        <v>131</v>
      </c>
    </row>
    <row r="611" spans="1:26" hidden="1" x14ac:dyDescent="0.2">
      <c r="A611" t="s">
        <v>1352</v>
      </c>
      <c r="B611" t="s">
        <v>1353</v>
      </c>
      <c r="C611" s="1">
        <v>46063</v>
      </c>
      <c r="D611" t="s">
        <v>49</v>
      </c>
      <c r="E611">
        <v>23</v>
      </c>
      <c r="F611">
        <v>11.3</v>
      </c>
      <c r="G611" t="s">
        <v>76</v>
      </c>
      <c r="H611" t="s">
        <v>95</v>
      </c>
      <c r="I611" s="1">
        <v>46063.39166666667</v>
      </c>
      <c r="J611" s="1">
        <v>46063.411805555559</v>
      </c>
      <c r="K611" s="1">
        <v>46063.450694444444</v>
      </c>
      <c r="L611" s="1">
        <v>46063.459027777775</v>
      </c>
      <c r="M611" s="1">
        <v>46063.486111111109</v>
      </c>
      <c r="N611" s="1">
        <v>46063.503472222219</v>
      </c>
      <c r="O611">
        <v>6</v>
      </c>
      <c r="P611" t="s">
        <v>37</v>
      </c>
      <c r="Q611" t="s">
        <v>82</v>
      </c>
      <c r="R611" t="s">
        <v>239</v>
      </c>
      <c r="S611" t="s">
        <v>84</v>
      </c>
      <c r="T611">
        <v>4000</v>
      </c>
      <c r="U611" t="s">
        <v>35</v>
      </c>
      <c r="V611" t="s">
        <v>36</v>
      </c>
      <c r="W611">
        <v>1</v>
      </c>
      <c r="X611" t="s">
        <v>37</v>
      </c>
      <c r="Y611">
        <v>5</v>
      </c>
      <c r="Z611" t="s">
        <v>168</v>
      </c>
    </row>
    <row r="612" spans="1:26" hidden="1" x14ac:dyDescent="0.2">
      <c r="A612" t="s">
        <v>1354</v>
      </c>
      <c r="B612" t="s">
        <v>1355</v>
      </c>
      <c r="C612" s="1">
        <v>46033</v>
      </c>
      <c r="D612" t="s">
        <v>242</v>
      </c>
      <c r="E612">
        <v>28</v>
      </c>
      <c r="F612">
        <v>9.1999999999999993</v>
      </c>
      <c r="G612" t="s">
        <v>81</v>
      </c>
      <c r="H612" t="s">
        <v>95</v>
      </c>
      <c r="I612" s="1">
        <v>46033.32916666667</v>
      </c>
      <c r="J612" s="1">
        <v>46033.35</v>
      </c>
      <c r="K612" s="1">
        <v>46033.393750000003</v>
      </c>
      <c r="L612" s="1">
        <v>46033.402083333334</v>
      </c>
      <c r="M612" s="1">
        <v>46033.434027777781</v>
      </c>
      <c r="N612" s="1">
        <v>46033.443055555559</v>
      </c>
      <c r="O612">
        <v>5</v>
      </c>
      <c r="P612" t="s">
        <v>115</v>
      </c>
      <c r="Q612" t="s">
        <v>69</v>
      </c>
      <c r="R612" t="s">
        <v>111</v>
      </c>
      <c r="S612" t="s">
        <v>71</v>
      </c>
      <c r="T612">
        <v>2000</v>
      </c>
      <c r="U612" t="s">
        <v>35</v>
      </c>
      <c r="V612" t="s">
        <v>36</v>
      </c>
      <c r="W612">
        <v>1</v>
      </c>
      <c r="X612" t="s">
        <v>37</v>
      </c>
      <c r="Y612">
        <v>4</v>
      </c>
      <c r="Z612" t="s">
        <v>61</v>
      </c>
    </row>
    <row r="613" spans="1:26" hidden="1" x14ac:dyDescent="0.2">
      <c r="A613" t="s">
        <v>1356</v>
      </c>
      <c r="B613" t="s">
        <v>1357</v>
      </c>
      <c r="C613" s="1">
        <v>46066</v>
      </c>
      <c r="D613" t="s">
        <v>289</v>
      </c>
      <c r="E613">
        <v>31</v>
      </c>
      <c r="F613">
        <v>7.4</v>
      </c>
      <c r="G613" t="s">
        <v>57</v>
      </c>
      <c r="H613" t="s">
        <v>65</v>
      </c>
      <c r="I613" s="1">
        <v>46066.337500000001</v>
      </c>
      <c r="J613" s="1">
        <v>46066.354861111111</v>
      </c>
      <c r="K613" s="1">
        <v>46066.379166666666</v>
      </c>
      <c r="L613" s="1">
        <v>46066.386111111111</v>
      </c>
      <c r="M613" s="1">
        <v>46066.413194444445</v>
      </c>
      <c r="N613" s="1">
        <v>46066.416666666664</v>
      </c>
      <c r="O613">
        <v>2</v>
      </c>
      <c r="P613" t="s">
        <v>129</v>
      </c>
      <c r="Q613" t="s">
        <v>32</v>
      </c>
      <c r="R613" t="s">
        <v>77</v>
      </c>
      <c r="S613" t="s">
        <v>34</v>
      </c>
      <c r="T613">
        <v>5000</v>
      </c>
      <c r="U613" t="s">
        <v>35</v>
      </c>
      <c r="V613" t="s">
        <v>36</v>
      </c>
      <c r="W613">
        <v>1</v>
      </c>
      <c r="X613" t="s">
        <v>37</v>
      </c>
      <c r="Y613">
        <v>4</v>
      </c>
      <c r="Z613" t="s">
        <v>117</v>
      </c>
    </row>
    <row r="614" spans="1:26" hidden="1" x14ac:dyDescent="0.2">
      <c r="A614" t="s">
        <v>1358</v>
      </c>
      <c r="B614" t="s">
        <v>1359</v>
      </c>
      <c r="C614" s="1">
        <v>46027</v>
      </c>
      <c r="D614" t="s">
        <v>64</v>
      </c>
      <c r="E614">
        <v>15</v>
      </c>
      <c r="F614">
        <v>11.9</v>
      </c>
      <c r="G614" t="s">
        <v>57</v>
      </c>
      <c r="H614" t="s">
        <v>65</v>
      </c>
      <c r="I614" s="1">
        <v>46027.40347222222</v>
      </c>
      <c r="J614" s="1">
        <v>46027.418055555558</v>
      </c>
      <c r="K614" s="1">
        <v>46027.459027777775</v>
      </c>
      <c r="L614" s="1">
        <v>46027.47152777778</v>
      </c>
      <c r="M614" s="1">
        <v>46027.493750000001</v>
      </c>
      <c r="N614" s="1">
        <v>46027.50277777778</v>
      </c>
      <c r="O614">
        <v>4</v>
      </c>
      <c r="P614" t="s">
        <v>37</v>
      </c>
      <c r="Q614" t="s">
        <v>43</v>
      </c>
      <c r="R614" t="s">
        <v>90</v>
      </c>
      <c r="S614" t="s">
        <v>45</v>
      </c>
      <c r="T614">
        <v>2500</v>
      </c>
      <c r="U614" t="s">
        <v>35</v>
      </c>
      <c r="V614" t="s">
        <v>36</v>
      </c>
      <c r="W614">
        <v>1</v>
      </c>
      <c r="X614" t="s">
        <v>37</v>
      </c>
      <c r="Y614">
        <v>4</v>
      </c>
      <c r="Z614" t="s">
        <v>46</v>
      </c>
    </row>
    <row r="615" spans="1:26" hidden="1" x14ac:dyDescent="0.2">
      <c r="A615" t="s">
        <v>1360</v>
      </c>
      <c r="B615" t="s">
        <v>1361</v>
      </c>
      <c r="C615" s="1">
        <v>46098</v>
      </c>
      <c r="D615" t="s">
        <v>80</v>
      </c>
      <c r="E615">
        <v>7</v>
      </c>
      <c r="F615">
        <v>4.5999999999999996</v>
      </c>
      <c r="G615" t="s">
        <v>76</v>
      </c>
      <c r="H615" t="s">
        <v>157</v>
      </c>
      <c r="I615" s="1">
        <v>46098.411805555559</v>
      </c>
      <c r="J615" s="1">
        <v>46098.424305555556</v>
      </c>
      <c r="K615" s="1">
        <v>46098.486805555556</v>
      </c>
      <c r="L615" s="1">
        <v>46098.5</v>
      </c>
      <c r="M615" s="1">
        <v>46098.539583333331</v>
      </c>
      <c r="N615" s="1">
        <v>46098.561805555553</v>
      </c>
      <c r="O615">
        <v>3</v>
      </c>
      <c r="P615" t="s">
        <v>37</v>
      </c>
      <c r="Q615" t="s">
        <v>69</v>
      </c>
      <c r="R615" t="s">
        <v>111</v>
      </c>
      <c r="S615" t="s">
        <v>71</v>
      </c>
      <c r="T615">
        <v>2000</v>
      </c>
      <c r="U615" t="s">
        <v>35</v>
      </c>
      <c r="V615" t="s">
        <v>36</v>
      </c>
      <c r="W615">
        <v>1</v>
      </c>
      <c r="X615" t="s">
        <v>37</v>
      </c>
      <c r="Y615">
        <v>5</v>
      </c>
      <c r="Z615" t="s">
        <v>215</v>
      </c>
    </row>
    <row r="616" spans="1:26" hidden="1" x14ac:dyDescent="0.2">
      <c r="A616" t="s">
        <v>1362</v>
      </c>
      <c r="B616" t="s">
        <v>1363</v>
      </c>
      <c r="C616" s="1">
        <v>46033</v>
      </c>
      <c r="D616" t="s">
        <v>123</v>
      </c>
      <c r="E616">
        <v>34</v>
      </c>
      <c r="F616">
        <v>7</v>
      </c>
      <c r="G616" t="s">
        <v>50</v>
      </c>
      <c r="H616" t="s">
        <v>95</v>
      </c>
      <c r="I616" s="1">
        <v>46033.340277777781</v>
      </c>
      <c r="J616" s="1">
        <v>46033.359722222223</v>
      </c>
      <c r="K616" s="1">
        <v>46033.418749999997</v>
      </c>
      <c r="L616" s="1">
        <v>46033.427777777775</v>
      </c>
      <c r="M616" s="1">
        <v>46033.46875</v>
      </c>
      <c r="N616" s="1">
        <v>46033.476388888892</v>
      </c>
      <c r="O616">
        <v>2</v>
      </c>
      <c r="P616" t="s">
        <v>37</v>
      </c>
      <c r="Q616" t="s">
        <v>32</v>
      </c>
      <c r="R616" t="s">
        <v>66</v>
      </c>
      <c r="S616" t="s">
        <v>34</v>
      </c>
      <c r="T616">
        <v>5000</v>
      </c>
      <c r="U616" t="s">
        <v>35</v>
      </c>
      <c r="V616" t="s">
        <v>36</v>
      </c>
      <c r="W616">
        <v>1</v>
      </c>
      <c r="X616" t="s">
        <v>37</v>
      </c>
      <c r="Y616">
        <v>5</v>
      </c>
      <c r="Z616" t="s">
        <v>215</v>
      </c>
    </row>
    <row r="617" spans="1:26" hidden="1" x14ac:dyDescent="0.2">
      <c r="A617" t="s">
        <v>1364</v>
      </c>
      <c r="B617" t="s">
        <v>1365</v>
      </c>
      <c r="C617" s="1">
        <v>46077</v>
      </c>
      <c r="D617" t="s">
        <v>149</v>
      </c>
      <c r="E617">
        <v>25</v>
      </c>
      <c r="F617">
        <v>10.1</v>
      </c>
      <c r="G617" t="s">
        <v>57</v>
      </c>
      <c r="H617" t="s">
        <v>51</v>
      </c>
      <c r="I617" s="1">
        <v>46077.394444444442</v>
      </c>
      <c r="J617" s="1">
        <v>46077.413888888892</v>
      </c>
      <c r="K617" s="1">
        <v>46077.438888888886</v>
      </c>
      <c r="L617" s="1">
        <v>46077.451388888891</v>
      </c>
      <c r="M617" s="1">
        <v>46077.481249999997</v>
      </c>
      <c r="N617" s="1">
        <v>46077.496527777781</v>
      </c>
      <c r="O617">
        <v>5</v>
      </c>
      <c r="P617" t="s">
        <v>37</v>
      </c>
      <c r="Q617" t="s">
        <v>96</v>
      </c>
      <c r="R617" t="s">
        <v>97</v>
      </c>
      <c r="S617" t="s">
        <v>98</v>
      </c>
      <c r="T617">
        <v>3000</v>
      </c>
      <c r="U617" t="s">
        <v>35</v>
      </c>
      <c r="V617" t="s">
        <v>36</v>
      </c>
      <c r="W617">
        <v>1</v>
      </c>
      <c r="X617" t="s">
        <v>37</v>
      </c>
      <c r="Y617">
        <v>3</v>
      </c>
      <c r="Z617" t="s">
        <v>161</v>
      </c>
    </row>
    <row r="618" spans="1:26" hidden="1" x14ac:dyDescent="0.2">
      <c r="A618" t="s">
        <v>1366</v>
      </c>
      <c r="B618" t="s">
        <v>1367</v>
      </c>
      <c r="C618" s="1">
        <v>46085</v>
      </c>
      <c r="D618" t="s">
        <v>225</v>
      </c>
      <c r="E618">
        <v>23</v>
      </c>
      <c r="F618">
        <v>11.5</v>
      </c>
      <c r="G618" t="s">
        <v>76</v>
      </c>
      <c r="H618" t="s">
        <v>65</v>
      </c>
      <c r="I618" s="1">
        <v>46085.383333333331</v>
      </c>
      <c r="J618" s="1">
        <v>46085.388888888891</v>
      </c>
      <c r="K618" s="1">
        <v>46085.415972222225</v>
      </c>
      <c r="L618" s="1">
        <v>46085.425000000003</v>
      </c>
      <c r="M618" s="1">
        <v>46085.438194444447</v>
      </c>
      <c r="N618" s="1">
        <v>46085.445833333331</v>
      </c>
      <c r="O618">
        <v>2</v>
      </c>
      <c r="P618" t="s">
        <v>37</v>
      </c>
      <c r="Q618" t="s">
        <v>82</v>
      </c>
      <c r="R618" t="s">
        <v>83</v>
      </c>
      <c r="S618" t="s">
        <v>84</v>
      </c>
      <c r="T618">
        <v>4000</v>
      </c>
      <c r="U618" t="s">
        <v>35</v>
      </c>
      <c r="V618" t="s">
        <v>36</v>
      </c>
      <c r="W618">
        <v>1</v>
      </c>
      <c r="X618" t="s">
        <v>37</v>
      </c>
      <c r="Y618">
        <v>4</v>
      </c>
      <c r="Z618" t="s">
        <v>102</v>
      </c>
    </row>
    <row r="619" spans="1:26" hidden="1" x14ac:dyDescent="0.2">
      <c r="A619" t="s">
        <v>1368</v>
      </c>
      <c r="B619" t="s">
        <v>1369</v>
      </c>
      <c r="C619" s="1">
        <v>46091</v>
      </c>
      <c r="D619" t="s">
        <v>154</v>
      </c>
      <c r="E619">
        <v>36</v>
      </c>
      <c r="F619">
        <v>10.7</v>
      </c>
      <c r="G619" t="s">
        <v>29</v>
      </c>
      <c r="H619" t="s">
        <v>167</v>
      </c>
      <c r="I619" s="1">
        <v>46091.286111111112</v>
      </c>
      <c r="J619" s="1">
        <v>46091.29583333333</v>
      </c>
      <c r="K619" s="1">
        <v>46091.353472222225</v>
      </c>
      <c r="L619" s="1">
        <v>46091.365972222222</v>
      </c>
      <c r="M619" s="1">
        <v>46091.404861111114</v>
      </c>
      <c r="N619" s="1">
        <v>46091.427777777775</v>
      </c>
      <c r="O619">
        <v>5</v>
      </c>
      <c r="P619" t="s">
        <v>115</v>
      </c>
      <c r="Q619" t="s">
        <v>82</v>
      </c>
      <c r="R619" t="s">
        <v>286</v>
      </c>
      <c r="S619" t="s">
        <v>84</v>
      </c>
      <c r="T619">
        <v>4000</v>
      </c>
      <c r="U619" t="s">
        <v>35</v>
      </c>
      <c r="V619" t="s">
        <v>36</v>
      </c>
      <c r="W619">
        <v>1</v>
      </c>
      <c r="X619" t="s">
        <v>37</v>
      </c>
      <c r="Y619">
        <v>5</v>
      </c>
      <c r="Z619" t="s">
        <v>46</v>
      </c>
    </row>
    <row r="620" spans="1:26" hidden="1" x14ac:dyDescent="0.2">
      <c r="A620" t="s">
        <v>1370</v>
      </c>
      <c r="B620" t="s">
        <v>1371</v>
      </c>
      <c r="C620" s="1">
        <v>46079</v>
      </c>
      <c r="D620" t="s">
        <v>145</v>
      </c>
      <c r="E620">
        <v>21</v>
      </c>
      <c r="F620">
        <v>4.7</v>
      </c>
      <c r="G620" t="s">
        <v>57</v>
      </c>
      <c r="H620" t="s">
        <v>167</v>
      </c>
      <c r="I620" s="1">
        <v>46079.379861111112</v>
      </c>
      <c r="J620" s="1">
        <v>46079.397916666669</v>
      </c>
      <c r="K620" s="1">
        <v>46079.414583333331</v>
      </c>
      <c r="L620" s="1">
        <v>46079.425694444442</v>
      </c>
      <c r="M620" s="1">
        <v>46079.436111111114</v>
      </c>
      <c r="N620" s="1">
        <v>46079.449305555558</v>
      </c>
      <c r="O620">
        <v>6</v>
      </c>
      <c r="P620" t="s">
        <v>106</v>
      </c>
      <c r="Q620" t="s">
        <v>43</v>
      </c>
      <c r="R620" t="s">
        <v>200</v>
      </c>
      <c r="S620" t="s">
        <v>45</v>
      </c>
      <c r="T620">
        <v>2500</v>
      </c>
      <c r="U620" t="s">
        <v>35</v>
      </c>
      <c r="V620" t="s">
        <v>36</v>
      </c>
      <c r="W620">
        <v>1</v>
      </c>
      <c r="X620" t="s">
        <v>37</v>
      </c>
      <c r="Y620">
        <v>5</v>
      </c>
      <c r="Z620" t="s">
        <v>131</v>
      </c>
    </row>
    <row r="621" spans="1:26" hidden="1" x14ac:dyDescent="0.2">
      <c r="A621" t="s">
        <v>1372</v>
      </c>
      <c r="B621" t="s">
        <v>1373</v>
      </c>
      <c r="C621" s="1">
        <v>46032</v>
      </c>
      <c r="D621" t="s">
        <v>114</v>
      </c>
      <c r="E621">
        <v>32</v>
      </c>
      <c r="F621">
        <v>4.8</v>
      </c>
      <c r="G621" t="s">
        <v>81</v>
      </c>
      <c r="H621" t="s">
        <v>167</v>
      </c>
      <c r="I621" s="1">
        <v>46032.283333333333</v>
      </c>
      <c r="J621" s="1">
        <v>46032.298611111109</v>
      </c>
      <c r="K621" s="1">
        <v>46032.361111111109</v>
      </c>
      <c r="L621" s="1">
        <v>46032.365277777775</v>
      </c>
      <c r="M621" s="1">
        <v>46032.4</v>
      </c>
      <c r="N621" s="1">
        <v>46032.431250000001</v>
      </c>
      <c r="O621">
        <v>1</v>
      </c>
      <c r="P621" t="s">
        <v>31</v>
      </c>
      <c r="Q621" t="s">
        <v>96</v>
      </c>
      <c r="R621" t="s">
        <v>90</v>
      </c>
      <c r="S621" t="s">
        <v>98</v>
      </c>
      <c r="T621">
        <v>3000</v>
      </c>
      <c r="U621" t="s">
        <v>35</v>
      </c>
      <c r="V621" t="s">
        <v>59</v>
      </c>
      <c r="W621">
        <v>2</v>
      </c>
      <c r="X621" t="s">
        <v>353</v>
      </c>
      <c r="Y621">
        <v>4</v>
      </c>
      <c r="Z621" t="s">
        <v>72</v>
      </c>
    </row>
    <row r="622" spans="1:26" hidden="1" x14ac:dyDescent="0.2">
      <c r="A622" t="s">
        <v>1374</v>
      </c>
      <c r="B622" t="s">
        <v>1375</v>
      </c>
      <c r="C622" s="1">
        <v>46086</v>
      </c>
      <c r="D622" t="s">
        <v>149</v>
      </c>
      <c r="E622">
        <v>10</v>
      </c>
      <c r="F622">
        <v>11.6</v>
      </c>
      <c r="G622" t="s">
        <v>57</v>
      </c>
      <c r="H622" t="s">
        <v>51</v>
      </c>
      <c r="I622" s="1">
        <v>46086.32708333333</v>
      </c>
      <c r="J622" s="1">
        <v>46086.331944444442</v>
      </c>
      <c r="K622" s="1">
        <v>46086.381944444445</v>
      </c>
      <c r="L622" s="1">
        <v>46086.38958333333</v>
      </c>
      <c r="M622" s="1">
        <v>46086.427777777775</v>
      </c>
      <c r="N622" s="1">
        <v>46086.438888888886</v>
      </c>
      <c r="O622">
        <v>1</v>
      </c>
      <c r="P622" t="s">
        <v>37</v>
      </c>
      <c r="Q622" t="s">
        <v>82</v>
      </c>
      <c r="R622" t="s">
        <v>83</v>
      </c>
      <c r="S622" t="s">
        <v>84</v>
      </c>
      <c r="T622">
        <v>4000</v>
      </c>
      <c r="U622" t="s">
        <v>35</v>
      </c>
      <c r="V622" t="s">
        <v>36</v>
      </c>
      <c r="W622">
        <v>1</v>
      </c>
      <c r="X622" t="s">
        <v>37</v>
      </c>
      <c r="Y622">
        <v>4</v>
      </c>
      <c r="Z622" t="s">
        <v>134</v>
      </c>
    </row>
    <row r="623" spans="1:26" hidden="1" x14ac:dyDescent="0.2">
      <c r="A623" t="s">
        <v>1376</v>
      </c>
      <c r="B623" t="s">
        <v>1377</v>
      </c>
      <c r="C623" s="1">
        <v>46084</v>
      </c>
      <c r="D623" t="s">
        <v>285</v>
      </c>
      <c r="E623">
        <v>19</v>
      </c>
      <c r="F623">
        <v>11</v>
      </c>
      <c r="G623" t="s">
        <v>50</v>
      </c>
      <c r="H623" t="s">
        <v>157</v>
      </c>
      <c r="I623" s="1">
        <v>46084.390972222223</v>
      </c>
      <c r="J623" s="1">
        <v>46084.408333333333</v>
      </c>
      <c r="K623" s="1">
        <v>46084.45</v>
      </c>
      <c r="L623" s="1">
        <v>46084.461111111108</v>
      </c>
      <c r="M623" s="1">
        <v>46084.491666666669</v>
      </c>
      <c r="N623" s="1">
        <v>46084.515972222223</v>
      </c>
      <c r="O623">
        <v>3</v>
      </c>
      <c r="P623" t="s">
        <v>238</v>
      </c>
      <c r="Q623" t="s">
        <v>82</v>
      </c>
      <c r="R623" t="s">
        <v>33</v>
      </c>
      <c r="S623" t="s">
        <v>84</v>
      </c>
      <c r="T623">
        <v>4000</v>
      </c>
      <c r="U623" t="s">
        <v>91</v>
      </c>
      <c r="V623" t="s">
        <v>59</v>
      </c>
      <c r="W623">
        <v>3</v>
      </c>
      <c r="X623" t="s">
        <v>193</v>
      </c>
      <c r="Y623">
        <v>5</v>
      </c>
      <c r="Z623" t="s">
        <v>99</v>
      </c>
    </row>
    <row r="624" spans="1:26" hidden="1" x14ac:dyDescent="0.2">
      <c r="A624" t="s">
        <v>1378</v>
      </c>
      <c r="B624" t="s">
        <v>1379</v>
      </c>
      <c r="C624" s="1">
        <v>46107</v>
      </c>
      <c r="D624" t="s">
        <v>181</v>
      </c>
      <c r="E624">
        <v>34</v>
      </c>
      <c r="F624">
        <v>11.7</v>
      </c>
      <c r="G624" t="s">
        <v>29</v>
      </c>
      <c r="H624" t="s">
        <v>167</v>
      </c>
      <c r="I624" s="1">
        <v>46107.373611111114</v>
      </c>
      <c r="J624" s="1">
        <v>46107.385416666664</v>
      </c>
      <c r="K624" s="1">
        <v>46107.40347222222</v>
      </c>
      <c r="L624" s="1">
        <v>46107.417361111111</v>
      </c>
      <c r="M624" s="1">
        <v>46107.445833333331</v>
      </c>
      <c r="N624" s="1">
        <v>46107.475694444445</v>
      </c>
      <c r="O624">
        <v>4</v>
      </c>
      <c r="P624" t="s">
        <v>37</v>
      </c>
      <c r="Q624" t="s">
        <v>32</v>
      </c>
      <c r="R624" t="s">
        <v>278</v>
      </c>
      <c r="S624" t="s">
        <v>34</v>
      </c>
      <c r="T624">
        <v>5000</v>
      </c>
      <c r="U624" t="s">
        <v>35</v>
      </c>
      <c r="V624" t="s">
        <v>36</v>
      </c>
      <c r="W624">
        <v>1</v>
      </c>
      <c r="X624" t="s">
        <v>37</v>
      </c>
      <c r="Y624">
        <v>3</v>
      </c>
      <c r="Z624" t="s">
        <v>46</v>
      </c>
    </row>
    <row r="625" spans="1:26" hidden="1" x14ac:dyDescent="0.2">
      <c r="A625" t="s">
        <v>1380</v>
      </c>
      <c r="B625" t="s">
        <v>1381</v>
      </c>
      <c r="C625" s="1">
        <v>46030</v>
      </c>
      <c r="D625" t="s">
        <v>75</v>
      </c>
      <c r="E625">
        <v>25</v>
      </c>
      <c r="F625">
        <v>7.3</v>
      </c>
      <c r="G625" t="s">
        <v>50</v>
      </c>
      <c r="H625" t="s">
        <v>157</v>
      </c>
      <c r="I625" s="1">
        <v>46030.320833333331</v>
      </c>
      <c r="J625" s="1">
        <v>46030.329861111109</v>
      </c>
      <c r="K625" s="1">
        <v>46030.34097222222</v>
      </c>
      <c r="L625" s="1">
        <v>46030.35</v>
      </c>
      <c r="M625" s="1">
        <v>46030.378472222219</v>
      </c>
      <c r="N625" s="1">
        <v>46030.39166666667</v>
      </c>
      <c r="O625">
        <v>3</v>
      </c>
      <c r="P625" t="s">
        <v>37</v>
      </c>
      <c r="Q625" t="s">
        <v>96</v>
      </c>
      <c r="R625" t="s">
        <v>214</v>
      </c>
      <c r="S625" t="s">
        <v>98</v>
      </c>
      <c r="T625">
        <v>3000</v>
      </c>
      <c r="U625" t="s">
        <v>35</v>
      </c>
      <c r="V625" t="s">
        <v>36</v>
      </c>
      <c r="W625">
        <v>1</v>
      </c>
      <c r="X625" t="s">
        <v>37</v>
      </c>
      <c r="Y625">
        <v>3</v>
      </c>
      <c r="Z625" t="s">
        <v>86</v>
      </c>
    </row>
    <row r="626" spans="1:26" hidden="1" x14ac:dyDescent="0.2">
      <c r="A626" t="s">
        <v>1382</v>
      </c>
      <c r="B626" t="s">
        <v>1383</v>
      </c>
      <c r="C626" s="1">
        <v>46091</v>
      </c>
      <c r="D626" t="s">
        <v>267</v>
      </c>
      <c r="E626">
        <v>13</v>
      </c>
      <c r="F626">
        <v>8.8000000000000007</v>
      </c>
      <c r="G626" t="s">
        <v>29</v>
      </c>
      <c r="H626" t="s">
        <v>30</v>
      </c>
      <c r="I626" s="1">
        <v>46091.253472222219</v>
      </c>
      <c r="J626" s="1">
        <v>46091.274305555555</v>
      </c>
      <c r="K626" s="1">
        <v>46091.314583333333</v>
      </c>
      <c r="L626" s="1">
        <v>46091.319444444445</v>
      </c>
      <c r="M626" s="1">
        <v>46091.36041666667</v>
      </c>
      <c r="N626" s="1">
        <v>46091.378472222219</v>
      </c>
      <c r="O626">
        <v>3</v>
      </c>
      <c r="P626" t="s">
        <v>37</v>
      </c>
      <c r="Q626" t="s">
        <v>32</v>
      </c>
      <c r="R626" t="s">
        <v>66</v>
      </c>
      <c r="S626" t="s">
        <v>34</v>
      </c>
      <c r="T626">
        <v>5000</v>
      </c>
      <c r="U626" t="s">
        <v>35</v>
      </c>
      <c r="V626" t="s">
        <v>36</v>
      </c>
      <c r="W626">
        <v>1</v>
      </c>
      <c r="X626" t="s">
        <v>37</v>
      </c>
      <c r="Y626">
        <v>4</v>
      </c>
      <c r="Z626" t="s">
        <v>99</v>
      </c>
    </row>
    <row r="627" spans="1:26" hidden="1" x14ac:dyDescent="0.2">
      <c r="A627" t="s">
        <v>1384</v>
      </c>
      <c r="B627" t="s">
        <v>1385</v>
      </c>
      <c r="C627" s="1">
        <v>46048</v>
      </c>
      <c r="D627" t="s">
        <v>126</v>
      </c>
      <c r="E627">
        <v>19</v>
      </c>
      <c r="F627">
        <v>6.3</v>
      </c>
      <c r="G627" t="s">
        <v>57</v>
      </c>
      <c r="H627" t="s">
        <v>167</v>
      </c>
      <c r="I627" s="1">
        <v>46048.308333333334</v>
      </c>
      <c r="J627" s="1">
        <v>46048.320833333331</v>
      </c>
      <c r="K627" s="1">
        <v>46048.34652777778</v>
      </c>
      <c r="L627" s="1">
        <v>46048.354861111111</v>
      </c>
      <c r="M627" s="1">
        <v>46048.361805555556</v>
      </c>
      <c r="N627" s="1">
        <v>46048.366666666669</v>
      </c>
      <c r="O627">
        <v>7</v>
      </c>
      <c r="P627" t="s">
        <v>31</v>
      </c>
      <c r="Q627" t="s">
        <v>69</v>
      </c>
      <c r="R627" t="s">
        <v>70</v>
      </c>
      <c r="S627" t="s">
        <v>71</v>
      </c>
      <c r="T627">
        <v>2000</v>
      </c>
      <c r="U627" t="s">
        <v>35</v>
      </c>
      <c r="V627" t="s">
        <v>36</v>
      </c>
      <c r="W627">
        <v>1</v>
      </c>
      <c r="X627" t="s">
        <v>37</v>
      </c>
      <c r="Y627">
        <v>4</v>
      </c>
      <c r="Z627" t="s">
        <v>296</v>
      </c>
    </row>
    <row r="628" spans="1:26" hidden="1" x14ac:dyDescent="0.2">
      <c r="A628" t="s">
        <v>1386</v>
      </c>
      <c r="B628" t="s">
        <v>1387</v>
      </c>
      <c r="C628" s="1">
        <v>46061</v>
      </c>
      <c r="D628" t="s">
        <v>178</v>
      </c>
      <c r="E628">
        <v>20</v>
      </c>
      <c r="F628">
        <v>4.3</v>
      </c>
      <c r="G628" t="s">
        <v>29</v>
      </c>
      <c r="H628" t="s">
        <v>42</v>
      </c>
      <c r="I628" s="1">
        <v>46061.388888888891</v>
      </c>
      <c r="J628" s="1">
        <v>46061.400694444441</v>
      </c>
      <c r="K628" s="1">
        <v>46061.443055555559</v>
      </c>
      <c r="L628" s="1">
        <v>46061.449305555558</v>
      </c>
      <c r="M628" s="1">
        <v>46061.488888888889</v>
      </c>
      <c r="N628" s="1">
        <v>46061.504166666666</v>
      </c>
      <c r="O628">
        <v>7</v>
      </c>
      <c r="P628" t="s">
        <v>238</v>
      </c>
      <c r="Q628" t="s">
        <v>82</v>
      </c>
      <c r="R628" t="s">
        <v>211</v>
      </c>
      <c r="S628" t="s">
        <v>84</v>
      </c>
      <c r="T628">
        <v>4000</v>
      </c>
      <c r="U628" t="s">
        <v>35</v>
      </c>
      <c r="V628" t="s">
        <v>36</v>
      </c>
      <c r="W628">
        <v>1</v>
      </c>
      <c r="X628" t="s">
        <v>37</v>
      </c>
      <c r="Y628">
        <v>5</v>
      </c>
      <c r="Z628" t="s">
        <v>102</v>
      </c>
    </row>
    <row r="629" spans="1:26" hidden="1" x14ac:dyDescent="0.2">
      <c r="A629" t="s">
        <v>1388</v>
      </c>
      <c r="B629" t="s">
        <v>1389</v>
      </c>
      <c r="C629" s="1">
        <v>46092</v>
      </c>
      <c r="D629" t="s">
        <v>80</v>
      </c>
      <c r="E629">
        <v>30</v>
      </c>
      <c r="F629">
        <v>5.6</v>
      </c>
      <c r="G629" t="s">
        <v>81</v>
      </c>
      <c r="H629" t="s">
        <v>42</v>
      </c>
      <c r="I629" s="1">
        <v>46092.304861111108</v>
      </c>
      <c r="J629" s="1">
        <v>46092.325694444444</v>
      </c>
      <c r="K629" s="1">
        <v>46092.361111111109</v>
      </c>
      <c r="L629" s="1">
        <v>46092.373611111114</v>
      </c>
      <c r="M629" s="1">
        <v>46092.402777777781</v>
      </c>
      <c r="N629" s="1">
        <v>46092.406944444447</v>
      </c>
      <c r="O629">
        <v>3</v>
      </c>
      <c r="P629" t="s">
        <v>106</v>
      </c>
      <c r="Q629" t="s">
        <v>82</v>
      </c>
      <c r="R629" t="s">
        <v>286</v>
      </c>
      <c r="S629" t="s">
        <v>84</v>
      </c>
      <c r="T629">
        <v>4000</v>
      </c>
      <c r="U629" t="s">
        <v>35</v>
      </c>
      <c r="V629" t="s">
        <v>59</v>
      </c>
      <c r="W629">
        <v>4</v>
      </c>
      <c r="X629" t="s">
        <v>193</v>
      </c>
      <c r="Y629">
        <v>4</v>
      </c>
      <c r="Z629" t="s">
        <v>117</v>
      </c>
    </row>
    <row r="630" spans="1:26" hidden="1" x14ac:dyDescent="0.2">
      <c r="A630" t="s">
        <v>1390</v>
      </c>
      <c r="B630" t="s">
        <v>1391</v>
      </c>
      <c r="C630" s="1">
        <v>46075</v>
      </c>
      <c r="D630" t="s">
        <v>75</v>
      </c>
      <c r="E630">
        <v>23</v>
      </c>
      <c r="F630">
        <v>11.3</v>
      </c>
      <c r="G630" t="s">
        <v>81</v>
      </c>
      <c r="H630" t="s">
        <v>65</v>
      </c>
      <c r="I630" s="1">
        <v>46075.293055555558</v>
      </c>
      <c r="J630" s="1">
        <v>46075.304861111108</v>
      </c>
      <c r="K630" s="1">
        <v>46075.313194444447</v>
      </c>
      <c r="L630" s="1">
        <v>46075.32708333333</v>
      </c>
      <c r="M630" s="1">
        <v>46075.365972222222</v>
      </c>
      <c r="N630" s="1">
        <v>46075.386805555558</v>
      </c>
      <c r="O630">
        <v>3</v>
      </c>
      <c r="P630" t="s">
        <v>37</v>
      </c>
      <c r="Q630" t="s">
        <v>96</v>
      </c>
      <c r="R630" t="s">
        <v>97</v>
      </c>
      <c r="S630" t="s">
        <v>98</v>
      </c>
      <c r="T630">
        <v>3000</v>
      </c>
      <c r="U630" t="s">
        <v>35</v>
      </c>
      <c r="V630" t="s">
        <v>36</v>
      </c>
      <c r="W630">
        <v>1</v>
      </c>
      <c r="X630" t="s">
        <v>37</v>
      </c>
      <c r="Y630">
        <v>4</v>
      </c>
      <c r="Z630" t="s">
        <v>102</v>
      </c>
    </row>
    <row r="631" spans="1:26" hidden="1" x14ac:dyDescent="0.2">
      <c r="A631" t="s">
        <v>1392</v>
      </c>
      <c r="B631" t="s">
        <v>1393</v>
      </c>
      <c r="C631" s="1">
        <v>46052</v>
      </c>
      <c r="D631" t="s">
        <v>225</v>
      </c>
      <c r="E631">
        <v>11</v>
      </c>
      <c r="F631">
        <v>9.1</v>
      </c>
      <c r="G631" t="s">
        <v>76</v>
      </c>
      <c r="H631" t="s">
        <v>95</v>
      </c>
      <c r="I631" s="1">
        <v>46052.393750000003</v>
      </c>
      <c r="J631" s="1">
        <v>46052.411111111112</v>
      </c>
      <c r="K631" s="1">
        <v>46052.425000000003</v>
      </c>
      <c r="L631" s="1">
        <v>46052.430555555555</v>
      </c>
      <c r="M631" s="1">
        <v>46052.461805555555</v>
      </c>
      <c r="N631" s="1">
        <v>46052.472222222219</v>
      </c>
      <c r="O631">
        <v>2</v>
      </c>
      <c r="P631" t="s">
        <v>37</v>
      </c>
      <c r="Q631" t="s">
        <v>96</v>
      </c>
      <c r="R631" t="s">
        <v>97</v>
      </c>
      <c r="S631" t="s">
        <v>98</v>
      </c>
      <c r="T631">
        <v>3000</v>
      </c>
      <c r="U631" t="s">
        <v>35</v>
      </c>
      <c r="V631" t="s">
        <v>36</v>
      </c>
      <c r="W631">
        <v>1</v>
      </c>
      <c r="X631" t="s">
        <v>37</v>
      </c>
      <c r="Y631">
        <v>3</v>
      </c>
      <c r="Z631" t="s">
        <v>215</v>
      </c>
    </row>
    <row r="632" spans="1:26" hidden="1" x14ac:dyDescent="0.2">
      <c r="A632" t="s">
        <v>1394</v>
      </c>
      <c r="B632" t="s">
        <v>1395</v>
      </c>
      <c r="C632" s="1">
        <v>46089</v>
      </c>
      <c r="D632" t="s">
        <v>233</v>
      </c>
      <c r="E632">
        <v>8</v>
      </c>
      <c r="F632">
        <v>10.1</v>
      </c>
      <c r="G632" t="s">
        <v>76</v>
      </c>
      <c r="H632" t="s">
        <v>157</v>
      </c>
      <c r="I632" s="1">
        <v>46089.304861111108</v>
      </c>
      <c r="J632" s="1">
        <v>46089.324305555558</v>
      </c>
      <c r="K632" s="1">
        <v>46089.361111111109</v>
      </c>
      <c r="L632" s="1">
        <v>46089.367361111108</v>
      </c>
      <c r="M632" s="1">
        <v>46089.375694444447</v>
      </c>
      <c r="N632" s="1">
        <v>46089.393055555556</v>
      </c>
      <c r="O632">
        <v>6</v>
      </c>
      <c r="P632" t="s">
        <v>37</v>
      </c>
      <c r="Q632" t="s">
        <v>69</v>
      </c>
      <c r="R632" t="s">
        <v>146</v>
      </c>
      <c r="S632" t="s">
        <v>71</v>
      </c>
      <c r="T632">
        <v>2000</v>
      </c>
      <c r="U632" t="s">
        <v>35</v>
      </c>
      <c r="V632" t="s">
        <v>36</v>
      </c>
      <c r="W632">
        <v>1</v>
      </c>
      <c r="X632" t="s">
        <v>37</v>
      </c>
      <c r="Y632">
        <v>5</v>
      </c>
      <c r="Z632" t="s">
        <v>61</v>
      </c>
    </row>
    <row r="633" spans="1:26" hidden="1" x14ac:dyDescent="0.2">
      <c r="A633" t="s">
        <v>1396</v>
      </c>
      <c r="B633" t="s">
        <v>1397</v>
      </c>
      <c r="C633" s="1">
        <v>46085</v>
      </c>
      <c r="D633" t="s">
        <v>75</v>
      </c>
      <c r="E633">
        <v>20</v>
      </c>
      <c r="F633">
        <v>6.6</v>
      </c>
      <c r="G633" t="s">
        <v>50</v>
      </c>
      <c r="H633" t="s">
        <v>65</v>
      </c>
      <c r="I633" s="1">
        <v>46085.348611111112</v>
      </c>
      <c r="J633" s="1">
        <v>46085.368055555555</v>
      </c>
      <c r="K633" s="1">
        <v>46085.381944444445</v>
      </c>
      <c r="L633" s="1">
        <v>46085.387499999997</v>
      </c>
      <c r="M633" s="1">
        <v>46085.413194444445</v>
      </c>
      <c r="N633" s="1">
        <v>46085.419444444444</v>
      </c>
      <c r="O633">
        <v>4</v>
      </c>
      <c r="P633" t="s">
        <v>238</v>
      </c>
      <c r="Q633" t="s">
        <v>43</v>
      </c>
      <c r="R633" t="s">
        <v>58</v>
      </c>
      <c r="S633" t="s">
        <v>45</v>
      </c>
      <c r="T633">
        <v>2500</v>
      </c>
      <c r="U633" t="s">
        <v>35</v>
      </c>
      <c r="V633" t="s">
        <v>36</v>
      </c>
      <c r="W633">
        <v>1</v>
      </c>
      <c r="X633" t="s">
        <v>37</v>
      </c>
      <c r="Y633">
        <v>3</v>
      </c>
      <c r="Z633" t="s">
        <v>72</v>
      </c>
    </row>
    <row r="634" spans="1:26" hidden="1" x14ac:dyDescent="0.2">
      <c r="A634" t="s">
        <v>1398</v>
      </c>
      <c r="B634" t="s">
        <v>1399</v>
      </c>
      <c r="C634" s="1">
        <v>46027</v>
      </c>
      <c r="D634" t="s">
        <v>145</v>
      </c>
      <c r="E634">
        <v>15</v>
      </c>
      <c r="F634">
        <v>9</v>
      </c>
      <c r="G634" t="s">
        <v>81</v>
      </c>
      <c r="H634" t="s">
        <v>157</v>
      </c>
      <c r="I634" s="1">
        <v>46027.274305555555</v>
      </c>
      <c r="J634" s="1">
        <v>46027.293749999997</v>
      </c>
      <c r="K634" s="1">
        <v>46027.349305555559</v>
      </c>
      <c r="L634" s="1">
        <v>46027.361805555556</v>
      </c>
      <c r="M634" s="1">
        <v>46027.386111111111</v>
      </c>
      <c r="N634" s="1">
        <v>46027.38958333333</v>
      </c>
      <c r="O634">
        <v>3</v>
      </c>
      <c r="P634" t="s">
        <v>129</v>
      </c>
      <c r="Q634" t="s">
        <v>43</v>
      </c>
      <c r="R634" t="s">
        <v>200</v>
      </c>
      <c r="S634" t="s">
        <v>45</v>
      </c>
      <c r="T634">
        <v>2500</v>
      </c>
      <c r="U634" t="s">
        <v>35</v>
      </c>
      <c r="V634" t="s">
        <v>59</v>
      </c>
      <c r="W634">
        <v>3</v>
      </c>
      <c r="X634" t="s">
        <v>374</v>
      </c>
      <c r="Y634">
        <v>4</v>
      </c>
      <c r="Z634" t="s">
        <v>86</v>
      </c>
    </row>
    <row r="635" spans="1:26" hidden="1" x14ac:dyDescent="0.2">
      <c r="A635" t="s">
        <v>1400</v>
      </c>
      <c r="B635" t="s">
        <v>1401</v>
      </c>
      <c r="C635" s="1">
        <v>46095</v>
      </c>
      <c r="D635" t="s">
        <v>105</v>
      </c>
      <c r="E635">
        <v>23</v>
      </c>
      <c r="F635">
        <v>8.1999999999999993</v>
      </c>
      <c r="G635" t="s">
        <v>57</v>
      </c>
      <c r="H635" t="s">
        <v>42</v>
      </c>
      <c r="I635" s="1">
        <v>46095.359027777777</v>
      </c>
      <c r="J635" s="1">
        <v>46095.37777777778</v>
      </c>
      <c r="K635" s="1">
        <v>46095.417361111111</v>
      </c>
      <c r="L635" s="1">
        <v>46095.426388888889</v>
      </c>
      <c r="M635" s="1">
        <v>46095.45416666667</v>
      </c>
      <c r="N635" s="1">
        <v>46095.477777777778</v>
      </c>
      <c r="O635">
        <v>2</v>
      </c>
      <c r="P635" t="s">
        <v>37</v>
      </c>
      <c r="Q635" t="s">
        <v>82</v>
      </c>
      <c r="R635" t="s">
        <v>83</v>
      </c>
      <c r="S635" t="s">
        <v>84</v>
      </c>
      <c r="T635">
        <v>4000</v>
      </c>
      <c r="U635" t="s">
        <v>91</v>
      </c>
      <c r="V635" t="s">
        <v>36</v>
      </c>
      <c r="W635">
        <v>1</v>
      </c>
      <c r="X635" t="s">
        <v>37</v>
      </c>
      <c r="Y635">
        <v>5</v>
      </c>
      <c r="Z635" t="s">
        <v>296</v>
      </c>
    </row>
    <row r="636" spans="1:26" hidden="1" x14ac:dyDescent="0.2">
      <c r="A636" t="s">
        <v>1402</v>
      </c>
      <c r="B636" t="s">
        <v>1403</v>
      </c>
      <c r="C636" s="1">
        <v>46090</v>
      </c>
      <c r="D636" t="s">
        <v>114</v>
      </c>
      <c r="E636">
        <v>25</v>
      </c>
      <c r="F636">
        <v>7.3</v>
      </c>
      <c r="G636" t="s">
        <v>57</v>
      </c>
      <c r="H636" t="s">
        <v>157</v>
      </c>
      <c r="I636" s="1">
        <v>46090.261805555558</v>
      </c>
      <c r="J636" s="1">
        <v>46090.265277777777</v>
      </c>
      <c r="K636" s="1">
        <v>46090.299305555556</v>
      </c>
      <c r="L636" s="1">
        <v>46090.306944444441</v>
      </c>
      <c r="M636" s="1">
        <v>46090.322222222225</v>
      </c>
      <c r="N636" s="1">
        <v>46090.329861111109</v>
      </c>
      <c r="O636">
        <v>5</v>
      </c>
      <c r="P636" t="s">
        <v>37</v>
      </c>
      <c r="Q636" t="s">
        <v>43</v>
      </c>
      <c r="R636" t="s">
        <v>90</v>
      </c>
      <c r="S636" t="s">
        <v>45</v>
      </c>
      <c r="T636">
        <v>2500</v>
      </c>
      <c r="U636" t="s">
        <v>35</v>
      </c>
      <c r="V636" t="s">
        <v>36</v>
      </c>
      <c r="W636">
        <v>1</v>
      </c>
      <c r="X636" t="s">
        <v>37</v>
      </c>
      <c r="Y636">
        <v>4</v>
      </c>
      <c r="Z636" t="s">
        <v>117</v>
      </c>
    </row>
    <row r="637" spans="1:26" hidden="1" x14ac:dyDescent="0.2">
      <c r="A637" t="s">
        <v>1404</v>
      </c>
      <c r="B637" t="s">
        <v>1405</v>
      </c>
      <c r="C637" s="1">
        <v>46104</v>
      </c>
      <c r="D637" t="s">
        <v>75</v>
      </c>
      <c r="E637">
        <v>5</v>
      </c>
      <c r="F637">
        <v>11.4</v>
      </c>
      <c r="G637" t="s">
        <v>76</v>
      </c>
      <c r="H637" t="s">
        <v>167</v>
      </c>
      <c r="I637" s="1">
        <v>46104.395833333336</v>
      </c>
      <c r="J637" s="1">
        <v>46104.408333333333</v>
      </c>
      <c r="K637" s="1">
        <v>46104.466666666667</v>
      </c>
      <c r="L637" s="1">
        <v>46104.476388888892</v>
      </c>
      <c r="M637" s="1">
        <v>46104.499305555553</v>
      </c>
      <c r="N637" s="1">
        <v>46104.529861111114</v>
      </c>
      <c r="O637">
        <v>7</v>
      </c>
      <c r="P637" t="s">
        <v>37</v>
      </c>
      <c r="Q637" t="s">
        <v>82</v>
      </c>
      <c r="R637" t="s">
        <v>33</v>
      </c>
      <c r="S637" t="s">
        <v>84</v>
      </c>
      <c r="T637">
        <v>4000</v>
      </c>
      <c r="U637" t="s">
        <v>35</v>
      </c>
      <c r="V637" t="s">
        <v>36</v>
      </c>
      <c r="W637">
        <v>1</v>
      </c>
      <c r="X637" t="s">
        <v>37</v>
      </c>
      <c r="Y637">
        <v>5</v>
      </c>
      <c r="Z637" t="s">
        <v>117</v>
      </c>
    </row>
    <row r="638" spans="1:26" hidden="1" x14ac:dyDescent="0.2">
      <c r="A638" t="s">
        <v>1406</v>
      </c>
      <c r="B638" t="s">
        <v>1407</v>
      </c>
      <c r="C638" s="1">
        <v>46042</v>
      </c>
      <c r="D638" t="s">
        <v>28</v>
      </c>
      <c r="E638">
        <v>16</v>
      </c>
      <c r="F638">
        <v>6.1</v>
      </c>
      <c r="G638" t="s">
        <v>29</v>
      </c>
      <c r="H638" t="s">
        <v>95</v>
      </c>
      <c r="I638" s="1">
        <v>46042.39166666667</v>
      </c>
      <c r="J638" s="1">
        <v>46042.40625</v>
      </c>
      <c r="K638" s="1">
        <v>46042.465277777781</v>
      </c>
      <c r="L638" s="1">
        <v>46042.477083333331</v>
      </c>
      <c r="M638" s="1">
        <v>46042.498611111114</v>
      </c>
      <c r="N638" s="1">
        <v>46042.527083333334</v>
      </c>
      <c r="O638">
        <v>7</v>
      </c>
      <c r="P638" t="s">
        <v>37</v>
      </c>
      <c r="Q638" t="s">
        <v>82</v>
      </c>
      <c r="R638" t="s">
        <v>33</v>
      </c>
      <c r="S638" t="s">
        <v>84</v>
      </c>
      <c r="T638">
        <v>4000</v>
      </c>
      <c r="U638" t="s">
        <v>35</v>
      </c>
      <c r="V638" t="s">
        <v>59</v>
      </c>
      <c r="W638">
        <v>4</v>
      </c>
      <c r="X638" t="s">
        <v>85</v>
      </c>
      <c r="Y638">
        <v>3</v>
      </c>
      <c r="Z638" t="s">
        <v>61</v>
      </c>
    </row>
    <row r="639" spans="1:26" hidden="1" x14ac:dyDescent="0.2">
      <c r="A639" t="s">
        <v>1408</v>
      </c>
      <c r="B639" t="s">
        <v>1409</v>
      </c>
      <c r="C639" s="1">
        <v>46050</v>
      </c>
      <c r="D639" t="s">
        <v>89</v>
      </c>
      <c r="E639">
        <v>14</v>
      </c>
      <c r="F639">
        <v>5.3</v>
      </c>
      <c r="G639" t="s">
        <v>29</v>
      </c>
      <c r="H639" t="s">
        <v>167</v>
      </c>
      <c r="I639" s="1">
        <v>46050.263194444444</v>
      </c>
      <c r="J639" s="1">
        <v>46050.267361111109</v>
      </c>
      <c r="K639" s="1">
        <v>46050.286111111112</v>
      </c>
      <c r="L639" s="1">
        <v>46050.299305555556</v>
      </c>
      <c r="M639" s="1">
        <v>46050.324999999997</v>
      </c>
      <c r="N639" s="1">
        <v>46050.349305555559</v>
      </c>
      <c r="O639">
        <v>3</v>
      </c>
      <c r="P639" t="s">
        <v>37</v>
      </c>
      <c r="Q639" t="s">
        <v>69</v>
      </c>
      <c r="R639" t="s">
        <v>146</v>
      </c>
      <c r="S639" t="s">
        <v>71</v>
      </c>
      <c r="T639">
        <v>2000</v>
      </c>
      <c r="U639" t="s">
        <v>35</v>
      </c>
      <c r="V639" t="s">
        <v>36</v>
      </c>
      <c r="W639">
        <v>1</v>
      </c>
      <c r="X639" t="s">
        <v>37</v>
      </c>
      <c r="Y639">
        <v>4</v>
      </c>
      <c r="Z639" t="s">
        <v>61</v>
      </c>
    </row>
    <row r="640" spans="1:26" hidden="1" x14ac:dyDescent="0.2">
      <c r="A640" t="s">
        <v>1410</v>
      </c>
      <c r="B640" t="s">
        <v>1411</v>
      </c>
      <c r="C640" s="1">
        <v>46083</v>
      </c>
      <c r="D640" t="s">
        <v>242</v>
      </c>
      <c r="E640">
        <v>25</v>
      </c>
      <c r="F640">
        <v>8.1999999999999993</v>
      </c>
      <c r="G640" t="s">
        <v>81</v>
      </c>
      <c r="H640" t="s">
        <v>42</v>
      </c>
      <c r="I640" s="1">
        <v>46083.287499999999</v>
      </c>
      <c r="J640" s="1">
        <v>46083.294444444444</v>
      </c>
      <c r="K640" s="1">
        <v>46083.325694444444</v>
      </c>
      <c r="L640" s="1">
        <v>46083.331944444442</v>
      </c>
      <c r="M640" s="1">
        <v>46083.357638888891</v>
      </c>
      <c r="N640" s="1">
        <v>46083.385416666664</v>
      </c>
      <c r="O640">
        <v>4</v>
      </c>
      <c r="P640" t="s">
        <v>37</v>
      </c>
      <c r="Q640" t="s">
        <v>96</v>
      </c>
      <c r="R640" t="s">
        <v>130</v>
      </c>
      <c r="S640" t="s">
        <v>98</v>
      </c>
      <c r="T640">
        <v>3000</v>
      </c>
      <c r="U640" t="s">
        <v>35</v>
      </c>
      <c r="V640" t="s">
        <v>36</v>
      </c>
      <c r="W640">
        <v>1</v>
      </c>
      <c r="X640" t="s">
        <v>37</v>
      </c>
      <c r="Y640">
        <v>4</v>
      </c>
      <c r="Z640" t="s">
        <v>168</v>
      </c>
    </row>
    <row r="641" spans="1:26" hidden="1" x14ac:dyDescent="0.2">
      <c r="A641" t="s">
        <v>1412</v>
      </c>
      <c r="B641" t="s">
        <v>1413</v>
      </c>
      <c r="C641" s="1">
        <v>46067</v>
      </c>
      <c r="D641" t="s">
        <v>126</v>
      </c>
      <c r="E641">
        <v>34</v>
      </c>
      <c r="F641">
        <v>10.199999999999999</v>
      </c>
      <c r="G641" t="s">
        <v>76</v>
      </c>
      <c r="H641" t="s">
        <v>30</v>
      </c>
      <c r="I641" s="1">
        <v>46067.324999999997</v>
      </c>
      <c r="J641" s="1">
        <v>46067.332638888889</v>
      </c>
      <c r="K641" s="1">
        <v>46067.393750000003</v>
      </c>
      <c r="L641" s="1">
        <v>46067.401388888888</v>
      </c>
      <c r="M641" s="1">
        <v>46067.425000000003</v>
      </c>
      <c r="N641" s="1">
        <v>46067.444444444445</v>
      </c>
      <c r="O641">
        <v>2</v>
      </c>
      <c r="P641" t="s">
        <v>37</v>
      </c>
      <c r="Q641" t="s">
        <v>32</v>
      </c>
      <c r="R641" t="s">
        <v>66</v>
      </c>
      <c r="S641" t="s">
        <v>34</v>
      </c>
      <c r="T641">
        <v>5000</v>
      </c>
      <c r="U641" t="s">
        <v>91</v>
      </c>
      <c r="V641" t="s">
        <v>36</v>
      </c>
      <c r="W641">
        <v>1</v>
      </c>
      <c r="X641" t="s">
        <v>37</v>
      </c>
      <c r="Y641">
        <v>4</v>
      </c>
      <c r="Z641" t="s">
        <v>54</v>
      </c>
    </row>
    <row r="642" spans="1:26" x14ac:dyDescent="0.2">
      <c r="A642" t="s">
        <v>1414</v>
      </c>
      <c r="B642" t="s">
        <v>1415</v>
      </c>
      <c r="C642" s="1">
        <v>46098</v>
      </c>
      <c r="D642" t="s">
        <v>149</v>
      </c>
      <c r="E642">
        <v>28</v>
      </c>
      <c r="F642">
        <v>11.3</v>
      </c>
      <c r="G642" t="s">
        <v>81</v>
      </c>
      <c r="H642" t="s">
        <v>51</v>
      </c>
      <c r="I642" s="1">
        <v>46098.357638888891</v>
      </c>
      <c r="J642" s="1">
        <v>46098.366666666669</v>
      </c>
      <c r="K642" s="1">
        <v>46098.376388888886</v>
      </c>
      <c r="L642" s="1">
        <v>46098.385416666664</v>
      </c>
      <c r="M642" s="1">
        <v>46098.42083333333</v>
      </c>
      <c r="N642" s="1">
        <v>46098.445138888892</v>
      </c>
      <c r="O642">
        <v>4</v>
      </c>
      <c r="P642" t="s">
        <v>52</v>
      </c>
      <c r="Q642" t="s">
        <v>96</v>
      </c>
      <c r="R642" t="s">
        <v>90</v>
      </c>
      <c r="S642" t="s">
        <v>98</v>
      </c>
      <c r="T642">
        <v>3000</v>
      </c>
      <c r="U642" t="s">
        <v>35</v>
      </c>
      <c r="V642" t="s">
        <v>36</v>
      </c>
      <c r="W642">
        <v>1</v>
      </c>
      <c r="X642" t="s">
        <v>37</v>
      </c>
      <c r="Y642">
        <v>2</v>
      </c>
      <c r="Z642" t="s">
        <v>215</v>
      </c>
    </row>
    <row r="643" spans="1:26" hidden="1" x14ac:dyDescent="0.2">
      <c r="A643" t="s">
        <v>1416</v>
      </c>
      <c r="B643" t="s">
        <v>1417</v>
      </c>
      <c r="C643" s="1">
        <v>46083</v>
      </c>
      <c r="D643" t="s">
        <v>80</v>
      </c>
      <c r="E643">
        <v>16</v>
      </c>
      <c r="F643">
        <v>7.8</v>
      </c>
      <c r="G643" t="s">
        <v>81</v>
      </c>
      <c r="H643" t="s">
        <v>42</v>
      </c>
      <c r="I643" s="1">
        <v>46083.268055555556</v>
      </c>
      <c r="J643" s="1">
        <v>46083.272222222222</v>
      </c>
      <c r="K643" s="1">
        <v>46083.311805555553</v>
      </c>
      <c r="L643" s="1">
        <v>46083.31527777778</v>
      </c>
      <c r="M643" s="1">
        <v>46083.349305555559</v>
      </c>
      <c r="N643" s="1">
        <v>46083.359027777777</v>
      </c>
      <c r="O643">
        <v>6</v>
      </c>
      <c r="P643" t="s">
        <v>37</v>
      </c>
      <c r="Q643" t="s">
        <v>43</v>
      </c>
      <c r="R643" t="s">
        <v>200</v>
      </c>
      <c r="S643" t="s">
        <v>45</v>
      </c>
      <c r="T643">
        <v>2500</v>
      </c>
      <c r="U643" t="s">
        <v>35</v>
      </c>
      <c r="V643" t="s">
        <v>36</v>
      </c>
      <c r="W643">
        <v>1</v>
      </c>
      <c r="X643" t="s">
        <v>37</v>
      </c>
      <c r="Y643">
        <v>4</v>
      </c>
      <c r="Z643" t="s">
        <v>46</v>
      </c>
    </row>
    <row r="644" spans="1:26" x14ac:dyDescent="0.2">
      <c r="A644" t="s">
        <v>1418</v>
      </c>
      <c r="B644" t="s">
        <v>1419</v>
      </c>
      <c r="C644" s="1">
        <v>46030</v>
      </c>
      <c r="D644" t="s">
        <v>225</v>
      </c>
      <c r="E644">
        <v>11</v>
      </c>
      <c r="F644">
        <v>10.9</v>
      </c>
      <c r="G644" t="s">
        <v>76</v>
      </c>
      <c r="H644" t="s">
        <v>42</v>
      </c>
      <c r="I644" s="1">
        <v>46030.28402777778</v>
      </c>
      <c r="J644" s="1">
        <v>46030.301388888889</v>
      </c>
      <c r="K644" s="1">
        <v>46030.362500000003</v>
      </c>
      <c r="L644" s="1">
        <v>46030.365972222222</v>
      </c>
      <c r="M644" s="1">
        <v>46030.387499999997</v>
      </c>
      <c r="N644" s="1">
        <v>46030.404861111114</v>
      </c>
      <c r="O644">
        <v>6</v>
      </c>
      <c r="P644" t="s">
        <v>31</v>
      </c>
      <c r="Q644" t="s">
        <v>32</v>
      </c>
      <c r="R644" t="s">
        <v>66</v>
      </c>
      <c r="S644" t="s">
        <v>34</v>
      </c>
      <c r="T644">
        <v>5000</v>
      </c>
      <c r="U644" t="s">
        <v>35</v>
      </c>
      <c r="V644" t="s">
        <v>36</v>
      </c>
      <c r="W644">
        <v>1</v>
      </c>
      <c r="X644" t="s">
        <v>37</v>
      </c>
      <c r="Y644">
        <v>1</v>
      </c>
      <c r="Z644" t="s">
        <v>134</v>
      </c>
    </row>
    <row r="645" spans="1:26" hidden="1" x14ac:dyDescent="0.2">
      <c r="A645" t="s">
        <v>1420</v>
      </c>
      <c r="B645" t="s">
        <v>1421</v>
      </c>
      <c r="C645" s="1">
        <v>46076</v>
      </c>
      <c r="D645" t="s">
        <v>64</v>
      </c>
      <c r="E645">
        <v>17</v>
      </c>
      <c r="F645">
        <v>10.6</v>
      </c>
      <c r="G645" t="s">
        <v>81</v>
      </c>
      <c r="H645" t="s">
        <v>95</v>
      </c>
      <c r="I645" s="1">
        <v>46076.379166666666</v>
      </c>
      <c r="J645" s="1">
        <v>46076.388194444444</v>
      </c>
      <c r="K645" s="1">
        <v>46076.402083333334</v>
      </c>
      <c r="L645" s="1">
        <v>46076.40902777778</v>
      </c>
      <c r="M645" s="1">
        <v>46076.435416666667</v>
      </c>
      <c r="N645" s="1">
        <v>46076.44027777778</v>
      </c>
      <c r="O645">
        <v>3</v>
      </c>
      <c r="P645" t="s">
        <v>37</v>
      </c>
      <c r="Q645" t="s">
        <v>32</v>
      </c>
      <c r="R645" t="s">
        <v>77</v>
      </c>
      <c r="S645" t="s">
        <v>34</v>
      </c>
      <c r="T645">
        <v>5000</v>
      </c>
      <c r="U645" t="s">
        <v>35</v>
      </c>
      <c r="V645" t="s">
        <v>36</v>
      </c>
      <c r="W645">
        <v>1</v>
      </c>
      <c r="X645" t="s">
        <v>37</v>
      </c>
      <c r="Y645">
        <v>5</v>
      </c>
      <c r="Z645" t="s">
        <v>46</v>
      </c>
    </row>
    <row r="646" spans="1:26" hidden="1" x14ac:dyDescent="0.2">
      <c r="A646" t="s">
        <v>1422</v>
      </c>
      <c r="B646" t="s">
        <v>1423</v>
      </c>
      <c r="C646" s="1">
        <v>46062</v>
      </c>
      <c r="D646" t="s">
        <v>49</v>
      </c>
      <c r="E646">
        <v>12</v>
      </c>
      <c r="F646">
        <v>6.7</v>
      </c>
      <c r="G646" t="s">
        <v>81</v>
      </c>
      <c r="H646" t="s">
        <v>42</v>
      </c>
      <c r="I646" s="1">
        <v>46062.373611111114</v>
      </c>
      <c r="J646" s="1">
        <v>46062.378472222219</v>
      </c>
      <c r="K646" s="1">
        <v>46062.435416666667</v>
      </c>
      <c r="L646" s="1">
        <v>46062.448611111111</v>
      </c>
      <c r="M646" s="1">
        <v>46062.459027777775</v>
      </c>
      <c r="N646" s="1">
        <v>46062.467361111114</v>
      </c>
      <c r="O646">
        <v>1</v>
      </c>
      <c r="P646" t="s">
        <v>238</v>
      </c>
      <c r="Q646" t="s">
        <v>69</v>
      </c>
      <c r="R646" t="s">
        <v>251</v>
      </c>
      <c r="S646" t="s">
        <v>71</v>
      </c>
      <c r="T646">
        <v>2000</v>
      </c>
      <c r="U646" t="s">
        <v>35</v>
      </c>
      <c r="V646" t="s">
        <v>36</v>
      </c>
      <c r="W646">
        <v>1</v>
      </c>
      <c r="X646" t="s">
        <v>37</v>
      </c>
      <c r="Y646">
        <v>5</v>
      </c>
      <c r="Z646" t="s">
        <v>61</v>
      </c>
    </row>
    <row r="647" spans="1:26" hidden="1" x14ac:dyDescent="0.2">
      <c r="A647" t="s">
        <v>1424</v>
      </c>
      <c r="B647" t="s">
        <v>1425</v>
      </c>
      <c r="C647" s="1">
        <v>46024</v>
      </c>
      <c r="D647" t="s">
        <v>267</v>
      </c>
      <c r="E647">
        <v>10</v>
      </c>
      <c r="F647">
        <v>11</v>
      </c>
      <c r="G647" t="s">
        <v>57</v>
      </c>
      <c r="H647" t="s">
        <v>167</v>
      </c>
      <c r="I647" s="1">
        <v>46024.398611111108</v>
      </c>
      <c r="J647" s="1">
        <v>46024.416666666664</v>
      </c>
      <c r="K647" s="1">
        <v>46024.44027777778</v>
      </c>
      <c r="L647" s="1">
        <v>46024.446527777778</v>
      </c>
      <c r="M647" s="1">
        <v>46024.466666666667</v>
      </c>
      <c r="N647" s="1">
        <v>46024.472222222219</v>
      </c>
      <c r="O647">
        <v>4</v>
      </c>
      <c r="P647" t="s">
        <v>37</v>
      </c>
      <c r="Q647" t="s">
        <v>96</v>
      </c>
      <c r="R647" t="s">
        <v>97</v>
      </c>
      <c r="S647" t="s">
        <v>98</v>
      </c>
      <c r="T647">
        <v>3000</v>
      </c>
      <c r="U647" t="s">
        <v>35</v>
      </c>
      <c r="V647" t="s">
        <v>36</v>
      </c>
      <c r="W647">
        <v>1</v>
      </c>
      <c r="X647" t="s">
        <v>37</v>
      </c>
      <c r="Y647">
        <v>4</v>
      </c>
      <c r="Z647" t="s">
        <v>54</v>
      </c>
    </row>
    <row r="648" spans="1:26" hidden="1" x14ac:dyDescent="0.2">
      <c r="A648" t="s">
        <v>1426</v>
      </c>
      <c r="B648" t="s">
        <v>1427</v>
      </c>
      <c r="C648" s="1">
        <v>46057</v>
      </c>
      <c r="D648" t="s">
        <v>145</v>
      </c>
      <c r="E648">
        <v>23</v>
      </c>
      <c r="F648">
        <v>6.1</v>
      </c>
      <c r="G648" t="s">
        <v>50</v>
      </c>
      <c r="H648" t="s">
        <v>167</v>
      </c>
      <c r="I648" s="1">
        <v>46057.265972222223</v>
      </c>
      <c r="J648" s="1">
        <v>46057.279861111114</v>
      </c>
      <c r="K648" s="1">
        <v>46057.318055555559</v>
      </c>
      <c r="L648" s="1">
        <v>46057.32916666667</v>
      </c>
      <c r="M648" s="1">
        <v>46057.351388888892</v>
      </c>
      <c r="N648" s="1">
        <v>46057.37777777778</v>
      </c>
      <c r="O648">
        <v>4</v>
      </c>
      <c r="P648" t="s">
        <v>37</v>
      </c>
      <c r="Q648" t="s">
        <v>82</v>
      </c>
      <c r="R648" t="s">
        <v>83</v>
      </c>
      <c r="S648" t="s">
        <v>84</v>
      </c>
      <c r="T648">
        <v>4000</v>
      </c>
      <c r="U648" t="s">
        <v>35</v>
      </c>
      <c r="V648" t="s">
        <v>36</v>
      </c>
      <c r="W648">
        <v>1</v>
      </c>
      <c r="X648" t="s">
        <v>37</v>
      </c>
      <c r="Y648">
        <v>5</v>
      </c>
      <c r="Z648" t="s">
        <v>215</v>
      </c>
    </row>
    <row r="649" spans="1:26" x14ac:dyDescent="0.2">
      <c r="A649" t="s">
        <v>1428</v>
      </c>
      <c r="B649" t="s">
        <v>1429</v>
      </c>
      <c r="C649" s="1">
        <v>46042</v>
      </c>
      <c r="D649" t="s">
        <v>75</v>
      </c>
      <c r="E649">
        <v>32</v>
      </c>
      <c r="F649">
        <v>6.8</v>
      </c>
      <c r="G649" t="s">
        <v>76</v>
      </c>
      <c r="H649" t="s">
        <v>95</v>
      </c>
      <c r="I649" s="1">
        <v>46042.310416666667</v>
      </c>
      <c r="J649" s="1">
        <v>46042.32916666667</v>
      </c>
      <c r="K649" s="1">
        <v>46042.380555555559</v>
      </c>
      <c r="L649" s="1">
        <v>46042.38958333333</v>
      </c>
      <c r="M649" s="1">
        <v>46042.400000000001</v>
      </c>
      <c r="N649" s="1">
        <v>46042.425694444442</v>
      </c>
      <c r="O649">
        <v>7</v>
      </c>
      <c r="P649" t="s">
        <v>106</v>
      </c>
      <c r="Q649" t="s">
        <v>69</v>
      </c>
      <c r="R649" t="s">
        <v>146</v>
      </c>
      <c r="S649" t="s">
        <v>71</v>
      </c>
      <c r="T649">
        <v>2000</v>
      </c>
      <c r="U649" t="s">
        <v>35</v>
      </c>
      <c r="V649" t="s">
        <v>36</v>
      </c>
      <c r="W649">
        <v>1</v>
      </c>
      <c r="X649" t="s">
        <v>37</v>
      </c>
      <c r="Y649">
        <v>2</v>
      </c>
      <c r="Z649" t="s">
        <v>134</v>
      </c>
    </row>
    <row r="650" spans="1:26" hidden="1" x14ac:dyDescent="0.2">
      <c r="A650" t="s">
        <v>1430</v>
      </c>
      <c r="B650" t="s">
        <v>1431</v>
      </c>
      <c r="C650" s="1">
        <v>46046</v>
      </c>
      <c r="D650" t="s">
        <v>186</v>
      </c>
      <c r="E650">
        <v>25</v>
      </c>
      <c r="F650">
        <v>7</v>
      </c>
      <c r="G650" t="s">
        <v>50</v>
      </c>
      <c r="H650" t="s">
        <v>30</v>
      </c>
      <c r="I650" s="1">
        <v>46046.354166666664</v>
      </c>
      <c r="J650" s="1">
        <v>46046.35833333333</v>
      </c>
      <c r="K650" s="1">
        <v>46046.393750000003</v>
      </c>
      <c r="L650" s="1">
        <v>46046.399305555555</v>
      </c>
      <c r="M650" s="1">
        <v>46046.434027777781</v>
      </c>
      <c r="N650" s="1">
        <v>46046.452777777777</v>
      </c>
      <c r="O650">
        <v>7</v>
      </c>
      <c r="P650" t="s">
        <v>37</v>
      </c>
      <c r="Q650" t="s">
        <v>82</v>
      </c>
      <c r="R650" t="s">
        <v>214</v>
      </c>
      <c r="S650" t="s">
        <v>84</v>
      </c>
      <c r="T650">
        <v>4000</v>
      </c>
      <c r="U650" t="s">
        <v>35</v>
      </c>
      <c r="V650" t="s">
        <v>36</v>
      </c>
      <c r="W650">
        <v>1</v>
      </c>
      <c r="X650" t="s">
        <v>37</v>
      </c>
      <c r="Y650">
        <v>4</v>
      </c>
      <c r="Z650" t="s">
        <v>86</v>
      </c>
    </row>
    <row r="651" spans="1:26" hidden="1" x14ac:dyDescent="0.2">
      <c r="A651" t="s">
        <v>1432</v>
      </c>
      <c r="B651" t="s">
        <v>1433</v>
      </c>
      <c r="C651" s="1">
        <v>46046</v>
      </c>
      <c r="D651" t="s">
        <v>171</v>
      </c>
      <c r="E651">
        <v>15</v>
      </c>
      <c r="F651">
        <v>7.7</v>
      </c>
      <c r="G651" t="s">
        <v>57</v>
      </c>
      <c r="H651" t="s">
        <v>42</v>
      </c>
      <c r="I651" s="1">
        <v>46046.253472222219</v>
      </c>
      <c r="J651" s="1">
        <v>46046.26666666667</v>
      </c>
      <c r="K651" s="1">
        <v>46046.327777777777</v>
      </c>
      <c r="L651" s="1">
        <v>46046.34097222222</v>
      </c>
      <c r="M651" s="1">
        <v>46046.373611111114</v>
      </c>
      <c r="N651" s="1">
        <v>46046.402083333334</v>
      </c>
      <c r="O651">
        <v>6</v>
      </c>
      <c r="P651" t="s">
        <v>37</v>
      </c>
      <c r="Q651" t="s">
        <v>96</v>
      </c>
      <c r="R651" t="s">
        <v>214</v>
      </c>
      <c r="S651" t="s">
        <v>98</v>
      </c>
      <c r="T651">
        <v>3000</v>
      </c>
      <c r="U651" t="s">
        <v>35</v>
      </c>
      <c r="V651" t="s">
        <v>59</v>
      </c>
      <c r="W651">
        <v>3</v>
      </c>
      <c r="X651" t="s">
        <v>60</v>
      </c>
      <c r="Y651">
        <v>4</v>
      </c>
      <c r="Z651" t="s">
        <v>99</v>
      </c>
    </row>
    <row r="652" spans="1:26" hidden="1" x14ac:dyDescent="0.2">
      <c r="A652" t="s">
        <v>1434</v>
      </c>
      <c r="B652" t="s">
        <v>1435</v>
      </c>
      <c r="C652" s="1">
        <v>46109</v>
      </c>
      <c r="D652" t="s">
        <v>220</v>
      </c>
      <c r="E652">
        <v>19</v>
      </c>
      <c r="F652">
        <v>10.1</v>
      </c>
      <c r="G652" t="s">
        <v>81</v>
      </c>
      <c r="H652" t="s">
        <v>51</v>
      </c>
      <c r="I652" s="1">
        <v>46109.324305555558</v>
      </c>
      <c r="J652" s="1">
        <v>46109.336805555555</v>
      </c>
      <c r="K652" s="1">
        <v>46109.367361111108</v>
      </c>
      <c r="L652" s="1">
        <v>46109.379166666666</v>
      </c>
      <c r="M652" s="1">
        <v>46109.411805555559</v>
      </c>
      <c r="N652" s="1">
        <v>46109.415972222225</v>
      </c>
      <c r="O652">
        <v>2</v>
      </c>
      <c r="P652" t="s">
        <v>37</v>
      </c>
      <c r="Q652" t="s">
        <v>96</v>
      </c>
      <c r="R652" t="s">
        <v>90</v>
      </c>
      <c r="S652" t="s">
        <v>98</v>
      </c>
      <c r="T652">
        <v>3000</v>
      </c>
      <c r="U652" t="s">
        <v>91</v>
      </c>
      <c r="V652" t="s">
        <v>59</v>
      </c>
      <c r="W652">
        <v>2</v>
      </c>
      <c r="X652" t="s">
        <v>374</v>
      </c>
      <c r="Y652">
        <v>5</v>
      </c>
      <c r="Z652" t="s">
        <v>296</v>
      </c>
    </row>
    <row r="653" spans="1:26" hidden="1" x14ac:dyDescent="0.2">
      <c r="A653" t="s">
        <v>1436</v>
      </c>
      <c r="B653" t="s">
        <v>1437</v>
      </c>
      <c r="C653" s="1">
        <v>46065</v>
      </c>
      <c r="D653" t="s">
        <v>154</v>
      </c>
      <c r="E653">
        <v>24</v>
      </c>
      <c r="F653">
        <v>10.3</v>
      </c>
      <c r="G653" t="s">
        <v>57</v>
      </c>
      <c r="H653" t="s">
        <v>42</v>
      </c>
      <c r="I653" s="1">
        <v>46065.311111111114</v>
      </c>
      <c r="J653" s="1">
        <v>46065.324305555558</v>
      </c>
      <c r="K653" s="1">
        <v>46065.365972222222</v>
      </c>
      <c r="L653" s="1">
        <v>46065.372916666667</v>
      </c>
      <c r="M653" s="1">
        <v>46065.4</v>
      </c>
      <c r="N653" s="1">
        <v>46065.40347222222</v>
      </c>
      <c r="O653">
        <v>6</v>
      </c>
      <c r="P653" t="s">
        <v>106</v>
      </c>
      <c r="Q653" t="s">
        <v>32</v>
      </c>
      <c r="R653" t="s">
        <v>77</v>
      </c>
      <c r="S653" t="s">
        <v>34</v>
      </c>
      <c r="T653">
        <v>5000</v>
      </c>
      <c r="U653" t="s">
        <v>35</v>
      </c>
      <c r="V653" t="s">
        <v>36</v>
      </c>
      <c r="W653">
        <v>1</v>
      </c>
      <c r="X653" t="s">
        <v>37</v>
      </c>
      <c r="Y653">
        <v>3</v>
      </c>
      <c r="Z653" t="s">
        <v>54</v>
      </c>
    </row>
    <row r="654" spans="1:26" hidden="1" x14ac:dyDescent="0.2">
      <c r="A654" t="s">
        <v>1438</v>
      </c>
      <c r="B654" t="s">
        <v>1439</v>
      </c>
      <c r="C654" s="1">
        <v>46034</v>
      </c>
      <c r="D654" t="s">
        <v>233</v>
      </c>
      <c r="E654">
        <v>40</v>
      </c>
      <c r="F654">
        <v>10.8</v>
      </c>
      <c r="G654" t="s">
        <v>76</v>
      </c>
      <c r="H654" t="s">
        <v>51</v>
      </c>
      <c r="I654" s="1">
        <v>46034.334722222222</v>
      </c>
      <c r="J654" s="1">
        <v>46034.341666666667</v>
      </c>
      <c r="K654" s="1">
        <v>46034.379166666666</v>
      </c>
      <c r="L654" s="1">
        <v>46034.384722222225</v>
      </c>
      <c r="M654" s="1">
        <v>46034.412499999999</v>
      </c>
      <c r="N654" s="1">
        <v>46034.44027777778</v>
      </c>
      <c r="O654">
        <v>6</v>
      </c>
      <c r="P654" t="s">
        <v>37</v>
      </c>
      <c r="Q654" t="s">
        <v>82</v>
      </c>
      <c r="R654" t="s">
        <v>83</v>
      </c>
      <c r="S654" t="s">
        <v>84</v>
      </c>
      <c r="T654">
        <v>4000</v>
      </c>
      <c r="U654" t="s">
        <v>35</v>
      </c>
      <c r="V654" t="s">
        <v>36</v>
      </c>
      <c r="W654">
        <v>1</v>
      </c>
      <c r="X654" t="s">
        <v>37</v>
      </c>
      <c r="Y654">
        <v>4</v>
      </c>
      <c r="Z654" t="s">
        <v>72</v>
      </c>
    </row>
    <row r="655" spans="1:26" hidden="1" x14ac:dyDescent="0.2">
      <c r="A655" t="s">
        <v>1440</v>
      </c>
      <c r="B655" t="s">
        <v>1441</v>
      </c>
      <c r="C655" s="1">
        <v>46035</v>
      </c>
      <c r="D655" t="s">
        <v>220</v>
      </c>
      <c r="E655">
        <v>13</v>
      </c>
      <c r="F655">
        <v>7.2</v>
      </c>
      <c r="G655" t="s">
        <v>76</v>
      </c>
      <c r="H655" t="s">
        <v>167</v>
      </c>
      <c r="I655" s="1">
        <v>46035.395138888889</v>
      </c>
      <c r="J655" s="1">
        <v>46035.413194444445</v>
      </c>
      <c r="K655" s="1">
        <v>46035.457638888889</v>
      </c>
      <c r="L655" s="1">
        <v>46035.469444444447</v>
      </c>
      <c r="M655" s="1">
        <v>46035.5</v>
      </c>
      <c r="N655" s="1">
        <v>46035.506249999999</v>
      </c>
      <c r="O655">
        <v>3</v>
      </c>
      <c r="P655" t="s">
        <v>37</v>
      </c>
      <c r="Q655" t="s">
        <v>82</v>
      </c>
      <c r="R655" t="s">
        <v>33</v>
      </c>
      <c r="S655" t="s">
        <v>84</v>
      </c>
      <c r="T655">
        <v>4000</v>
      </c>
      <c r="U655" t="s">
        <v>35</v>
      </c>
      <c r="V655" t="s">
        <v>36</v>
      </c>
      <c r="W655">
        <v>1</v>
      </c>
      <c r="X655" t="s">
        <v>37</v>
      </c>
      <c r="Y655">
        <v>3</v>
      </c>
      <c r="Z655" t="s">
        <v>215</v>
      </c>
    </row>
    <row r="656" spans="1:26" hidden="1" x14ac:dyDescent="0.2">
      <c r="A656" t="s">
        <v>1442</v>
      </c>
      <c r="B656" t="s">
        <v>1443</v>
      </c>
      <c r="C656" s="1">
        <v>46053</v>
      </c>
      <c r="D656" t="s">
        <v>242</v>
      </c>
      <c r="E656">
        <v>37</v>
      </c>
      <c r="F656">
        <v>10.6</v>
      </c>
      <c r="G656" t="s">
        <v>81</v>
      </c>
      <c r="H656" t="s">
        <v>65</v>
      </c>
      <c r="I656" s="1">
        <v>46053.383333333331</v>
      </c>
      <c r="J656" s="1">
        <v>46053.395138888889</v>
      </c>
      <c r="K656" s="1">
        <v>46053.408333333333</v>
      </c>
      <c r="L656" s="1">
        <v>46053.416666666664</v>
      </c>
      <c r="M656" s="1">
        <v>46053.429166666669</v>
      </c>
      <c r="N656" s="1">
        <v>46053.45416666667</v>
      </c>
      <c r="O656">
        <v>2</v>
      </c>
      <c r="P656" t="s">
        <v>129</v>
      </c>
      <c r="Q656" t="s">
        <v>96</v>
      </c>
      <c r="R656" t="s">
        <v>214</v>
      </c>
      <c r="S656" t="s">
        <v>98</v>
      </c>
      <c r="T656">
        <v>3000</v>
      </c>
      <c r="U656" t="s">
        <v>35</v>
      </c>
      <c r="V656" t="s">
        <v>36</v>
      </c>
      <c r="W656">
        <v>1</v>
      </c>
      <c r="X656" t="s">
        <v>37</v>
      </c>
      <c r="Y656">
        <v>5</v>
      </c>
      <c r="Z656" t="s">
        <v>168</v>
      </c>
    </row>
    <row r="657" spans="1:26" hidden="1" x14ac:dyDescent="0.2">
      <c r="A657" t="s">
        <v>1444</v>
      </c>
      <c r="B657" t="s">
        <v>1445</v>
      </c>
      <c r="C657" s="1">
        <v>46059</v>
      </c>
      <c r="D657" t="s">
        <v>149</v>
      </c>
      <c r="E657">
        <v>7</v>
      </c>
      <c r="F657">
        <v>6.1</v>
      </c>
      <c r="G657" t="s">
        <v>50</v>
      </c>
      <c r="H657" t="s">
        <v>95</v>
      </c>
      <c r="I657" s="1">
        <v>46059.27847222222</v>
      </c>
      <c r="J657" s="1">
        <v>46059.290277777778</v>
      </c>
      <c r="K657" s="1">
        <v>46059.343055555553</v>
      </c>
      <c r="L657" s="1">
        <v>46059.348611111112</v>
      </c>
      <c r="M657" s="1">
        <v>46059.375694444447</v>
      </c>
      <c r="N657" s="1">
        <v>46059.382638888892</v>
      </c>
      <c r="O657">
        <v>3</v>
      </c>
      <c r="P657" t="s">
        <v>37</v>
      </c>
      <c r="Q657" t="s">
        <v>43</v>
      </c>
      <c r="R657" t="s">
        <v>200</v>
      </c>
      <c r="S657" t="s">
        <v>45</v>
      </c>
      <c r="T657">
        <v>2500</v>
      </c>
      <c r="U657" t="s">
        <v>35</v>
      </c>
      <c r="V657" t="s">
        <v>59</v>
      </c>
      <c r="W657">
        <v>1</v>
      </c>
      <c r="X657" t="s">
        <v>85</v>
      </c>
      <c r="Y657">
        <v>4</v>
      </c>
      <c r="Z657" t="s">
        <v>215</v>
      </c>
    </row>
    <row r="658" spans="1:26" hidden="1" x14ac:dyDescent="0.2">
      <c r="A658" t="s">
        <v>1446</v>
      </c>
      <c r="B658" t="s">
        <v>1447</v>
      </c>
      <c r="C658" s="1">
        <v>46072</v>
      </c>
      <c r="D658" t="s">
        <v>94</v>
      </c>
      <c r="E658">
        <v>36</v>
      </c>
      <c r="F658">
        <v>9.1999999999999993</v>
      </c>
      <c r="G658" t="s">
        <v>50</v>
      </c>
      <c r="H658" t="s">
        <v>157</v>
      </c>
      <c r="I658" s="1">
        <v>46072.386805555558</v>
      </c>
      <c r="J658" s="1">
        <v>46072.390972222223</v>
      </c>
      <c r="K658" s="1">
        <v>46072.424305555556</v>
      </c>
      <c r="L658" s="1">
        <v>46072.436805555553</v>
      </c>
      <c r="M658" s="1">
        <v>46072.454861111109</v>
      </c>
      <c r="N658" s="1">
        <v>46072.486111111109</v>
      </c>
      <c r="O658">
        <v>1</v>
      </c>
      <c r="P658" t="s">
        <v>37</v>
      </c>
      <c r="Q658" t="s">
        <v>43</v>
      </c>
      <c r="R658" t="s">
        <v>90</v>
      </c>
      <c r="S658" t="s">
        <v>45</v>
      </c>
      <c r="T658">
        <v>2500</v>
      </c>
      <c r="U658" t="s">
        <v>35</v>
      </c>
      <c r="V658" t="s">
        <v>36</v>
      </c>
      <c r="W658">
        <v>1</v>
      </c>
      <c r="X658" t="s">
        <v>37</v>
      </c>
      <c r="Y658">
        <v>4</v>
      </c>
      <c r="Z658" t="s">
        <v>72</v>
      </c>
    </row>
    <row r="659" spans="1:26" x14ac:dyDescent="0.2">
      <c r="A659" t="s">
        <v>1448</v>
      </c>
      <c r="B659" t="s">
        <v>1449</v>
      </c>
      <c r="C659" s="1">
        <v>46091</v>
      </c>
      <c r="D659" t="s">
        <v>242</v>
      </c>
      <c r="E659">
        <v>32</v>
      </c>
      <c r="F659">
        <v>8.3000000000000007</v>
      </c>
      <c r="G659" t="s">
        <v>50</v>
      </c>
      <c r="H659" t="s">
        <v>42</v>
      </c>
      <c r="I659" s="1">
        <v>46091.369444444441</v>
      </c>
      <c r="J659" s="1">
        <v>46091.374305555553</v>
      </c>
      <c r="K659" s="1">
        <v>46091.394444444442</v>
      </c>
      <c r="L659" s="1">
        <v>46091.397916666669</v>
      </c>
      <c r="M659" s="1">
        <v>46091.419444444444</v>
      </c>
      <c r="N659" s="1">
        <v>46091.448611111111</v>
      </c>
      <c r="O659">
        <v>3</v>
      </c>
      <c r="P659" t="s">
        <v>31</v>
      </c>
      <c r="Q659" t="s">
        <v>32</v>
      </c>
      <c r="R659" t="s">
        <v>278</v>
      </c>
      <c r="S659" t="s">
        <v>34</v>
      </c>
      <c r="T659">
        <v>5000</v>
      </c>
      <c r="U659" t="s">
        <v>35</v>
      </c>
      <c r="V659" t="s">
        <v>36</v>
      </c>
      <c r="W659">
        <v>1</v>
      </c>
      <c r="X659" t="s">
        <v>37</v>
      </c>
      <c r="Y659">
        <v>1</v>
      </c>
      <c r="Z659" t="s">
        <v>161</v>
      </c>
    </row>
    <row r="660" spans="1:26" hidden="1" x14ac:dyDescent="0.2">
      <c r="A660" t="s">
        <v>1450</v>
      </c>
      <c r="B660" t="s">
        <v>1451</v>
      </c>
      <c r="C660" s="1">
        <v>46038</v>
      </c>
      <c r="D660" t="s">
        <v>230</v>
      </c>
      <c r="E660">
        <v>28</v>
      </c>
      <c r="F660">
        <v>4.4000000000000004</v>
      </c>
      <c r="G660" t="s">
        <v>81</v>
      </c>
      <c r="H660" t="s">
        <v>30</v>
      </c>
      <c r="I660" s="1">
        <v>46038.31527777778</v>
      </c>
      <c r="J660" s="1">
        <v>46038.324305555558</v>
      </c>
      <c r="K660" s="1">
        <v>46038.368750000001</v>
      </c>
      <c r="L660" s="1">
        <v>46038.379166666666</v>
      </c>
      <c r="M660" s="1">
        <v>46038.415972222225</v>
      </c>
      <c r="N660" s="1">
        <v>46038.431944444441</v>
      </c>
      <c r="O660">
        <v>7</v>
      </c>
      <c r="P660" t="s">
        <v>37</v>
      </c>
      <c r="Q660" t="s">
        <v>43</v>
      </c>
      <c r="R660" t="s">
        <v>200</v>
      </c>
      <c r="S660" t="s">
        <v>45</v>
      </c>
      <c r="T660">
        <v>2500</v>
      </c>
      <c r="U660" t="s">
        <v>35</v>
      </c>
      <c r="V660" t="s">
        <v>36</v>
      </c>
      <c r="W660">
        <v>1</v>
      </c>
      <c r="X660" t="s">
        <v>37</v>
      </c>
      <c r="Y660">
        <v>4</v>
      </c>
      <c r="Z660" t="s">
        <v>102</v>
      </c>
    </row>
    <row r="661" spans="1:26" hidden="1" x14ac:dyDescent="0.2">
      <c r="A661" t="s">
        <v>1452</v>
      </c>
      <c r="B661" t="s">
        <v>1453</v>
      </c>
      <c r="C661" s="1">
        <v>46064</v>
      </c>
      <c r="D661" t="s">
        <v>149</v>
      </c>
      <c r="E661">
        <v>27</v>
      </c>
      <c r="F661">
        <v>9.9</v>
      </c>
      <c r="G661" t="s">
        <v>81</v>
      </c>
      <c r="H661" t="s">
        <v>30</v>
      </c>
      <c r="I661" s="1">
        <v>46064.320138888892</v>
      </c>
      <c r="J661" s="1">
        <v>46064.328472222223</v>
      </c>
      <c r="K661" s="1">
        <v>46064.350694444445</v>
      </c>
      <c r="L661" s="1">
        <v>46064.355555555558</v>
      </c>
      <c r="M661" s="1">
        <v>46064.386111111111</v>
      </c>
      <c r="N661" s="1">
        <v>46064.393750000003</v>
      </c>
      <c r="O661">
        <v>2</v>
      </c>
      <c r="P661" t="s">
        <v>37</v>
      </c>
      <c r="Q661" t="s">
        <v>32</v>
      </c>
      <c r="R661" t="s">
        <v>77</v>
      </c>
      <c r="S661" t="s">
        <v>34</v>
      </c>
      <c r="T661">
        <v>5000</v>
      </c>
      <c r="U661" t="s">
        <v>35</v>
      </c>
      <c r="V661" t="s">
        <v>36</v>
      </c>
      <c r="W661">
        <v>1</v>
      </c>
      <c r="X661" t="s">
        <v>37</v>
      </c>
      <c r="Y661">
        <v>3</v>
      </c>
      <c r="Z661" t="s">
        <v>72</v>
      </c>
    </row>
    <row r="662" spans="1:26" x14ac:dyDescent="0.2">
      <c r="A662" t="s">
        <v>1454</v>
      </c>
      <c r="B662" t="s">
        <v>1455</v>
      </c>
      <c r="C662" s="1">
        <v>46054</v>
      </c>
      <c r="D662" t="s">
        <v>171</v>
      </c>
      <c r="E662">
        <v>7</v>
      </c>
      <c r="F662">
        <v>4.5999999999999996</v>
      </c>
      <c r="G662" t="s">
        <v>76</v>
      </c>
      <c r="H662" t="s">
        <v>51</v>
      </c>
      <c r="I662" s="1">
        <v>46054.275694444441</v>
      </c>
      <c r="J662" s="1">
        <v>46054.292361111111</v>
      </c>
      <c r="K662" s="1">
        <v>46054.307638888888</v>
      </c>
      <c r="L662" s="1">
        <v>46054.319444444445</v>
      </c>
      <c r="M662" s="1">
        <v>46054.348611111112</v>
      </c>
      <c r="N662" s="1">
        <v>46054.355555555558</v>
      </c>
      <c r="O662">
        <v>3</v>
      </c>
      <c r="P662" t="s">
        <v>37</v>
      </c>
      <c r="Q662" t="s">
        <v>69</v>
      </c>
      <c r="R662" t="s">
        <v>70</v>
      </c>
      <c r="S662" t="s">
        <v>71</v>
      </c>
      <c r="T662">
        <v>2000</v>
      </c>
      <c r="U662" t="s">
        <v>35</v>
      </c>
      <c r="V662" t="s">
        <v>36</v>
      </c>
      <c r="W662">
        <v>1</v>
      </c>
      <c r="X662" t="s">
        <v>37</v>
      </c>
      <c r="Y662">
        <v>1</v>
      </c>
      <c r="Z662" t="s">
        <v>38</v>
      </c>
    </row>
    <row r="663" spans="1:26" hidden="1" x14ac:dyDescent="0.2">
      <c r="A663" t="s">
        <v>1456</v>
      </c>
      <c r="B663" t="s">
        <v>1457</v>
      </c>
      <c r="C663" s="1">
        <v>46106</v>
      </c>
      <c r="D663" t="s">
        <v>233</v>
      </c>
      <c r="E663">
        <v>12</v>
      </c>
      <c r="F663">
        <v>10.3</v>
      </c>
      <c r="G663" t="s">
        <v>81</v>
      </c>
      <c r="H663" t="s">
        <v>167</v>
      </c>
      <c r="I663" s="1">
        <v>46106.303472222222</v>
      </c>
      <c r="J663" s="1">
        <v>46106.320138888892</v>
      </c>
      <c r="K663" s="1">
        <v>46106.37222222222</v>
      </c>
      <c r="L663" s="1">
        <v>46106.380555555559</v>
      </c>
      <c r="M663" s="1">
        <v>46106.418055555558</v>
      </c>
      <c r="N663" s="1">
        <v>46106.423611111109</v>
      </c>
      <c r="O663">
        <v>3</v>
      </c>
      <c r="P663" t="s">
        <v>37</v>
      </c>
      <c r="Q663" t="s">
        <v>32</v>
      </c>
      <c r="R663" t="s">
        <v>140</v>
      </c>
      <c r="S663" t="s">
        <v>34</v>
      </c>
      <c r="T663">
        <v>5000</v>
      </c>
      <c r="U663" t="s">
        <v>35</v>
      </c>
      <c r="V663" t="s">
        <v>59</v>
      </c>
      <c r="W663">
        <v>3</v>
      </c>
      <c r="X663" t="s">
        <v>60</v>
      </c>
      <c r="Y663">
        <v>5</v>
      </c>
      <c r="Z663" t="s">
        <v>296</v>
      </c>
    </row>
    <row r="664" spans="1:26" x14ac:dyDescent="0.2">
      <c r="A664" t="s">
        <v>1458</v>
      </c>
      <c r="B664" t="s">
        <v>1459</v>
      </c>
      <c r="C664" s="1">
        <v>46087</v>
      </c>
      <c r="D664" t="s">
        <v>94</v>
      </c>
      <c r="E664">
        <v>16</v>
      </c>
      <c r="F664">
        <v>9.4</v>
      </c>
      <c r="G664" t="s">
        <v>76</v>
      </c>
      <c r="H664" t="s">
        <v>51</v>
      </c>
      <c r="I664" s="1">
        <v>46087.322222222225</v>
      </c>
      <c r="J664" s="1">
        <v>46087.329861111109</v>
      </c>
      <c r="K664" s="1">
        <v>46087.338194444441</v>
      </c>
      <c r="L664" s="1">
        <v>46087.350694444445</v>
      </c>
      <c r="M664" s="1">
        <v>46087.386805555558</v>
      </c>
      <c r="N664" s="1">
        <v>46087.395833333336</v>
      </c>
      <c r="O664">
        <v>3</v>
      </c>
      <c r="P664" t="s">
        <v>31</v>
      </c>
      <c r="Q664" t="s">
        <v>32</v>
      </c>
      <c r="R664" t="s">
        <v>140</v>
      </c>
      <c r="S664" t="s">
        <v>34</v>
      </c>
      <c r="T664">
        <v>5000</v>
      </c>
      <c r="U664" t="s">
        <v>35</v>
      </c>
      <c r="V664" t="s">
        <v>36</v>
      </c>
      <c r="W664">
        <v>1</v>
      </c>
      <c r="X664" t="s">
        <v>37</v>
      </c>
      <c r="Y664">
        <v>2</v>
      </c>
      <c r="Z664" t="s">
        <v>54</v>
      </c>
    </row>
    <row r="665" spans="1:26" hidden="1" x14ac:dyDescent="0.2">
      <c r="A665" t="s">
        <v>1460</v>
      </c>
      <c r="B665" t="s">
        <v>1461</v>
      </c>
      <c r="C665" s="1">
        <v>46064</v>
      </c>
      <c r="D665" t="s">
        <v>41</v>
      </c>
      <c r="E665">
        <v>34</v>
      </c>
      <c r="F665">
        <v>8.6999999999999993</v>
      </c>
      <c r="G665" t="s">
        <v>81</v>
      </c>
      <c r="H665" t="s">
        <v>167</v>
      </c>
      <c r="I665" s="1">
        <v>46064.345833333333</v>
      </c>
      <c r="J665" s="1">
        <v>46064.357638888891</v>
      </c>
      <c r="K665" s="1">
        <v>46064.40625</v>
      </c>
      <c r="L665" s="1">
        <v>46064.409722222219</v>
      </c>
      <c r="M665" s="1">
        <v>46064.431250000001</v>
      </c>
      <c r="N665" s="1">
        <v>46064.449305555558</v>
      </c>
      <c r="O665">
        <v>3</v>
      </c>
      <c r="P665" t="s">
        <v>37</v>
      </c>
      <c r="Q665" t="s">
        <v>32</v>
      </c>
      <c r="R665" t="s">
        <v>33</v>
      </c>
      <c r="S665" t="s">
        <v>34</v>
      </c>
      <c r="T665">
        <v>5000</v>
      </c>
      <c r="U665" t="s">
        <v>35</v>
      </c>
      <c r="V665" t="s">
        <v>36</v>
      </c>
      <c r="W665">
        <v>1</v>
      </c>
      <c r="X665" t="s">
        <v>37</v>
      </c>
      <c r="Y665">
        <v>5</v>
      </c>
      <c r="Z665" t="s">
        <v>54</v>
      </c>
    </row>
    <row r="666" spans="1:26" hidden="1" x14ac:dyDescent="0.2">
      <c r="A666" t="s">
        <v>1462</v>
      </c>
      <c r="B666" t="s">
        <v>1463</v>
      </c>
      <c r="C666" s="1">
        <v>46112</v>
      </c>
      <c r="D666" t="s">
        <v>126</v>
      </c>
      <c r="E666">
        <v>30</v>
      </c>
      <c r="F666">
        <v>4.3</v>
      </c>
      <c r="G666" t="s">
        <v>81</v>
      </c>
      <c r="H666" t="s">
        <v>51</v>
      </c>
      <c r="I666" s="1">
        <v>46112.361805555556</v>
      </c>
      <c r="J666" s="1">
        <v>46112.375694444447</v>
      </c>
      <c r="K666" s="1">
        <v>46112.431944444441</v>
      </c>
      <c r="L666" s="1">
        <v>46112.443055555559</v>
      </c>
      <c r="M666" s="1">
        <v>46112.453472222223</v>
      </c>
      <c r="N666" s="1">
        <v>46112.46597222222</v>
      </c>
      <c r="O666">
        <v>6</v>
      </c>
      <c r="P666" t="s">
        <v>37</v>
      </c>
      <c r="Q666" t="s">
        <v>43</v>
      </c>
      <c r="R666" t="s">
        <v>58</v>
      </c>
      <c r="S666" t="s">
        <v>45</v>
      </c>
      <c r="T666">
        <v>2500</v>
      </c>
      <c r="U666" t="s">
        <v>35</v>
      </c>
      <c r="V666" t="s">
        <v>36</v>
      </c>
      <c r="W666">
        <v>1</v>
      </c>
      <c r="X666" t="s">
        <v>37</v>
      </c>
      <c r="Y666">
        <v>4</v>
      </c>
      <c r="Z666" t="s">
        <v>134</v>
      </c>
    </row>
    <row r="667" spans="1:26" hidden="1" x14ac:dyDescent="0.2">
      <c r="A667" t="s">
        <v>1464</v>
      </c>
      <c r="B667" t="s">
        <v>1465</v>
      </c>
      <c r="C667" s="1">
        <v>46026</v>
      </c>
      <c r="D667" t="s">
        <v>123</v>
      </c>
      <c r="E667">
        <v>27</v>
      </c>
      <c r="F667">
        <v>8.5</v>
      </c>
      <c r="G667" t="s">
        <v>50</v>
      </c>
      <c r="H667" t="s">
        <v>42</v>
      </c>
      <c r="I667" s="1">
        <v>46026.253472222219</v>
      </c>
      <c r="J667" s="1">
        <v>46026.273611111108</v>
      </c>
      <c r="K667" s="1">
        <v>46026.305555555555</v>
      </c>
      <c r="L667" s="1">
        <v>46026.319444444445</v>
      </c>
      <c r="M667" s="1">
        <v>46026.336805555555</v>
      </c>
      <c r="N667" s="1">
        <v>46026.356944444444</v>
      </c>
      <c r="O667">
        <v>5</v>
      </c>
      <c r="P667" t="s">
        <v>31</v>
      </c>
      <c r="Q667" t="s">
        <v>69</v>
      </c>
      <c r="R667" t="s">
        <v>146</v>
      </c>
      <c r="S667" t="s">
        <v>71</v>
      </c>
      <c r="T667">
        <v>2000</v>
      </c>
      <c r="U667" t="s">
        <v>91</v>
      </c>
      <c r="V667" t="s">
        <v>36</v>
      </c>
      <c r="W667">
        <v>1</v>
      </c>
      <c r="X667" t="s">
        <v>37</v>
      </c>
      <c r="Y667">
        <v>4</v>
      </c>
      <c r="Z667" t="s">
        <v>54</v>
      </c>
    </row>
    <row r="668" spans="1:26" hidden="1" x14ac:dyDescent="0.2">
      <c r="A668" t="s">
        <v>1466</v>
      </c>
      <c r="B668" t="s">
        <v>1467</v>
      </c>
      <c r="C668" s="1">
        <v>46096</v>
      </c>
      <c r="D668" t="s">
        <v>149</v>
      </c>
      <c r="E668">
        <v>15</v>
      </c>
      <c r="F668">
        <v>10.1</v>
      </c>
      <c r="G668" t="s">
        <v>50</v>
      </c>
      <c r="H668" t="s">
        <v>65</v>
      </c>
      <c r="I668" s="1">
        <v>46096.322222222225</v>
      </c>
      <c r="J668" s="1">
        <v>46096.333333333336</v>
      </c>
      <c r="K668" s="1">
        <v>46096.359027777777</v>
      </c>
      <c r="L668" s="1">
        <v>46096.371527777781</v>
      </c>
      <c r="M668" s="1">
        <v>46096.404861111114</v>
      </c>
      <c r="N668" s="1">
        <v>46096.420138888891</v>
      </c>
      <c r="O668">
        <v>3</v>
      </c>
      <c r="P668" t="s">
        <v>37</v>
      </c>
      <c r="Q668" t="s">
        <v>82</v>
      </c>
      <c r="R668" t="s">
        <v>239</v>
      </c>
      <c r="S668" t="s">
        <v>84</v>
      </c>
      <c r="T668">
        <v>4000</v>
      </c>
      <c r="U668" t="s">
        <v>35</v>
      </c>
      <c r="V668" t="s">
        <v>36</v>
      </c>
      <c r="W668">
        <v>1</v>
      </c>
      <c r="X668" t="s">
        <v>37</v>
      </c>
      <c r="Y668">
        <v>5</v>
      </c>
      <c r="Z668" t="s">
        <v>134</v>
      </c>
    </row>
    <row r="669" spans="1:26" hidden="1" x14ac:dyDescent="0.2">
      <c r="A669" t="s">
        <v>1468</v>
      </c>
      <c r="B669" t="s">
        <v>1469</v>
      </c>
      <c r="C669" s="1">
        <v>46063</v>
      </c>
      <c r="D669" t="s">
        <v>285</v>
      </c>
      <c r="E669">
        <v>19</v>
      </c>
      <c r="F669">
        <v>10.9</v>
      </c>
      <c r="G669" t="s">
        <v>50</v>
      </c>
      <c r="H669" t="s">
        <v>42</v>
      </c>
      <c r="I669" s="1">
        <v>46063.331944444442</v>
      </c>
      <c r="J669" s="1">
        <v>46063.341666666667</v>
      </c>
      <c r="K669" s="1">
        <v>46063.388194444444</v>
      </c>
      <c r="L669" s="1">
        <v>46063.395138888889</v>
      </c>
      <c r="M669" s="1">
        <v>46063.409722222219</v>
      </c>
      <c r="N669" s="1">
        <v>46063.430555555555</v>
      </c>
      <c r="O669">
        <v>3</v>
      </c>
      <c r="P669" t="s">
        <v>129</v>
      </c>
      <c r="Q669" t="s">
        <v>69</v>
      </c>
      <c r="R669" t="s">
        <v>70</v>
      </c>
      <c r="S669" t="s">
        <v>71</v>
      </c>
      <c r="T669">
        <v>2000</v>
      </c>
      <c r="U669" t="s">
        <v>35</v>
      </c>
      <c r="V669" t="s">
        <v>36</v>
      </c>
      <c r="W669">
        <v>1</v>
      </c>
      <c r="X669" t="s">
        <v>37</v>
      </c>
      <c r="Y669">
        <v>5</v>
      </c>
      <c r="Z669" t="s">
        <v>117</v>
      </c>
    </row>
    <row r="670" spans="1:26" hidden="1" x14ac:dyDescent="0.2">
      <c r="A670" t="s">
        <v>1470</v>
      </c>
      <c r="B670" t="s">
        <v>1471</v>
      </c>
      <c r="C670" s="1">
        <v>46097</v>
      </c>
      <c r="D670" t="s">
        <v>105</v>
      </c>
      <c r="E670">
        <v>31</v>
      </c>
      <c r="F670">
        <v>5.5</v>
      </c>
      <c r="G670" t="s">
        <v>29</v>
      </c>
      <c r="H670" t="s">
        <v>65</v>
      </c>
      <c r="I670" s="1">
        <v>46097.289583333331</v>
      </c>
      <c r="J670" s="1">
        <v>46097.29583333333</v>
      </c>
      <c r="K670" s="1">
        <v>46097.356944444444</v>
      </c>
      <c r="L670" s="1">
        <v>46097.361805555556</v>
      </c>
      <c r="M670" s="1">
        <v>46097.395138888889</v>
      </c>
      <c r="N670" s="1">
        <v>46097.423611111109</v>
      </c>
      <c r="O670">
        <v>6</v>
      </c>
      <c r="P670" t="s">
        <v>37</v>
      </c>
      <c r="Q670" t="s">
        <v>43</v>
      </c>
      <c r="R670" t="s">
        <v>200</v>
      </c>
      <c r="S670" t="s">
        <v>45</v>
      </c>
      <c r="T670">
        <v>2500</v>
      </c>
      <c r="U670" t="s">
        <v>35</v>
      </c>
      <c r="V670" t="s">
        <v>36</v>
      </c>
      <c r="W670">
        <v>1</v>
      </c>
      <c r="X670" t="s">
        <v>37</v>
      </c>
      <c r="Y670">
        <v>3</v>
      </c>
      <c r="Z670" t="s">
        <v>134</v>
      </c>
    </row>
    <row r="671" spans="1:26" hidden="1" x14ac:dyDescent="0.2">
      <c r="A671" t="s">
        <v>1472</v>
      </c>
      <c r="B671" t="s">
        <v>1473</v>
      </c>
      <c r="C671" s="1">
        <v>46110</v>
      </c>
      <c r="D671" t="s">
        <v>89</v>
      </c>
      <c r="E671">
        <v>29</v>
      </c>
      <c r="F671">
        <v>8.4</v>
      </c>
      <c r="G671" t="s">
        <v>57</v>
      </c>
      <c r="H671" t="s">
        <v>42</v>
      </c>
      <c r="I671" s="1">
        <v>46110.411805555559</v>
      </c>
      <c r="J671" s="1">
        <v>46110.418749999997</v>
      </c>
      <c r="K671" s="1">
        <v>46110.46597222222</v>
      </c>
      <c r="L671" s="1">
        <v>46110.477083333331</v>
      </c>
      <c r="M671" s="1">
        <v>46110.515972222223</v>
      </c>
      <c r="N671" s="1">
        <v>46110.529861111114</v>
      </c>
      <c r="O671">
        <v>2</v>
      </c>
      <c r="P671" t="s">
        <v>37</v>
      </c>
      <c r="Q671" t="s">
        <v>96</v>
      </c>
      <c r="R671" t="s">
        <v>90</v>
      </c>
      <c r="S671" t="s">
        <v>98</v>
      </c>
      <c r="T671">
        <v>3000</v>
      </c>
      <c r="U671" t="s">
        <v>35</v>
      </c>
      <c r="V671" t="s">
        <v>36</v>
      </c>
      <c r="W671">
        <v>1</v>
      </c>
      <c r="X671" t="s">
        <v>37</v>
      </c>
      <c r="Y671">
        <v>3</v>
      </c>
      <c r="Z671" t="s">
        <v>117</v>
      </c>
    </row>
    <row r="672" spans="1:26" hidden="1" x14ac:dyDescent="0.2">
      <c r="A672" t="s">
        <v>1474</v>
      </c>
      <c r="B672" t="s">
        <v>1475</v>
      </c>
      <c r="C672" s="1">
        <v>46049</v>
      </c>
      <c r="D672" t="s">
        <v>254</v>
      </c>
      <c r="E672">
        <v>20</v>
      </c>
      <c r="F672">
        <v>9.5</v>
      </c>
      <c r="G672" t="s">
        <v>50</v>
      </c>
      <c r="H672" t="s">
        <v>95</v>
      </c>
      <c r="I672" s="1">
        <v>46049.390972222223</v>
      </c>
      <c r="J672" s="1">
        <v>46049.397916666669</v>
      </c>
      <c r="K672" s="1">
        <v>46049.445833333331</v>
      </c>
      <c r="L672" s="1">
        <v>46049.451388888891</v>
      </c>
      <c r="M672" s="1">
        <v>46049.484722222223</v>
      </c>
      <c r="N672" s="1">
        <v>46049.50277777778</v>
      </c>
      <c r="O672">
        <v>7</v>
      </c>
      <c r="P672" t="s">
        <v>37</v>
      </c>
      <c r="Q672" t="s">
        <v>43</v>
      </c>
      <c r="R672" t="s">
        <v>200</v>
      </c>
      <c r="S672" t="s">
        <v>45</v>
      </c>
      <c r="T672">
        <v>2500</v>
      </c>
      <c r="U672" t="s">
        <v>35</v>
      </c>
      <c r="V672" t="s">
        <v>36</v>
      </c>
      <c r="W672">
        <v>1</v>
      </c>
      <c r="X672" t="s">
        <v>37</v>
      </c>
      <c r="Y672">
        <v>5</v>
      </c>
      <c r="Z672" t="s">
        <v>102</v>
      </c>
    </row>
    <row r="673" spans="1:26" hidden="1" x14ac:dyDescent="0.2">
      <c r="A673" t="s">
        <v>1476</v>
      </c>
      <c r="B673" t="s">
        <v>1477</v>
      </c>
      <c r="C673" s="1">
        <v>46110</v>
      </c>
      <c r="D673" t="s">
        <v>94</v>
      </c>
      <c r="E673">
        <v>35</v>
      </c>
      <c r="F673">
        <v>10.9</v>
      </c>
      <c r="G673" t="s">
        <v>29</v>
      </c>
      <c r="H673" t="s">
        <v>42</v>
      </c>
      <c r="I673" s="1">
        <v>46110.323611111111</v>
      </c>
      <c r="J673" s="1">
        <v>46110.332638888889</v>
      </c>
      <c r="K673" s="1">
        <v>46110.386805555558</v>
      </c>
      <c r="L673" s="1">
        <v>46110.392361111109</v>
      </c>
      <c r="M673" s="1">
        <v>46110.430555555555</v>
      </c>
      <c r="N673" s="1">
        <v>46110.460416666669</v>
      </c>
      <c r="O673">
        <v>6</v>
      </c>
      <c r="P673" t="s">
        <v>37</v>
      </c>
      <c r="Q673" t="s">
        <v>43</v>
      </c>
      <c r="R673" t="s">
        <v>44</v>
      </c>
      <c r="S673" t="s">
        <v>45</v>
      </c>
      <c r="T673">
        <v>2500</v>
      </c>
      <c r="U673" t="s">
        <v>35</v>
      </c>
      <c r="V673" t="s">
        <v>36</v>
      </c>
      <c r="W673">
        <v>1</v>
      </c>
      <c r="X673" t="s">
        <v>37</v>
      </c>
      <c r="Y673">
        <v>5</v>
      </c>
      <c r="Z673" t="s">
        <v>102</v>
      </c>
    </row>
    <row r="674" spans="1:26" hidden="1" x14ac:dyDescent="0.2">
      <c r="A674" t="s">
        <v>1478</v>
      </c>
      <c r="B674" t="s">
        <v>1479</v>
      </c>
      <c r="C674" s="1">
        <v>46073</v>
      </c>
      <c r="D674" t="s">
        <v>64</v>
      </c>
      <c r="E674">
        <v>30</v>
      </c>
      <c r="F674">
        <v>9.6999999999999993</v>
      </c>
      <c r="G674" t="s">
        <v>81</v>
      </c>
      <c r="H674" t="s">
        <v>30</v>
      </c>
      <c r="I674" s="1">
        <v>46073.365277777775</v>
      </c>
      <c r="J674" s="1">
        <v>46073.378472222219</v>
      </c>
      <c r="K674" s="1">
        <v>46073.42291666667</v>
      </c>
      <c r="L674" s="1">
        <v>46073.428472222222</v>
      </c>
      <c r="M674" s="1">
        <v>46073.439583333333</v>
      </c>
      <c r="N674" s="1">
        <v>46073.449305555558</v>
      </c>
      <c r="O674">
        <v>7</v>
      </c>
      <c r="P674" t="s">
        <v>31</v>
      </c>
      <c r="Q674" t="s">
        <v>32</v>
      </c>
      <c r="R674" t="s">
        <v>66</v>
      </c>
      <c r="S674" t="s">
        <v>34</v>
      </c>
      <c r="T674">
        <v>5000</v>
      </c>
      <c r="U674" t="s">
        <v>35</v>
      </c>
      <c r="V674" t="s">
        <v>36</v>
      </c>
      <c r="W674">
        <v>1</v>
      </c>
      <c r="X674" t="s">
        <v>37</v>
      </c>
      <c r="Y674">
        <v>3</v>
      </c>
      <c r="Z674" t="s">
        <v>168</v>
      </c>
    </row>
    <row r="675" spans="1:26" hidden="1" x14ac:dyDescent="0.2">
      <c r="A675" t="s">
        <v>1480</v>
      </c>
      <c r="B675" t="s">
        <v>1481</v>
      </c>
      <c r="C675" s="1">
        <v>46066</v>
      </c>
      <c r="D675" t="s">
        <v>123</v>
      </c>
      <c r="E675">
        <v>35</v>
      </c>
      <c r="F675">
        <v>5.7</v>
      </c>
      <c r="G675" t="s">
        <v>29</v>
      </c>
      <c r="H675" t="s">
        <v>167</v>
      </c>
      <c r="I675" s="1">
        <v>46066.363888888889</v>
      </c>
      <c r="J675" s="1">
        <v>46066.382638888892</v>
      </c>
      <c r="K675" s="1">
        <v>46066.395833333336</v>
      </c>
      <c r="L675" s="1">
        <v>46066.40902777778</v>
      </c>
      <c r="M675" s="1">
        <v>46066.447222222225</v>
      </c>
      <c r="N675" s="1">
        <v>46066.472222222219</v>
      </c>
      <c r="O675">
        <v>7</v>
      </c>
      <c r="P675" t="s">
        <v>129</v>
      </c>
      <c r="Q675" t="s">
        <v>82</v>
      </c>
      <c r="R675" t="s">
        <v>239</v>
      </c>
      <c r="S675" t="s">
        <v>84</v>
      </c>
      <c r="T675">
        <v>4000</v>
      </c>
      <c r="U675" t="s">
        <v>35</v>
      </c>
      <c r="V675" t="s">
        <v>36</v>
      </c>
      <c r="W675">
        <v>1</v>
      </c>
      <c r="X675" t="s">
        <v>37</v>
      </c>
      <c r="Y675">
        <v>4</v>
      </c>
      <c r="Z675" t="s">
        <v>72</v>
      </c>
    </row>
    <row r="676" spans="1:26" hidden="1" x14ac:dyDescent="0.2">
      <c r="A676" t="s">
        <v>1482</v>
      </c>
      <c r="B676" t="s">
        <v>1483</v>
      </c>
      <c r="C676" s="1">
        <v>46095</v>
      </c>
      <c r="D676" t="s">
        <v>49</v>
      </c>
      <c r="E676">
        <v>13</v>
      </c>
      <c r="F676">
        <v>5.2</v>
      </c>
      <c r="G676" t="s">
        <v>76</v>
      </c>
      <c r="H676" t="s">
        <v>51</v>
      </c>
      <c r="I676" s="1">
        <v>46095.288888888892</v>
      </c>
      <c r="J676" s="1">
        <v>46095.3</v>
      </c>
      <c r="K676" s="1">
        <v>46095.356944444444</v>
      </c>
      <c r="L676" s="1">
        <v>46095.368055555555</v>
      </c>
      <c r="M676" s="1">
        <v>46095.40625</v>
      </c>
      <c r="N676" s="1">
        <v>46095.422222222223</v>
      </c>
      <c r="O676">
        <v>3</v>
      </c>
      <c r="P676" t="s">
        <v>37</v>
      </c>
      <c r="Q676" t="s">
        <v>69</v>
      </c>
      <c r="R676" t="s">
        <v>111</v>
      </c>
      <c r="S676" t="s">
        <v>71</v>
      </c>
      <c r="T676">
        <v>2000</v>
      </c>
      <c r="U676" t="s">
        <v>35</v>
      </c>
      <c r="V676" t="s">
        <v>36</v>
      </c>
      <c r="W676">
        <v>1</v>
      </c>
      <c r="X676" t="s">
        <v>37</v>
      </c>
      <c r="Y676">
        <v>4</v>
      </c>
      <c r="Z676" t="s">
        <v>72</v>
      </c>
    </row>
    <row r="677" spans="1:26" hidden="1" x14ac:dyDescent="0.2">
      <c r="A677" t="s">
        <v>1484</v>
      </c>
      <c r="B677" t="s">
        <v>1485</v>
      </c>
      <c r="C677" s="1">
        <v>46060</v>
      </c>
      <c r="D677" t="s">
        <v>123</v>
      </c>
      <c r="E677">
        <v>23</v>
      </c>
      <c r="F677">
        <v>10.9</v>
      </c>
      <c r="G677" t="s">
        <v>76</v>
      </c>
      <c r="H677" t="s">
        <v>30</v>
      </c>
      <c r="I677" s="1">
        <v>46060.290277777778</v>
      </c>
      <c r="J677" s="1">
        <v>46060.293749999997</v>
      </c>
      <c r="K677" s="1">
        <v>46060.319444444445</v>
      </c>
      <c r="L677" s="1">
        <v>46060.32916666667</v>
      </c>
      <c r="M677" s="1">
        <v>46060.342361111114</v>
      </c>
      <c r="N677" s="1">
        <v>46060.371527777781</v>
      </c>
      <c r="O677">
        <v>1</v>
      </c>
      <c r="P677" t="s">
        <v>52</v>
      </c>
      <c r="Q677" t="s">
        <v>82</v>
      </c>
      <c r="R677" t="s">
        <v>83</v>
      </c>
      <c r="S677" t="s">
        <v>84</v>
      </c>
      <c r="T677">
        <v>4000</v>
      </c>
      <c r="U677" t="s">
        <v>35</v>
      </c>
      <c r="V677" t="s">
        <v>59</v>
      </c>
      <c r="W677">
        <v>4</v>
      </c>
      <c r="X677" t="s">
        <v>193</v>
      </c>
      <c r="Y677">
        <v>4</v>
      </c>
      <c r="Z677" t="s">
        <v>296</v>
      </c>
    </row>
    <row r="678" spans="1:26" hidden="1" x14ac:dyDescent="0.2">
      <c r="A678" t="s">
        <v>1486</v>
      </c>
      <c r="B678" t="s">
        <v>1487</v>
      </c>
      <c r="C678" s="1">
        <v>46105</v>
      </c>
      <c r="D678" t="s">
        <v>123</v>
      </c>
      <c r="E678">
        <v>38</v>
      </c>
      <c r="F678">
        <v>7</v>
      </c>
      <c r="G678" t="s">
        <v>50</v>
      </c>
      <c r="H678" t="s">
        <v>30</v>
      </c>
      <c r="I678" s="1">
        <v>46105.279861111114</v>
      </c>
      <c r="J678" s="1">
        <v>46105.294444444444</v>
      </c>
      <c r="K678" s="1">
        <v>46105.34375</v>
      </c>
      <c r="L678" s="1">
        <v>46105.350694444445</v>
      </c>
      <c r="M678" s="1">
        <v>46105.378472222219</v>
      </c>
      <c r="N678" s="1">
        <v>46105.398611111108</v>
      </c>
      <c r="O678">
        <v>1</v>
      </c>
      <c r="P678" t="s">
        <v>37</v>
      </c>
      <c r="Q678" t="s">
        <v>69</v>
      </c>
      <c r="R678" t="s">
        <v>251</v>
      </c>
      <c r="S678" t="s">
        <v>71</v>
      </c>
      <c r="T678">
        <v>2000</v>
      </c>
      <c r="U678" t="s">
        <v>35</v>
      </c>
      <c r="V678" t="s">
        <v>36</v>
      </c>
      <c r="W678">
        <v>1</v>
      </c>
      <c r="X678" t="s">
        <v>37</v>
      </c>
      <c r="Y678">
        <v>3</v>
      </c>
      <c r="Z678" t="s">
        <v>296</v>
      </c>
    </row>
    <row r="679" spans="1:26" hidden="1" x14ac:dyDescent="0.2">
      <c r="A679" t="s">
        <v>1488</v>
      </c>
      <c r="B679" t="s">
        <v>1489</v>
      </c>
      <c r="C679" s="1">
        <v>46100</v>
      </c>
      <c r="D679" t="s">
        <v>137</v>
      </c>
      <c r="E679">
        <v>27</v>
      </c>
      <c r="F679">
        <v>8</v>
      </c>
      <c r="G679" t="s">
        <v>81</v>
      </c>
      <c r="H679" t="s">
        <v>30</v>
      </c>
      <c r="I679" s="1">
        <v>46100.411111111112</v>
      </c>
      <c r="J679" s="1">
        <v>46100.414583333331</v>
      </c>
      <c r="K679" s="1">
        <v>46100.468055555553</v>
      </c>
      <c r="L679" s="1">
        <v>46100.476388888892</v>
      </c>
      <c r="M679" s="1">
        <v>46100.515972222223</v>
      </c>
      <c r="N679" s="1">
        <v>46100.527777777781</v>
      </c>
      <c r="O679">
        <v>3</v>
      </c>
      <c r="P679" t="s">
        <v>37</v>
      </c>
      <c r="Q679" t="s">
        <v>32</v>
      </c>
      <c r="R679" t="s">
        <v>120</v>
      </c>
      <c r="S679" t="s">
        <v>34</v>
      </c>
      <c r="T679">
        <v>5000</v>
      </c>
      <c r="U679" t="s">
        <v>35</v>
      </c>
      <c r="V679" t="s">
        <v>36</v>
      </c>
      <c r="W679">
        <v>1</v>
      </c>
      <c r="X679" t="s">
        <v>37</v>
      </c>
      <c r="Y679">
        <v>4</v>
      </c>
      <c r="Z679" t="s">
        <v>117</v>
      </c>
    </row>
    <row r="680" spans="1:26" hidden="1" x14ac:dyDescent="0.2">
      <c r="A680" t="s">
        <v>1490</v>
      </c>
      <c r="B680" t="s">
        <v>1491</v>
      </c>
      <c r="C680" s="1">
        <v>46093</v>
      </c>
      <c r="D680" t="s">
        <v>75</v>
      </c>
      <c r="E680">
        <v>8</v>
      </c>
      <c r="F680">
        <v>7.6</v>
      </c>
      <c r="G680" t="s">
        <v>81</v>
      </c>
      <c r="H680" t="s">
        <v>95</v>
      </c>
      <c r="I680" s="1">
        <v>46093.293055555558</v>
      </c>
      <c r="J680" s="1">
        <v>46093.302083333336</v>
      </c>
      <c r="K680" s="1">
        <v>46093.324999999997</v>
      </c>
      <c r="L680" s="1">
        <v>46093.333333333336</v>
      </c>
      <c r="M680" s="1">
        <v>46093.35</v>
      </c>
      <c r="N680" s="1">
        <v>46093.373611111114</v>
      </c>
      <c r="O680">
        <v>2</v>
      </c>
      <c r="P680" t="s">
        <v>31</v>
      </c>
      <c r="Q680" t="s">
        <v>69</v>
      </c>
      <c r="R680" t="s">
        <v>111</v>
      </c>
      <c r="S680" t="s">
        <v>71</v>
      </c>
      <c r="T680">
        <v>2000</v>
      </c>
      <c r="U680" t="s">
        <v>35</v>
      </c>
      <c r="V680" t="s">
        <v>36</v>
      </c>
      <c r="W680">
        <v>1</v>
      </c>
      <c r="X680" t="s">
        <v>37</v>
      </c>
      <c r="Y680">
        <v>5</v>
      </c>
      <c r="Z680" t="s">
        <v>38</v>
      </c>
    </row>
    <row r="681" spans="1:26" hidden="1" x14ac:dyDescent="0.2">
      <c r="A681" t="s">
        <v>1492</v>
      </c>
      <c r="B681" t="s">
        <v>1493</v>
      </c>
      <c r="C681" s="1">
        <v>46039</v>
      </c>
      <c r="D681" t="s">
        <v>285</v>
      </c>
      <c r="E681">
        <v>18</v>
      </c>
      <c r="F681">
        <v>5.8</v>
      </c>
      <c r="G681" t="s">
        <v>81</v>
      </c>
      <c r="H681" t="s">
        <v>42</v>
      </c>
      <c r="I681" s="1">
        <v>46039.352777777778</v>
      </c>
      <c r="J681" s="1">
        <v>46039.366666666669</v>
      </c>
      <c r="K681" s="1">
        <v>46039.414583333331</v>
      </c>
      <c r="L681" s="1">
        <v>46039.420138888891</v>
      </c>
      <c r="M681" s="1">
        <v>46039.450694444444</v>
      </c>
      <c r="N681" s="1">
        <v>46039.456250000003</v>
      </c>
      <c r="O681">
        <v>3</v>
      </c>
      <c r="P681" t="s">
        <v>37</v>
      </c>
      <c r="Q681" t="s">
        <v>96</v>
      </c>
      <c r="R681" t="s">
        <v>90</v>
      </c>
      <c r="S681" t="s">
        <v>98</v>
      </c>
      <c r="T681">
        <v>3000</v>
      </c>
      <c r="U681" t="s">
        <v>35</v>
      </c>
      <c r="V681" t="s">
        <v>36</v>
      </c>
      <c r="W681">
        <v>1</v>
      </c>
      <c r="X681" t="s">
        <v>37</v>
      </c>
      <c r="Y681">
        <v>4</v>
      </c>
      <c r="Z681" t="s">
        <v>72</v>
      </c>
    </row>
    <row r="682" spans="1:26" hidden="1" x14ac:dyDescent="0.2">
      <c r="A682" t="s">
        <v>1494</v>
      </c>
      <c r="B682" t="s">
        <v>1495</v>
      </c>
      <c r="C682" s="1">
        <v>46035</v>
      </c>
      <c r="D682" t="s">
        <v>75</v>
      </c>
      <c r="E682">
        <v>36</v>
      </c>
      <c r="F682">
        <v>6.4</v>
      </c>
      <c r="G682" t="s">
        <v>29</v>
      </c>
      <c r="H682" t="s">
        <v>65</v>
      </c>
      <c r="I682" s="1">
        <v>46035.326388888891</v>
      </c>
      <c r="J682" s="1">
        <v>46035.331944444442</v>
      </c>
      <c r="K682" s="1">
        <v>46035.37777777778</v>
      </c>
      <c r="L682" s="1">
        <v>46035.385416666664</v>
      </c>
      <c r="M682" s="1">
        <v>46035.418055555558</v>
      </c>
      <c r="N682" s="1">
        <v>46035.449305555558</v>
      </c>
      <c r="O682">
        <v>5</v>
      </c>
      <c r="P682" t="s">
        <v>37</v>
      </c>
      <c r="Q682" t="s">
        <v>69</v>
      </c>
      <c r="R682" t="s">
        <v>146</v>
      </c>
      <c r="S682" t="s">
        <v>71</v>
      </c>
      <c r="T682">
        <v>2000</v>
      </c>
      <c r="U682" t="s">
        <v>91</v>
      </c>
      <c r="V682" t="s">
        <v>36</v>
      </c>
      <c r="W682">
        <v>1</v>
      </c>
      <c r="X682" t="s">
        <v>37</v>
      </c>
      <c r="Y682">
        <v>4</v>
      </c>
      <c r="Z682" t="s">
        <v>161</v>
      </c>
    </row>
    <row r="683" spans="1:26" x14ac:dyDescent="0.2">
      <c r="A683" t="s">
        <v>1496</v>
      </c>
      <c r="B683" t="s">
        <v>1497</v>
      </c>
      <c r="C683" s="1">
        <v>46103</v>
      </c>
      <c r="D683" t="s">
        <v>126</v>
      </c>
      <c r="E683">
        <v>35</v>
      </c>
      <c r="F683">
        <v>8.1</v>
      </c>
      <c r="G683" t="s">
        <v>76</v>
      </c>
      <c r="H683" t="s">
        <v>167</v>
      </c>
      <c r="I683" s="1">
        <v>46103.404166666667</v>
      </c>
      <c r="J683" s="1">
        <v>46103.419444444444</v>
      </c>
      <c r="K683" s="1">
        <v>46103.447916666664</v>
      </c>
      <c r="L683" s="1">
        <v>46103.458333333336</v>
      </c>
      <c r="M683" s="1">
        <v>46103.477083333331</v>
      </c>
      <c r="N683" s="1">
        <v>46103.504861111112</v>
      </c>
      <c r="O683">
        <v>5</v>
      </c>
      <c r="P683" t="s">
        <v>37</v>
      </c>
      <c r="Q683" t="s">
        <v>96</v>
      </c>
      <c r="R683" t="s">
        <v>130</v>
      </c>
      <c r="S683" t="s">
        <v>98</v>
      </c>
      <c r="T683">
        <v>3000</v>
      </c>
      <c r="U683" t="s">
        <v>35</v>
      </c>
      <c r="V683" t="s">
        <v>59</v>
      </c>
      <c r="W683">
        <v>2</v>
      </c>
      <c r="X683" t="s">
        <v>193</v>
      </c>
      <c r="Y683">
        <v>1</v>
      </c>
      <c r="Z683" t="s">
        <v>86</v>
      </c>
    </row>
    <row r="684" spans="1:26" hidden="1" x14ac:dyDescent="0.2">
      <c r="A684" t="s">
        <v>1498</v>
      </c>
      <c r="B684" t="s">
        <v>1499</v>
      </c>
      <c r="C684" s="1">
        <v>46083</v>
      </c>
      <c r="D684" t="s">
        <v>186</v>
      </c>
      <c r="E684">
        <v>9</v>
      </c>
      <c r="F684">
        <v>10.1</v>
      </c>
      <c r="G684" t="s">
        <v>76</v>
      </c>
      <c r="H684" t="s">
        <v>51</v>
      </c>
      <c r="I684" s="1">
        <v>46083.413888888892</v>
      </c>
      <c r="J684" s="1">
        <v>46083.427083333336</v>
      </c>
      <c r="K684" s="1">
        <v>46083.463888888888</v>
      </c>
      <c r="L684" s="1">
        <v>46083.470833333333</v>
      </c>
      <c r="M684" s="1">
        <v>46083.486111111109</v>
      </c>
      <c r="N684" s="1">
        <v>46083.493750000001</v>
      </c>
      <c r="O684">
        <v>7</v>
      </c>
      <c r="P684" t="s">
        <v>129</v>
      </c>
      <c r="Q684" t="s">
        <v>82</v>
      </c>
      <c r="R684" t="s">
        <v>83</v>
      </c>
      <c r="S684" t="s">
        <v>84</v>
      </c>
      <c r="T684">
        <v>4000</v>
      </c>
      <c r="U684" t="s">
        <v>35</v>
      </c>
      <c r="V684" t="s">
        <v>36</v>
      </c>
      <c r="W684">
        <v>1</v>
      </c>
      <c r="X684" t="s">
        <v>37</v>
      </c>
      <c r="Y684">
        <v>4</v>
      </c>
      <c r="Z684" t="s">
        <v>117</v>
      </c>
    </row>
    <row r="685" spans="1:26" hidden="1" x14ac:dyDescent="0.2">
      <c r="A685" t="s">
        <v>1500</v>
      </c>
      <c r="B685" t="s">
        <v>1501</v>
      </c>
      <c r="C685" s="1">
        <v>46061</v>
      </c>
      <c r="D685" t="s">
        <v>171</v>
      </c>
      <c r="E685">
        <v>14</v>
      </c>
      <c r="F685">
        <v>6.6</v>
      </c>
      <c r="G685" t="s">
        <v>57</v>
      </c>
      <c r="H685" t="s">
        <v>42</v>
      </c>
      <c r="I685" s="1">
        <v>46061.320138888892</v>
      </c>
      <c r="J685" s="1">
        <v>46061.34097222222</v>
      </c>
      <c r="K685" s="1">
        <v>46061.362500000003</v>
      </c>
      <c r="L685" s="1">
        <v>46061.369444444441</v>
      </c>
      <c r="M685" s="1">
        <v>46061.40347222222</v>
      </c>
      <c r="N685" s="1">
        <v>46061.413888888892</v>
      </c>
      <c r="O685">
        <v>3</v>
      </c>
      <c r="P685" t="s">
        <v>37</v>
      </c>
      <c r="Q685" t="s">
        <v>69</v>
      </c>
      <c r="R685" t="s">
        <v>146</v>
      </c>
      <c r="S685" t="s">
        <v>71</v>
      </c>
      <c r="T685">
        <v>2000</v>
      </c>
      <c r="U685" t="s">
        <v>91</v>
      </c>
      <c r="V685" t="s">
        <v>36</v>
      </c>
      <c r="W685">
        <v>1</v>
      </c>
      <c r="X685" t="s">
        <v>37</v>
      </c>
      <c r="Y685">
        <v>5</v>
      </c>
      <c r="Z685" t="s">
        <v>61</v>
      </c>
    </row>
    <row r="686" spans="1:26" hidden="1" x14ac:dyDescent="0.2">
      <c r="A686" t="s">
        <v>1502</v>
      </c>
      <c r="B686" t="s">
        <v>1503</v>
      </c>
      <c r="C686" s="1">
        <v>46052</v>
      </c>
      <c r="D686" t="s">
        <v>171</v>
      </c>
      <c r="E686">
        <v>24</v>
      </c>
      <c r="F686">
        <v>7</v>
      </c>
      <c r="G686" t="s">
        <v>76</v>
      </c>
      <c r="H686" t="s">
        <v>167</v>
      </c>
      <c r="I686" s="1">
        <v>46052.379166666666</v>
      </c>
      <c r="J686" s="1">
        <v>46052.390277777777</v>
      </c>
      <c r="K686" s="1">
        <v>46052.425000000003</v>
      </c>
      <c r="L686" s="1">
        <v>46052.438194444447</v>
      </c>
      <c r="M686" s="1">
        <v>46052.458333333336</v>
      </c>
      <c r="N686" s="1">
        <v>46052.480555555558</v>
      </c>
      <c r="O686">
        <v>5</v>
      </c>
      <c r="P686" t="s">
        <v>37</v>
      </c>
      <c r="Q686" t="s">
        <v>96</v>
      </c>
      <c r="R686" t="s">
        <v>97</v>
      </c>
      <c r="S686" t="s">
        <v>98</v>
      </c>
      <c r="T686">
        <v>3000</v>
      </c>
      <c r="U686" t="s">
        <v>35</v>
      </c>
      <c r="V686" t="s">
        <v>36</v>
      </c>
      <c r="W686">
        <v>1</v>
      </c>
      <c r="X686" t="s">
        <v>37</v>
      </c>
      <c r="Y686">
        <v>4</v>
      </c>
      <c r="Z686" t="s">
        <v>168</v>
      </c>
    </row>
    <row r="687" spans="1:26" hidden="1" x14ac:dyDescent="0.2">
      <c r="A687" t="s">
        <v>1504</v>
      </c>
      <c r="B687" t="s">
        <v>1505</v>
      </c>
      <c r="C687" s="1">
        <v>46105</v>
      </c>
      <c r="D687" t="s">
        <v>154</v>
      </c>
      <c r="E687">
        <v>22</v>
      </c>
      <c r="F687">
        <v>4.2</v>
      </c>
      <c r="G687" t="s">
        <v>57</v>
      </c>
      <c r="H687" t="s">
        <v>95</v>
      </c>
      <c r="I687" s="1">
        <v>46105.367361111108</v>
      </c>
      <c r="J687" s="1">
        <v>46105.386111111111</v>
      </c>
      <c r="K687" s="1">
        <v>46105.415277777778</v>
      </c>
      <c r="L687" s="1">
        <v>46105.425000000003</v>
      </c>
      <c r="M687" s="1">
        <v>46105.447916666664</v>
      </c>
      <c r="N687" s="1">
        <v>46105.45208333333</v>
      </c>
      <c r="O687">
        <v>3</v>
      </c>
      <c r="P687" t="s">
        <v>37</v>
      </c>
      <c r="Q687" t="s">
        <v>82</v>
      </c>
      <c r="R687" t="s">
        <v>214</v>
      </c>
      <c r="S687" t="s">
        <v>84</v>
      </c>
      <c r="T687">
        <v>4000</v>
      </c>
      <c r="U687" t="s">
        <v>35</v>
      </c>
      <c r="V687" t="s">
        <v>36</v>
      </c>
      <c r="W687">
        <v>1</v>
      </c>
      <c r="X687" t="s">
        <v>37</v>
      </c>
      <c r="Y687">
        <v>5</v>
      </c>
      <c r="Z687" t="s">
        <v>61</v>
      </c>
    </row>
    <row r="688" spans="1:26" hidden="1" x14ac:dyDescent="0.2">
      <c r="A688" t="s">
        <v>1506</v>
      </c>
      <c r="B688" t="s">
        <v>1507</v>
      </c>
      <c r="C688" s="1">
        <v>46102</v>
      </c>
      <c r="D688" t="s">
        <v>285</v>
      </c>
      <c r="E688">
        <v>11</v>
      </c>
      <c r="F688">
        <v>4.5999999999999996</v>
      </c>
      <c r="G688" t="s">
        <v>57</v>
      </c>
      <c r="H688" t="s">
        <v>167</v>
      </c>
      <c r="I688" s="1">
        <v>46102.378472222219</v>
      </c>
      <c r="J688" s="1">
        <v>46102.392361111109</v>
      </c>
      <c r="K688" s="1">
        <v>46102.451388888891</v>
      </c>
      <c r="L688" s="1">
        <v>46102.465277777781</v>
      </c>
      <c r="M688" s="1">
        <v>46102.473611111112</v>
      </c>
      <c r="N688" s="1">
        <v>46102.493750000001</v>
      </c>
      <c r="O688">
        <v>6</v>
      </c>
      <c r="P688" t="s">
        <v>37</v>
      </c>
      <c r="Q688" t="s">
        <v>43</v>
      </c>
      <c r="R688" t="s">
        <v>58</v>
      </c>
      <c r="S688" t="s">
        <v>45</v>
      </c>
      <c r="T688">
        <v>2500</v>
      </c>
      <c r="U688" t="s">
        <v>35</v>
      </c>
      <c r="V688" t="s">
        <v>36</v>
      </c>
      <c r="W688">
        <v>1</v>
      </c>
      <c r="X688" t="s">
        <v>37</v>
      </c>
      <c r="Y688">
        <v>5</v>
      </c>
      <c r="Z688" t="s">
        <v>215</v>
      </c>
    </row>
    <row r="689" spans="1:26" hidden="1" x14ac:dyDescent="0.2">
      <c r="A689" t="s">
        <v>1508</v>
      </c>
      <c r="B689" t="s">
        <v>1509</v>
      </c>
      <c r="C689" s="1">
        <v>46030</v>
      </c>
      <c r="D689" t="s">
        <v>28</v>
      </c>
      <c r="E689">
        <v>22</v>
      </c>
      <c r="F689">
        <v>8.3000000000000007</v>
      </c>
      <c r="G689" t="s">
        <v>50</v>
      </c>
      <c r="H689" t="s">
        <v>167</v>
      </c>
      <c r="I689" s="1">
        <v>46030.269444444442</v>
      </c>
      <c r="J689" s="1">
        <v>46030.283333333333</v>
      </c>
      <c r="K689" s="1">
        <v>46030.302083333336</v>
      </c>
      <c r="L689" s="1">
        <v>46030.306944444441</v>
      </c>
      <c r="M689" s="1">
        <v>46030.327777777777</v>
      </c>
      <c r="N689" s="1">
        <v>46030.349305555559</v>
      </c>
      <c r="O689">
        <v>7</v>
      </c>
      <c r="P689" t="s">
        <v>106</v>
      </c>
      <c r="Q689" t="s">
        <v>32</v>
      </c>
      <c r="R689" t="s">
        <v>66</v>
      </c>
      <c r="S689" t="s">
        <v>34</v>
      </c>
      <c r="T689">
        <v>5000</v>
      </c>
      <c r="U689" t="s">
        <v>35</v>
      </c>
      <c r="V689" t="s">
        <v>36</v>
      </c>
      <c r="W689">
        <v>1</v>
      </c>
      <c r="X689" t="s">
        <v>37</v>
      </c>
      <c r="Y689">
        <v>4</v>
      </c>
      <c r="Z689" t="s">
        <v>72</v>
      </c>
    </row>
    <row r="690" spans="1:26" hidden="1" x14ac:dyDescent="0.2">
      <c r="A690" t="s">
        <v>1510</v>
      </c>
      <c r="B690" t="s">
        <v>1511</v>
      </c>
      <c r="C690" s="1">
        <v>46064</v>
      </c>
      <c r="D690" t="s">
        <v>254</v>
      </c>
      <c r="E690">
        <v>40</v>
      </c>
      <c r="F690">
        <v>8.1999999999999993</v>
      </c>
      <c r="G690" t="s">
        <v>76</v>
      </c>
      <c r="H690" t="s">
        <v>30</v>
      </c>
      <c r="I690" s="1">
        <v>46064.253472222219</v>
      </c>
      <c r="J690" s="1">
        <v>46064.259722222225</v>
      </c>
      <c r="K690" s="1">
        <v>46064.272222222222</v>
      </c>
      <c r="L690" s="1">
        <v>46064.282638888886</v>
      </c>
      <c r="M690" s="1">
        <v>46064.305555555555</v>
      </c>
      <c r="N690" s="1">
        <v>46064.328472222223</v>
      </c>
      <c r="O690">
        <v>6</v>
      </c>
      <c r="P690" t="s">
        <v>37</v>
      </c>
      <c r="Q690" t="s">
        <v>69</v>
      </c>
      <c r="R690" t="s">
        <v>251</v>
      </c>
      <c r="S690" t="s">
        <v>71</v>
      </c>
      <c r="T690">
        <v>2000</v>
      </c>
      <c r="U690" t="s">
        <v>35</v>
      </c>
      <c r="V690" t="s">
        <v>36</v>
      </c>
      <c r="W690">
        <v>1</v>
      </c>
      <c r="X690" t="s">
        <v>37</v>
      </c>
      <c r="Y690">
        <v>4</v>
      </c>
      <c r="Z690" t="s">
        <v>99</v>
      </c>
    </row>
    <row r="691" spans="1:26" hidden="1" x14ac:dyDescent="0.2">
      <c r="A691" t="s">
        <v>1512</v>
      </c>
      <c r="B691" t="s">
        <v>1513</v>
      </c>
      <c r="C691" s="1">
        <v>46109</v>
      </c>
      <c r="D691" t="s">
        <v>114</v>
      </c>
      <c r="E691">
        <v>6</v>
      </c>
      <c r="F691">
        <v>5.0999999999999996</v>
      </c>
      <c r="G691" t="s">
        <v>50</v>
      </c>
      <c r="H691" t="s">
        <v>157</v>
      </c>
      <c r="I691" s="1">
        <v>46109.320138888892</v>
      </c>
      <c r="J691" s="1">
        <v>46109.34097222222</v>
      </c>
      <c r="K691" s="1">
        <v>46109.390972222223</v>
      </c>
      <c r="L691" s="1">
        <v>46109.395138888889</v>
      </c>
      <c r="M691" s="1">
        <v>46109.425000000003</v>
      </c>
      <c r="N691" s="1">
        <v>46109.430555555555</v>
      </c>
      <c r="O691">
        <v>5</v>
      </c>
      <c r="P691" t="s">
        <v>37</v>
      </c>
      <c r="Q691" t="s">
        <v>96</v>
      </c>
      <c r="R691" t="s">
        <v>214</v>
      </c>
      <c r="S691" t="s">
        <v>98</v>
      </c>
      <c r="T691">
        <v>3000</v>
      </c>
      <c r="U691" t="s">
        <v>35</v>
      </c>
      <c r="V691" t="s">
        <v>59</v>
      </c>
      <c r="W691">
        <v>3</v>
      </c>
      <c r="X691" t="s">
        <v>374</v>
      </c>
      <c r="Y691">
        <v>4</v>
      </c>
      <c r="Z691" t="s">
        <v>215</v>
      </c>
    </row>
    <row r="692" spans="1:26" hidden="1" x14ac:dyDescent="0.2">
      <c r="A692" t="s">
        <v>1514</v>
      </c>
      <c r="B692" t="s">
        <v>1515</v>
      </c>
      <c r="C692" s="1">
        <v>46104</v>
      </c>
      <c r="D692" t="s">
        <v>89</v>
      </c>
      <c r="E692">
        <v>40</v>
      </c>
      <c r="F692">
        <v>10.199999999999999</v>
      </c>
      <c r="G692" t="s">
        <v>81</v>
      </c>
      <c r="H692" t="s">
        <v>95</v>
      </c>
      <c r="I692" s="1">
        <v>46104.39166666667</v>
      </c>
      <c r="J692" s="1">
        <v>46104.40625</v>
      </c>
      <c r="K692" s="1">
        <v>46104.42083333333</v>
      </c>
      <c r="L692" s="1">
        <v>46104.434027777781</v>
      </c>
      <c r="M692" s="1">
        <v>46104.468055555553</v>
      </c>
      <c r="N692" s="1">
        <v>46104.479861111111</v>
      </c>
      <c r="O692">
        <v>7</v>
      </c>
      <c r="P692" t="s">
        <v>52</v>
      </c>
      <c r="Q692" t="s">
        <v>32</v>
      </c>
      <c r="R692" t="s">
        <v>77</v>
      </c>
      <c r="S692" t="s">
        <v>34</v>
      </c>
      <c r="T692">
        <v>5000</v>
      </c>
      <c r="U692" t="s">
        <v>35</v>
      </c>
      <c r="V692" t="s">
        <v>36</v>
      </c>
      <c r="W692">
        <v>1</v>
      </c>
      <c r="X692" t="s">
        <v>37</v>
      </c>
      <c r="Y692">
        <v>4</v>
      </c>
      <c r="Z692" t="s">
        <v>86</v>
      </c>
    </row>
    <row r="693" spans="1:26" hidden="1" x14ac:dyDescent="0.2">
      <c r="A693" t="s">
        <v>1516</v>
      </c>
      <c r="B693" t="s">
        <v>1517</v>
      </c>
      <c r="C693" s="1">
        <v>46106</v>
      </c>
      <c r="D693" t="s">
        <v>289</v>
      </c>
      <c r="E693">
        <v>26</v>
      </c>
      <c r="F693">
        <v>7.6</v>
      </c>
      <c r="G693" t="s">
        <v>50</v>
      </c>
      <c r="H693" t="s">
        <v>51</v>
      </c>
      <c r="I693" s="1">
        <v>46106.320833333331</v>
      </c>
      <c r="J693" s="1">
        <v>46106.336805555555</v>
      </c>
      <c r="K693" s="1">
        <v>46106.369444444441</v>
      </c>
      <c r="L693" s="1">
        <v>46106.372916666667</v>
      </c>
      <c r="M693" s="1">
        <v>46106.406944444447</v>
      </c>
      <c r="N693" s="1">
        <v>46106.427083333336</v>
      </c>
      <c r="O693">
        <v>1</v>
      </c>
      <c r="P693" t="s">
        <v>129</v>
      </c>
      <c r="Q693" t="s">
        <v>32</v>
      </c>
      <c r="R693" t="s">
        <v>278</v>
      </c>
      <c r="S693" t="s">
        <v>34</v>
      </c>
      <c r="T693">
        <v>5000</v>
      </c>
      <c r="U693" t="s">
        <v>35</v>
      </c>
      <c r="V693" t="s">
        <v>36</v>
      </c>
      <c r="W693">
        <v>1</v>
      </c>
      <c r="X693" t="s">
        <v>37</v>
      </c>
      <c r="Y693">
        <v>3</v>
      </c>
      <c r="Z693" t="s">
        <v>134</v>
      </c>
    </row>
    <row r="694" spans="1:26" x14ac:dyDescent="0.2">
      <c r="A694" t="s">
        <v>1518</v>
      </c>
      <c r="B694" t="s">
        <v>1519</v>
      </c>
      <c r="C694" s="1">
        <v>46091</v>
      </c>
      <c r="D694" t="s">
        <v>225</v>
      </c>
      <c r="E694">
        <v>27</v>
      </c>
      <c r="F694">
        <v>11.1</v>
      </c>
      <c r="G694" t="s">
        <v>81</v>
      </c>
      <c r="H694" t="s">
        <v>95</v>
      </c>
      <c r="I694" s="1">
        <v>46091.283333333333</v>
      </c>
      <c r="J694" s="1">
        <v>46091.303472222222</v>
      </c>
      <c r="K694" s="1">
        <v>46091.322916666664</v>
      </c>
      <c r="L694" s="1">
        <v>46091.330555555556</v>
      </c>
      <c r="M694" s="1">
        <v>46091.350694444445</v>
      </c>
      <c r="N694" s="1">
        <v>46091.361805555556</v>
      </c>
      <c r="O694">
        <v>1</v>
      </c>
      <c r="P694" t="s">
        <v>31</v>
      </c>
      <c r="Q694" t="s">
        <v>82</v>
      </c>
      <c r="R694" t="s">
        <v>239</v>
      </c>
      <c r="S694" t="s">
        <v>84</v>
      </c>
      <c r="T694">
        <v>4000</v>
      </c>
      <c r="U694" t="s">
        <v>91</v>
      </c>
      <c r="V694" t="s">
        <v>36</v>
      </c>
      <c r="W694">
        <v>1</v>
      </c>
      <c r="X694" t="s">
        <v>37</v>
      </c>
      <c r="Y694">
        <v>2</v>
      </c>
      <c r="Z694" t="s">
        <v>99</v>
      </c>
    </row>
    <row r="695" spans="1:26" x14ac:dyDescent="0.2">
      <c r="A695" t="s">
        <v>1520</v>
      </c>
      <c r="B695" t="s">
        <v>1521</v>
      </c>
      <c r="C695" s="1">
        <v>46064</v>
      </c>
      <c r="D695" t="s">
        <v>230</v>
      </c>
      <c r="E695">
        <v>18</v>
      </c>
      <c r="F695">
        <v>5.6</v>
      </c>
      <c r="G695" t="s">
        <v>57</v>
      </c>
      <c r="H695" t="s">
        <v>157</v>
      </c>
      <c r="I695" s="1">
        <v>46064.29791666667</v>
      </c>
      <c r="J695" s="1">
        <v>46064.306250000001</v>
      </c>
      <c r="K695" s="1">
        <v>46064.331944444442</v>
      </c>
      <c r="L695" s="1">
        <v>46064.343055555553</v>
      </c>
      <c r="M695" s="1">
        <v>46064.350694444445</v>
      </c>
      <c r="N695" s="1">
        <v>46064.359722222223</v>
      </c>
      <c r="O695">
        <v>4</v>
      </c>
      <c r="P695" t="s">
        <v>115</v>
      </c>
      <c r="Q695" t="s">
        <v>96</v>
      </c>
      <c r="R695" t="s">
        <v>164</v>
      </c>
      <c r="S695" t="s">
        <v>98</v>
      </c>
      <c r="T695">
        <v>3000</v>
      </c>
      <c r="U695" t="s">
        <v>35</v>
      </c>
      <c r="V695" t="s">
        <v>59</v>
      </c>
      <c r="W695">
        <v>2</v>
      </c>
      <c r="X695" t="s">
        <v>193</v>
      </c>
      <c r="Y695">
        <v>1</v>
      </c>
      <c r="Z695" t="s">
        <v>72</v>
      </c>
    </row>
    <row r="696" spans="1:26" hidden="1" x14ac:dyDescent="0.2">
      <c r="A696" t="s">
        <v>1522</v>
      </c>
      <c r="B696" t="s">
        <v>1523</v>
      </c>
      <c r="C696" s="1">
        <v>46048</v>
      </c>
      <c r="D696" t="s">
        <v>267</v>
      </c>
      <c r="E696">
        <v>12</v>
      </c>
      <c r="F696">
        <v>4.7</v>
      </c>
      <c r="G696" t="s">
        <v>57</v>
      </c>
      <c r="H696" t="s">
        <v>65</v>
      </c>
      <c r="I696" s="1">
        <v>46048.411805555559</v>
      </c>
      <c r="J696" s="1">
        <v>46048.427777777775</v>
      </c>
      <c r="K696" s="1">
        <v>46048.480555555558</v>
      </c>
      <c r="L696" s="1">
        <v>46048.486111111109</v>
      </c>
      <c r="M696" s="1">
        <v>46048.5</v>
      </c>
      <c r="N696" s="1">
        <v>46048.512499999997</v>
      </c>
      <c r="O696">
        <v>1</v>
      </c>
      <c r="P696" t="s">
        <v>37</v>
      </c>
      <c r="Q696" t="s">
        <v>43</v>
      </c>
      <c r="R696" t="s">
        <v>44</v>
      </c>
      <c r="S696" t="s">
        <v>45</v>
      </c>
      <c r="T696">
        <v>2500</v>
      </c>
      <c r="U696" t="s">
        <v>35</v>
      </c>
      <c r="V696" t="s">
        <v>36</v>
      </c>
      <c r="W696">
        <v>1</v>
      </c>
      <c r="X696" t="s">
        <v>37</v>
      </c>
      <c r="Y696">
        <v>5</v>
      </c>
      <c r="Z696" t="s">
        <v>168</v>
      </c>
    </row>
    <row r="697" spans="1:26" hidden="1" x14ac:dyDescent="0.2">
      <c r="A697" t="s">
        <v>1524</v>
      </c>
      <c r="B697" t="s">
        <v>1525</v>
      </c>
      <c r="C697" s="1">
        <v>46049</v>
      </c>
      <c r="D697" t="s">
        <v>89</v>
      </c>
      <c r="E697">
        <v>35</v>
      </c>
      <c r="F697">
        <v>6</v>
      </c>
      <c r="G697" t="s">
        <v>29</v>
      </c>
      <c r="H697" t="s">
        <v>157</v>
      </c>
      <c r="I697" s="1">
        <v>46049.25277777778</v>
      </c>
      <c r="J697" s="1">
        <v>46049.256249999999</v>
      </c>
      <c r="K697" s="1">
        <v>46049.296527777777</v>
      </c>
      <c r="L697" s="1">
        <v>46049.309027777781</v>
      </c>
      <c r="M697" s="1">
        <v>46049.333333333336</v>
      </c>
      <c r="N697" s="1">
        <v>46049.34097222222</v>
      </c>
      <c r="O697">
        <v>3</v>
      </c>
      <c r="P697" t="s">
        <v>37</v>
      </c>
      <c r="Q697" t="s">
        <v>69</v>
      </c>
      <c r="R697" t="s">
        <v>251</v>
      </c>
      <c r="S697" t="s">
        <v>71</v>
      </c>
      <c r="T697">
        <v>2000</v>
      </c>
      <c r="U697" t="s">
        <v>35</v>
      </c>
      <c r="V697" t="s">
        <v>36</v>
      </c>
      <c r="W697">
        <v>1</v>
      </c>
      <c r="X697" t="s">
        <v>37</v>
      </c>
      <c r="Y697">
        <v>5</v>
      </c>
      <c r="Z697" t="s">
        <v>134</v>
      </c>
    </row>
    <row r="698" spans="1:26" hidden="1" x14ac:dyDescent="0.2">
      <c r="A698" t="s">
        <v>1526</v>
      </c>
      <c r="B698" t="s">
        <v>1527</v>
      </c>
      <c r="C698" s="1">
        <v>46052</v>
      </c>
      <c r="D698" t="s">
        <v>114</v>
      </c>
      <c r="E698">
        <v>35</v>
      </c>
      <c r="F698">
        <v>4.0999999999999996</v>
      </c>
      <c r="G698" t="s">
        <v>76</v>
      </c>
      <c r="H698" t="s">
        <v>30</v>
      </c>
      <c r="I698" s="1">
        <v>46052.364583333336</v>
      </c>
      <c r="J698" s="1">
        <v>46052.375</v>
      </c>
      <c r="K698" s="1">
        <v>46052.385416666664</v>
      </c>
      <c r="L698" s="1">
        <v>46052.39166666667</v>
      </c>
      <c r="M698" s="1">
        <v>46052.40902777778</v>
      </c>
      <c r="N698" s="1">
        <v>46052.420138888891</v>
      </c>
      <c r="O698">
        <v>5</v>
      </c>
      <c r="P698" t="s">
        <v>31</v>
      </c>
      <c r="Q698" t="s">
        <v>32</v>
      </c>
      <c r="R698" t="s">
        <v>140</v>
      </c>
      <c r="S698" t="s">
        <v>34</v>
      </c>
      <c r="T698">
        <v>5000</v>
      </c>
      <c r="U698" t="s">
        <v>35</v>
      </c>
      <c r="V698" t="s">
        <v>36</v>
      </c>
      <c r="W698">
        <v>1</v>
      </c>
      <c r="X698" t="s">
        <v>37</v>
      </c>
      <c r="Y698">
        <v>5</v>
      </c>
      <c r="Z698" t="s">
        <v>102</v>
      </c>
    </row>
    <row r="699" spans="1:26" hidden="1" x14ac:dyDescent="0.2">
      <c r="A699" t="s">
        <v>1528</v>
      </c>
      <c r="B699" t="s">
        <v>1529</v>
      </c>
      <c r="C699" s="1">
        <v>46049</v>
      </c>
      <c r="D699" t="s">
        <v>230</v>
      </c>
      <c r="E699">
        <v>31</v>
      </c>
      <c r="F699">
        <v>10.6</v>
      </c>
      <c r="G699" t="s">
        <v>50</v>
      </c>
      <c r="H699" t="s">
        <v>95</v>
      </c>
      <c r="I699" s="1">
        <v>46049.280555555553</v>
      </c>
      <c r="J699" s="1">
        <v>46049.295138888891</v>
      </c>
      <c r="K699" s="1">
        <v>46049.31527777778</v>
      </c>
      <c r="L699" s="1">
        <v>46049.322222222225</v>
      </c>
      <c r="M699" s="1">
        <v>46049.345138888886</v>
      </c>
      <c r="N699" s="1">
        <v>46049.353472222225</v>
      </c>
      <c r="O699">
        <v>7</v>
      </c>
      <c r="P699" t="s">
        <v>115</v>
      </c>
      <c r="Q699" t="s">
        <v>96</v>
      </c>
      <c r="R699" t="s">
        <v>214</v>
      </c>
      <c r="S699" t="s">
        <v>98</v>
      </c>
      <c r="T699">
        <v>3000</v>
      </c>
      <c r="U699" t="s">
        <v>35</v>
      </c>
      <c r="V699" t="s">
        <v>36</v>
      </c>
      <c r="W699">
        <v>1</v>
      </c>
      <c r="X699" t="s">
        <v>37</v>
      </c>
      <c r="Y699">
        <v>4</v>
      </c>
      <c r="Z699" t="s">
        <v>46</v>
      </c>
    </row>
    <row r="700" spans="1:26" x14ac:dyDescent="0.2">
      <c r="A700" t="s">
        <v>1530</v>
      </c>
      <c r="B700" t="s">
        <v>1531</v>
      </c>
      <c r="C700" s="1">
        <v>46102</v>
      </c>
      <c r="D700" t="s">
        <v>289</v>
      </c>
      <c r="E700">
        <v>26</v>
      </c>
      <c r="F700">
        <v>4.2</v>
      </c>
      <c r="G700" t="s">
        <v>50</v>
      </c>
      <c r="H700" t="s">
        <v>51</v>
      </c>
      <c r="I700" s="1">
        <v>46102.380555555559</v>
      </c>
      <c r="J700" s="1">
        <v>46102.386805555558</v>
      </c>
      <c r="K700" s="1">
        <v>46102.429861111108</v>
      </c>
      <c r="L700" s="1">
        <v>46102.434027777781</v>
      </c>
      <c r="M700" s="1">
        <v>46102.464583333334</v>
      </c>
      <c r="N700" s="1">
        <v>46102.484722222223</v>
      </c>
      <c r="O700">
        <v>7</v>
      </c>
      <c r="P700" t="s">
        <v>37</v>
      </c>
      <c r="Q700" t="s">
        <v>32</v>
      </c>
      <c r="R700" t="s">
        <v>107</v>
      </c>
      <c r="S700" t="s">
        <v>34</v>
      </c>
      <c r="T700">
        <v>5000</v>
      </c>
      <c r="U700" t="s">
        <v>35</v>
      </c>
      <c r="V700" t="s">
        <v>36</v>
      </c>
      <c r="W700">
        <v>1</v>
      </c>
      <c r="X700" t="s">
        <v>37</v>
      </c>
      <c r="Y700">
        <v>1</v>
      </c>
      <c r="Z700" t="s">
        <v>86</v>
      </c>
    </row>
    <row r="701" spans="1:26" hidden="1" x14ac:dyDescent="0.2">
      <c r="A701" t="s">
        <v>1532</v>
      </c>
      <c r="B701" t="s">
        <v>1533</v>
      </c>
      <c r="C701" s="1">
        <v>46034</v>
      </c>
      <c r="D701" t="s">
        <v>181</v>
      </c>
      <c r="E701">
        <v>35</v>
      </c>
      <c r="F701">
        <v>7.7</v>
      </c>
      <c r="G701" t="s">
        <v>50</v>
      </c>
      <c r="H701" t="s">
        <v>42</v>
      </c>
      <c r="I701" s="1">
        <v>46034.40902777778</v>
      </c>
      <c r="J701" s="1">
        <v>46034.424305555556</v>
      </c>
      <c r="K701" s="1">
        <v>46034.470138888886</v>
      </c>
      <c r="L701" s="1">
        <v>46034.476388888892</v>
      </c>
      <c r="M701" s="1">
        <v>46034.509722222225</v>
      </c>
      <c r="N701" s="1">
        <v>46034.540972222225</v>
      </c>
      <c r="O701">
        <v>1</v>
      </c>
      <c r="P701" t="s">
        <v>37</v>
      </c>
      <c r="Q701" t="s">
        <v>32</v>
      </c>
      <c r="R701" t="s">
        <v>77</v>
      </c>
      <c r="S701" t="s">
        <v>34</v>
      </c>
      <c r="T701">
        <v>5000</v>
      </c>
      <c r="U701" t="s">
        <v>35</v>
      </c>
      <c r="V701" t="s">
        <v>59</v>
      </c>
      <c r="W701">
        <v>2</v>
      </c>
      <c r="X701" t="s">
        <v>353</v>
      </c>
      <c r="Y701">
        <v>5</v>
      </c>
      <c r="Z701" t="s">
        <v>99</v>
      </c>
    </row>
    <row r="702" spans="1:26" hidden="1" x14ac:dyDescent="0.2">
      <c r="A702" t="s">
        <v>1534</v>
      </c>
      <c r="B702" t="s">
        <v>1535</v>
      </c>
      <c r="C702" s="1">
        <v>46108</v>
      </c>
      <c r="D702" t="s">
        <v>114</v>
      </c>
      <c r="E702">
        <v>36</v>
      </c>
      <c r="F702">
        <v>10</v>
      </c>
      <c r="G702" t="s">
        <v>81</v>
      </c>
      <c r="H702" t="s">
        <v>95</v>
      </c>
      <c r="I702" s="1">
        <v>46108.272222222222</v>
      </c>
      <c r="J702" s="1">
        <v>46108.280555555553</v>
      </c>
      <c r="K702" s="1">
        <v>46108.332638888889</v>
      </c>
      <c r="L702" s="1">
        <v>46108.338888888888</v>
      </c>
      <c r="M702" s="1">
        <v>46108.352083333331</v>
      </c>
      <c r="N702" s="1">
        <v>46108.365277777775</v>
      </c>
      <c r="O702">
        <v>6</v>
      </c>
      <c r="P702" t="s">
        <v>238</v>
      </c>
      <c r="Q702" t="s">
        <v>32</v>
      </c>
      <c r="R702" t="s">
        <v>53</v>
      </c>
      <c r="S702" t="s">
        <v>34</v>
      </c>
      <c r="T702">
        <v>5000</v>
      </c>
      <c r="U702" t="s">
        <v>35</v>
      </c>
      <c r="V702" t="s">
        <v>36</v>
      </c>
      <c r="W702">
        <v>1</v>
      </c>
      <c r="X702" t="s">
        <v>37</v>
      </c>
      <c r="Y702">
        <v>4</v>
      </c>
      <c r="Z702" t="s">
        <v>54</v>
      </c>
    </row>
    <row r="703" spans="1:26" hidden="1" x14ac:dyDescent="0.2">
      <c r="A703" t="s">
        <v>1536</v>
      </c>
      <c r="B703" t="s">
        <v>1537</v>
      </c>
      <c r="C703" s="1">
        <v>46055</v>
      </c>
      <c r="D703" t="s">
        <v>126</v>
      </c>
      <c r="E703">
        <v>34</v>
      </c>
      <c r="F703">
        <v>9.3000000000000007</v>
      </c>
      <c r="G703" t="s">
        <v>81</v>
      </c>
      <c r="H703" t="s">
        <v>65</v>
      </c>
      <c r="I703" s="1">
        <v>46055.352083333331</v>
      </c>
      <c r="J703" s="1">
        <v>46055.361111111109</v>
      </c>
      <c r="K703" s="1">
        <v>46055.379166666666</v>
      </c>
      <c r="L703" s="1">
        <v>46055.38958333333</v>
      </c>
      <c r="M703" s="1">
        <v>46055.415277777778</v>
      </c>
      <c r="N703" s="1">
        <v>46055.43472222222</v>
      </c>
      <c r="O703">
        <v>6</v>
      </c>
      <c r="P703" t="s">
        <v>52</v>
      </c>
      <c r="Q703" t="s">
        <v>96</v>
      </c>
      <c r="R703" t="s">
        <v>214</v>
      </c>
      <c r="S703" t="s">
        <v>98</v>
      </c>
      <c r="T703">
        <v>3000</v>
      </c>
      <c r="U703" t="s">
        <v>91</v>
      </c>
      <c r="V703" t="s">
        <v>36</v>
      </c>
      <c r="W703">
        <v>1</v>
      </c>
      <c r="X703" t="s">
        <v>37</v>
      </c>
      <c r="Y703">
        <v>5</v>
      </c>
      <c r="Z703" t="s">
        <v>168</v>
      </c>
    </row>
    <row r="704" spans="1:26" hidden="1" x14ac:dyDescent="0.2">
      <c r="A704" t="s">
        <v>1538</v>
      </c>
      <c r="B704" t="s">
        <v>1539</v>
      </c>
      <c r="C704" s="1">
        <v>46029</v>
      </c>
      <c r="D704" t="s">
        <v>154</v>
      </c>
      <c r="E704">
        <v>5</v>
      </c>
      <c r="F704">
        <v>5.0999999999999996</v>
      </c>
      <c r="G704" t="s">
        <v>29</v>
      </c>
      <c r="H704" t="s">
        <v>42</v>
      </c>
      <c r="I704" s="1">
        <v>46029.390972222223</v>
      </c>
      <c r="J704" s="1">
        <v>46029.399305555555</v>
      </c>
      <c r="K704" s="1">
        <v>46029.420138888891</v>
      </c>
      <c r="L704" s="1">
        <v>46029.431944444441</v>
      </c>
      <c r="M704" s="1">
        <v>46029.452777777777</v>
      </c>
      <c r="N704" s="1">
        <v>46029.456250000003</v>
      </c>
      <c r="O704">
        <v>5</v>
      </c>
      <c r="P704" t="s">
        <v>37</v>
      </c>
      <c r="Q704" t="s">
        <v>82</v>
      </c>
      <c r="R704" t="s">
        <v>83</v>
      </c>
      <c r="S704" t="s">
        <v>84</v>
      </c>
      <c r="T704">
        <v>4000</v>
      </c>
      <c r="U704" t="s">
        <v>35</v>
      </c>
      <c r="V704" t="s">
        <v>36</v>
      </c>
      <c r="W704">
        <v>1</v>
      </c>
      <c r="X704" t="s">
        <v>37</v>
      </c>
      <c r="Y704">
        <v>5</v>
      </c>
      <c r="Z704" t="s">
        <v>215</v>
      </c>
    </row>
    <row r="705" spans="1:26" hidden="1" x14ac:dyDescent="0.2">
      <c r="A705" t="s">
        <v>1540</v>
      </c>
      <c r="B705" t="s">
        <v>1541</v>
      </c>
      <c r="C705" s="1">
        <v>46080</v>
      </c>
      <c r="D705" t="s">
        <v>267</v>
      </c>
      <c r="E705">
        <v>21</v>
      </c>
      <c r="F705">
        <v>8.4</v>
      </c>
      <c r="G705" t="s">
        <v>29</v>
      </c>
      <c r="H705" t="s">
        <v>30</v>
      </c>
      <c r="I705" s="1">
        <v>46080.299305555556</v>
      </c>
      <c r="J705" s="1">
        <v>46080.316666666666</v>
      </c>
      <c r="K705" s="1">
        <v>46080.368750000001</v>
      </c>
      <c r="L705" s="1">
        <v>46080.379166666666</v>
      </c>
      <c r="M705" s="1">
        <v>46080.400694444441</v>
      </c>
      <c r="N705" s="1">
        <v>46080.411805555559</v>
      </c>
      <c r="O705">
        <v>3</v>
      </c>
      <c r="P705" t="s">
        <v>37</v>
      </c>
      <c r="Q705" t="s">
        <v>43</v>
      </c>
      <c r="R705" t="s">
        <v>44</v>
      </c>
      <c r="S705" t="s">
        <v>45</v>
      </c>
      <c r="T705">
        <v>2500</v>
      </c>
      <c r="U705" t="s">
        <v>35</v>
      </c>
      <c r="V705" t="s">
        <v>36</v>
      </c>
      <c r="W705">
        <v>1</v>
      </c>
      <c r="X705" t="s">
        <v>37</v>
      </c>
      <c r="Y705">
        <v>4</v>
      </c>
      <c r="Z705" t="s">
        <v>117</v>
      </c>
    </row>
    <row r="706" spans="1:26" hidden="1" x14ac:dyDescent="0.2">
      <c r="A706" t="s">
        <v>1542</v>
      </c>
      <c r="B706" t="s">
        <v>1543</v>
      </c>
      <c r="C706" s="1">
        <v>46066</v>
      </c>
      <c r="D706" t="s">
        <v>137</v>
      </c>
      <c r="E706">
        <v>9</v>
      </c>
      <c r="F706">
        <v>10.3</v>
      </c>
      <c r="G706" t="s">
        <v>50</v>
      </c>
      <c r="H706" t="s">
        <v>30</v>
      </c>
      <c r="I706" s="1">
        <v>46066.254166666666</v>
      </c>
      <c r="J706" s="1">
        <v>46066.269444444442</v>
      </c>
      <c r="K706" s="1">
        <v>46066.287499999999</v>
      </c>
      <c r="L706" s="1">
        <v>46066.293055555558</v>
      </c>
      <c r="M706" s="1">
        <v>46066.30972222222</v>
      </c>
      <c r="N706" s="1">
        <v>46066.333333333336</v>
      </c>
      <c r="O706">
        <v>7</v>
      </c>
      <c r="P706" t="s">
        <v>31</v>
      </c>
      <c r="Q706" t="s">
        <v>69</v>
      </c>
      <c r="R706" t="s">
        <v>251</v>
      </c>
      <c r="S706" t="s">
        <v>71</v>
      </c>
      <c r="T706">
        <v>2000</v>
      </c>
      <c r="U706" t="s">
        <v>35</v>
      </c>
      <c r="V706" t="s">
        <v>36</v>
      </c>
      <c r="W706">
        <v>1</v>
      </c>
      <c r="X706" t="s">
        <v>37</v>
      </c>
      <c r="Y706">
        <v>4</v>
      </c>
      <c r="Z706" t="s">
        <v>72</v>
      </c>
    </row>
    <row r="707" spans="1:26" hidden="1" x14ac:dyDescent="0.2">
      <c r="A707" t="s">
        <v>1544</v>
      </c>
      <c r="B707" t="s">
        <v>1545</v>
      </c>
      <c r="C707" s="1">
        <v>46093</v>
      </c>
      <c r="D707" t="s">
        <v>89</v>
      </c>
      <c r="E707">
        <v>30</v>
      </c>
      <c r="F707">
        <v>10.6</v>
      </c>
      <c r="G707" t="s">
        <v>81</v>
      </c>
      <c r="H707" t="s">
        <v>95</v>
      </c>
      <c r="I707" s="1">
        <v>46093.275000000001</v>
      </c>
      <c r="J707" s="1">
        <v>46093.293055555558</v>
      </c>
      <c r="K707" s="1">
        <v>46093.319444444445</v>
      </c>
      <c r="L707" s="1">
        <v>46093.322916666664</v>
      </c>
      <c r="M707" s="1">
        <v>46093.338194444441</v>
      </c>
      <c r="N707" s="1">
        <v>46093.356944444444</v>
      </c>
      <c r="O707">
        <v>5</v>
      </c>
      <c r="P707" t="s">
        <v>37</v>
      </c>
      <c r="Q707" t="s">
        <v>69</v>
      </c>
      <c r="R707" t="s">
        <v>146</v>
      </c>
      <c r="S707" t="s">
        <v>71</v>
      </c>
      <c r="T707">
        <v>2000</v>
      </c>
      <c r="U707" t="s">
        <v>35</v>
      </c>
      <c r="V707" t="s">
        <v>59</v>
      </c>
      <c r="W707">
        <v>1</v>
      </c>
      <c r="X707" t="s">
        <v>374</v>
      </c>
      <c r="Y707">
        <v>4</v>
      </c>
      <c r="Z707" t="s">
        <v>54</v>
      </c>
    </row>
    <row r="708" spans="1:26" hidden="1" x14ac:dyDescent="0.2">
      <c r="A708" t="s">
        <v>1546</v>
      </c>
      <c r="B708" t="s">
        <v>1547</v>
      </c>
      <c r="C708" s="1">
        <v>46044</v>
      </c>
      <c r="D708" t="s">
        <v>242</v>
      </c>
      <c r="E708">
        <v>15</v>
      </c>
      <c r="F708">
        <v>9.1</v>
      </c>
      <c r="G708" t="s">
        <v>81</v>
      </c>
      <c r="H708" t="s">
        <v>95</v>
      </c>
      <c r="I708" s="1">
        <v>46044.399305555555</v>
      </c>
      <c r="J708" s="1">
        <v>46044.419444444444</v>
      </c>
      <c r="K708" s="1">
        <v>46044.439583333333</v>
      </c>
      <c r="L708" s="1">
        <v>46044.45208333333</v>
      </c>
      <c r="M708" s="1">
        <v>46044.467361111114</v>
      </c>
      <c r="N708" s="1">
        <v>46044.482638888891</v>
      </c>
      <c r="O708">
        <v>1</v>
      </c>
      <c r="P708" t="s">
        <v>37</v>
      </c>
      <c r="Q708" t="s">
        <v>82</v>
      </c>
      <c r="R708" t="s">
        <v>286</v>
      </c>
      <c r="S708" t="s">
        <v>84</v>
      </c>
      <c r="T708">
        <v>4000</v>
      </c>
      <c r="U708" t="s">
        <v>91</v>
      </c>
      <c r="V708" t="s">
        <v>36</v>
      </c>
      <c r="W708">
        <v>1</v>
      </c>
      <c r="X708" t="s">
        <v>37</v>
      </c>
      <c r="Y708">
        <v>5</v>
      </c>
      <c r="Z708" t="s">
        <v>168</v>
      </c>
    </row>
    <row r="709" spans="1:26" hidden="1" x14ac:dyDescent="0.2">
      <c r="A709" t="s">
        <v>1548</v>
      </c>
      <c r="B709" t="s">
        <v>1549</v>
      </c>
      <c r="C709" s="1">
        <v>46082</v>
      </c>
      <c r="D709" t="s">
        <v>289</v>
      </c>
      <c r="E709">
        <v>24</v>
      </c>
      <c r="F709">
        <v>4</v>
      </c>
      <c r="G709" t="s">
        <v>76</v>
      </c>
      <c r="H709" t="s">
        <v>30</v>
      </c>
      <c r="I709" s="1">
        <v>46082.348611111112</v>
      </c>
      <c r="J709" s="1">
        <v>46082.366666666669</v>
      </c>
      <c r="K709" s="1">
        <v>46082.400694444441</v>
      </c>
      <c r="L709" s="1">
        <v>46082.408333333333</v>
      </c>
      <c r="M709" s="1">
        <v>46082.447222222225</v>
      </c>
      <c r="N709" s="1">
        <v>46082.477777777778</v>
      </c>
      <c r="O709">
        <v>5</v>
      </c>
      <c r="P709" t="s">
        <v>37</v>
      </c>
      <c r="Q709" t="s">
        <v>82</v>
      </c>
      <c r="R709" t="s">
        <v>211</v>
      </c>
      <c r="S709" t="s">
        <v>84</v>
      </c>
      <c r="T709">
        <v>4000</v>
      </c>
      <c r="U709" t="s">
        <v>35</v>
      </c>
      <c r="V709" t="s">
        <v>36</v>
      </c>
      <c r="W709">
        <v>1</v>
      </c>
      <c r="X709" t="s">
        <v>37</v>
      </c>
      <c r="Y709">
        <v>3</v>
      </c>
      <c r="Z709" t="s">
        <v>46</v>
      </c>
    </row>
    <row r="710" spans="1:26" hidden="1" x14ac:dyDescent="0.2">
      <c r="A710" t="s">
        <v>1550</v>
      </c>
      <c r="B710" t="s">
        <v>1551</v>
      </c>
      <c r="C710" s="1">
        <v>46054</v>
      </c>
      <c r="D710" t="s">
        <v>220</v>
      </c>
      <c r="E710">
        <v>31</v>
      </c>
      <c r="F710">
        <v>7.1</v>
      </c>
      <c r="G710" t="s">
        <v>57</v>
      </c>
      <c r="H710" t="s">
        <v>95</v>
      </c>
      <c r="I710" s="1">
        <v>46054.397916666669</v>
      </c>
      <c r="J710" s="1">
        <v>46054.40902777778</v>
      </c>
      <c r="K710" s="1">
        <v>46054.422222222223</v>
      </c>
      <c r="L710" s="1">
        <v>46054.430555555555</v>
      </c>
      <c r="M710" s="1">
        <v>46054.449305555558</v>
      </c>
      <c r="N710" s="1">
        <v>46054.458333333336</v>
      </c>
      <c r="O710">
        <v>4</v>
      </c>
      <c r="P710" t="s">
        <v>52</v>
      </c>
      <c r="Q710" t="s">
        <v>82</v>
      </c>
      <c r="R710" t="s">
        <v>211</v>
      </c>
      <c r="S710" t="s">
        <v>84</v>
      </c>
      <c r="T710">
        <v>4000</v>
      </c>
      <c r="U710" t="s">
        <v>35</v>
      </c>
      <c r="V710" t="s">
        <v>36</v>
      </c>
      <c r="W710">
        <v>1</v>
      </c>
      <c r="X710" t="s">
        <v>37</v>
      </c>
      <c r="Y710">
        <v>3</v>
      </c>
      <c r="Z710" t="s">
        <v>296</v>
      </c>
    </row>
    <row r="711" spans="1:26" hidden="1" x14ac:dyDescent="0.2">
      <c r="A711" t="s">
        <v>1552</v>
      </c>
      <c r="B711" t="s">
        <v>1553</v>
      </c>
      <c r="C711" s="1">
        <v>46058</v>
      </c>
      <c r="D711" t="s">
        <v>137</v>
      </c>
      <c r="E711">
        <v>12</v>
      </c>
      <c r="F711">
        <v>8.1999999999999993</v>
      </c>
      <c r="G711" t="s">
        <v>81</v>
      </c>
      <c r="H711" t="s">
        <v>51</v>
      </c>
      <c r="I711" s="1">
        <v>46058.386805555558</v>
      </c>
      <c r="J711" s="1">
        <v>46058.404166666667</v>
      </c>
      <c r="K711" s="1">
        <v>46058.463888888888</v>
      </c>
      <c r="L711" s="1">
        <v>46058.477777777778</v>
      </c>
      <c r="M711" s="1">
        <v>46058.494444444441</v>
      </c>
      <c r="N711" s="1">
        <v>46058.517361111109</v>
      </c>
      <c r="O711">
        <v>3</v>
      </c>
      <c r="P711" t="s">
        <v>37</v>
      </c>
      <c r="Q711" t="s">
        <v>96</v>
      </c>
      <c r="R711" t="s">
        <v>90</v>
      </c>
      <c r="S711" t="s">
        <v>98</v>
      </c>
      <c r="T711">
        <v>3000</v>
      </c>
      <c r="U711" t="s">
        <v>35</v>
      </c>
      <c r="V711" t="s">
        <v>36</v>
      </c>
      <c r="W711">
        <v>1</v>
      </c>
      <c r="X711" t="s">
        <v>37</v>
      </c>
      <c r="Y711">
        <v>3</v>
      </c>
      <c r="Z711" t="s">
        <v>86</v>
      </c>
    </row>
    <row r="712" spans="1:26" hidden="1" x14ac:dyDescent="0.2">
      <c r="A712" t="s">
        <v>1554</v>
      </c>
      <c r="B712" t="s">
        <v>1555</v>
      </c>
      <c r="C712" s="1">
        <v>46057</v>
      </c>
      <c r="D712" t="s">
        <v>110</v>
      </c>
      <c r="E712">
        <v>12</v>
      </c>
      <c r="F712">
        <v>9</v>
      </c>
      <c r="G712" t="s">
        <v>50</v>
      </c>
      <c r="H712" t="s">
        <v>65</v>
      </c>
      <c r="I712" s="1">
        <v>46057.279861111114</v>
      </c>
      <c r="J712" s="1">
        <v>46057.298611111109</v>
      </c>
      <c r="K712" s="1">
        <v>46057.348611111112</v>
      </c>
      <c r="L712" s="1">
        <v>46057.35833333333</v>
      </c>
      <c r="M712" s="1">
        <v>46057.375</v>
      </c>
      <c r="N712" s="1">
        <v>46057.401388888888</v>
      </c>
      <c r="O712">
        <v>1</v>
      </c>
      <c r="P712" t="s">
        <v>52</v>
      </c>
      <c r="Q712" t="s">
        <v>43</v>
      </c>
      <c r="R712" t="s">
        <v>58</v>
      </c>
      <c r="S712" t="s">
        <v>45</v>
      </c>
      <c r="T712">
        <v>2500</v>
      </c>
      <c r="U712" t="s">
        <v>35</v>
      </c>
      <c r="V712" t="s">
        <v>36</v>
      </c>
      <c r="W712">
        <v>1</v>
      </c>
      <c r="X712" t="s">
        <v>37</v>
      </c>
      <c r="Y712">
        <v>4</v>
      </c>
      <c r="Z712" t="s">
        <v>46</v>
      </c>
    </row>
    <row r="713" spans="1:26" x14ac:dyDescent="0.2">
      <c r="A713" t="s">
        <v>1556</v>
      </c>
      <c r="B713" t="s">
        <v>1557</v>
      </c>
      <c r="C713" s="1">
        <v>46086</v>
      </c>
      <c r="D713" t="s">
        <v>64</v>
      </c>
      <c r="E713">
        <v>8</v>
      </c>
      <c r="F713">
        <v>9.1</v>
      </c>
      <c r="G713" t="s">
        <v>76</v>
      </c>
      <c r="H713" t="s">
        <v>42</v>
      </c>
      <c r="I713" s="1">
        <v>46086.378472222219</v>
      </c>
      <c r="J713" s="1">
        <v>46086.397916666669</v>
      </c>
      <c r="K713" s="1">
        <v>46086.429166666669</v>
      </c>
      <c r="L713" s="1">
        <v>46086.438194444447</v>
      </c>
      <c r="M713" s="1">
        <v>46086.472916666666</v>
      </c>
      <c r="N713" s="1">
        <v>46086.498611111114</v>
      </c>
      <c r="O713">
        <v>3</v>
      </c>
      <c r="P713" t="s">
        <v>37</v>
      </c>
      <c r="Q713" t="s">
        <v>43</v>
      </c>
      <c r="R713" t="s">
        <v>200</v>
      </c>
      <c r="S713" t="s">
        <v>45</v>
      </c>
      <c r="T713">
        <v>2500</v>
      </c>
      <c r="U713" t="s">
        <v>35</v>
      </c>
      <c r="V713" t="s">
        <v>59</v>
      </c>
      <c r="W713">
        <v>1</v>
      </c>
      <c r="X713" t="s">
        <v>116</v>
      </c>
      <c r="Y713">
        <v>2</v>
      </c>
      <c r="Z713" t="s">
        <v>61</v>
      </c>
    </row>
    <row r="714" spans="1:26" hidden="1" x14ac:dyDescent="0.2">
      <c r="A714" t="s">
        <v>1558</v>
      </c>
      <c r="B714" t="s">
        <v>1559</v>
      </c>
      <c r="C714" s="1">
        <v>46054</v>
      </c>
      <c r="D714" t="s">
        <v>254</v>
      </c>
      <c r="E714">
        <v>32</v>
      </c>
      <c r="F714">
        <v>9.3000000000000007</v>
      </c>
      <c r="G714" t="s">
        <v>29</v>
      </c>
      <c r="H714" t="s">
        <v>42</v>
      </c>
      <c r="I714" s="1">
        <v>46054.396527777775</v>
      </c>
      <c r="J714" s="1">
        <v>46054.415277777778</v>
      </c>
      <c r="K714" s="1">
        <v>46054.465277777781</v>
      </c>
      <c r="L714" s="1">
        <v>46054.477083333331</v>
      </c>
      <c r="M714" s="1">
        <v>46054.510416666664</v>
      </c>
      <c r="N714" s="1">
        <v>46054.536805555559</v>
      </c>
      <c r="O714">
        <v>7</v>
      </c>
      <c r="P714" t="s">
        <v>37</v>
      </c>
      <c r="Q714" t="s">
        <v>43</v>
      </c>
      <c r="R714" t="s">
        <v>158</v>
      </c>
      <c r="S714" t="s">
        <v>45</v>
      </c>
      <c r="T714">
        <v>2500</v>
      </c>
      <c r="U714" t="s">
        <v>35</v>
      </c>
      <c r="V714" t="s">
        <v>36</v>
      </c>
      <c r="W714">
        <v>1</v>
      </c>
      <c r="X714" t="s">
        <v>37</v>
      </c>
      <c r="Y714">
        <v>4</v>
      </c>
      <c r="Z714" t="s">
        <v>61</v>
      </c>
    </row>
    <row r="715" spans="1:26" hidden="1" x14ac:dyDescent="0.2">
      <c r="A715" t="s">
        <v>1560</v>
      </c>
      <c r="B715" t="s">
        <v>1561</v>
      </c>
      <c r="C715" s="1">
        <v>46035</v>
      </c>
      <c r="D715" t="s">
        <v>254</v>
      </c>
      <c r="E715">
        <v>20</v>
      </c>
      <c r="F715">
        <v>6.9</v>
      </c>
      <c r="G715" t="s">
        <v>81</v>
      </c>
      <c r="H715" t="s">
        <v>157</v>
      </c>
      <c r="I715" s="1">
        <v>46035.394444444442</v>
      </c>
      <c r="J715" s="1">
        <v>46035.40625</v>
      </c>
      <c r="K715" s="1">
        <v>46035.416666666664</v>
      </c>
      <c r="L715" s="1">
        <v>46035.427777777775</v>
      </c>
      <c r="M715" s="1">
        <v>46035.463194444441</v>
      </c>
      <c r="N715" s="1">
        <v>46035.486111111109</v>
      </c>
      <c r="O715">
        <v>7</v>
      </c>
      <c r="P715" t="s">
        <v>37</v>
      </c>
      <c r="Q715" t="s">
        <v>32</v>
      </c>
      <c r="R715" t="s">
        <v>77</v>
      </c>
      <c r="S715" t="s">
        <v>34</v>
      </c>
      <c r="T715">
        <v>5000</v>
      </c>
      <c r="U715" t="s">
        <v>35</v>
      </c>
      <c r="V715" t="s">
        <v>36</v>
      </c>
      <c r="W715">
        <v>1</v>
      </c>
      <c r="X715" t="s">
        <v>37</v>
      </c>
      <c r="Y715">
        <v>4</v>
      </c>
      <c r="Z715" t="s">
        <v>61</v>
      </c>
    </row>
    <row r="716" spans="1:26" hidden="1" x14ac:dyDescent="0.2">
      <c r="A716" t="s">
        <v>1562</v>
      </c>
      <c r="B716" t="s">
        <v>1563</v>
      </c>
      <c r="C716" s="1">
        <v>46078</v>
      </c>
      <c r="D716" t="s">
        <v>94</v>
      </c>
      <c r="E716">
        <v>16</v>
      </c>
      <c r="F716">
        <v>4.2</v>
      </c>
      <c r="G716" t="s">
        <v>76</v>
      </c>
      <c r="H716" t="s">
        <v>51</v>
      </c>
      <c r="I716" s="1">
        <v>46078.301388888889</v>
      </c>
      <c r="J716" s="1">
        <v>46078.313888888886</v>
      </c>
      <c r="K716" s="1">
        <v>46078.322916666664</v>
      </c>
      <c r="L716" s="1">
        <v>46078.336111111108</v>
      </c>
      <c r="M716" s="1">
        <v>46078.354166666664</v>
      </c>
      <c r="N716" s="1">
        <v>46078.372916666667</v>
      </c>
      <c r="O716">
        <v>7</v>
      </c>
      <c r="P716" t="s">
        <v>37</v>
      </c>
      <c r="Q716" t="s">
        <v>32</v>
      </c>
      <c r="R716" t="s">
        <v>120</v>
      </c>
      <c r="S716" t="s">
        <v>34</v>
      </c>
      <c r="T716">
        <v>5000</v>
      </c>
      <c r="U716" t="s">
        <v>35</v>
      </c>
      <c r="V716" t="s">
        <v>59</v>
      </c>
      <c r="W716">
        <v>3</v>
      </c>
      <c r="X716" t="s">
        <v>193</v>
      </c>
      <c r="Y716">
        <v>5</v>
      </c>
      <c r="Z716" t="s">
        <v>99</v>
      </c>
    </row>
    <row r="717" spans="1:26" hidden="1" x14ac:dyDescent="0.2">
      <c r="A717" t="s">
        <v>1564</v>
      </c>
      <c r="B717" t="s">
        <v>1565</v>
      </c>
      <c r="C717" s="1">
        <v>46112</v>
      </c>
      <c r="D717" t="s">
        <v>105</v>
      </c>
      <c r="E717">
        <v>18</v>
      </c>
      <c r="F717">
        <v>8.5</v>
      </c>
      <c r="G717" t="s">
        <v>81</v>
      </c>
      <c r="H717" t="s">
        <v>30</v>
      </c>
      <c r="I717" s="1">
        <v>46112.306944444441</v>
      </c>
      <c r="J717" s="1">
        <v>46112.326388888891</v>
      </c>
      <c r="K717" s="1">
        <v>46112.368750000001</v>
      </c>
      <c r="L717" s="1">
        <v>46112.379861111112</v>
      </c>
      <c r="M717" s="1">
        <v>46112.42083333333</v>
      </c>
      <c r="N717" s="1">
        <v>46112.431944444441</v>
      </c>
      <c r="O717">
        <v>7</v>
      </c>
      <c r="P717" t="s">
        <v>37</v>
      </c>
      <c r="Q717" t="s">
        <v>96</v>
      </c>
      <c r="R717" t="s">
        <v>164</v>
      </c>
      <c r="S717" t="s">
        <v>98</v>
      </c>
      <c r="T717">
        <v>3000</v>
      </c>
      <c r="U717" t="s">
        <v>35</v>
      </c>
      <c r="V717" t="s">
        <v>36</v>
      </c>
      <c r="W717">
        <v>1</v>
      </c>
      <c r="X717" t="s">
        <v>37</v>
      </c>
      <c r="Y717">
        <v>4</v>
      </c>
      <c r="Z717" t="s">
        <v>61</v>
      </c>
    </row>
    <row r="718" spans="1:26" hidden="1" x14ac:dyDescent="0.2">
      <c r="A718" t="s">
        <v>1566</v>
      </c>
      <c r="B718" t="s">
        <v>1567</v>
      </c>
      <c r="C718" s="1">
        <v>46063</v>
      </c>
      <c r="D718" t="s">
        <v>64</v>
      </c>
      <c r="E718">
        <v>10</v>
      </c>
      <c r="F718">
        <v>9.1</v>
      </c>
      <c r="G718" t="s">
        <v>76</v>
      </c>
      <c r="H718" t="s">
        <v>65</v>
      </c>
      <c r="I718" s="1">
        <v>46063.338194444441</v>
      </c>
      <c r="J718" s="1">
        <v>46063.355555555558</v>
      </c>
      <c r="K718" s="1">
        <v>46063.378472222219</v>
      </c>
      <c r="L718" s="1">
        <v>46063.390277777777</v>
      </c>
      <c r="M718" s="1">
        <v>46063.405555555553</v>
      </c>
      <c r="N718" s="1">
        <v>46063.420138888891</v>
      </c>
      <c r="O718">
        <v>7</v>
      </c>
      <c r="P718" t="s">
        <v>37</v>
      </c>
      <c r="Q718" t="s">
        <v>96</v>
      </c>
      <c r="R718" t="s">
        <v>90</v>
      </c>
      <c r="S718" t="s">
        <v>98</v>
      </c>
      <c r="T718">
        <v>3000</v>
      </c>
      <c r="U718" t="s">
        <v>35</v>
      </c>
      <c r="V718" t="s">
        <v>36</v>
      </c>
      <c r="W718">
        <v>1</v>
      </c>
      <c r="X718" t="s">
        <v>37</v>
      </c>
      <c r="Y718">
        <v>5</v>
      </c>
      <c r="Z718" t="s">
        <v>61</v>
      </c>
    </row>
    <row r="719" spans="1:26" hidden="1" x14ac:dyDescent="0.2">
      <c r="A719" t="s">
        <v>1568</v>
      </c>
      <c r="B719" t="s">
        <v>1569</v>
      </c>
      <c r="C719" s="1">
        <v>46044</v>
      </c>
      <c r="D719" t="s">
        <v>289</v>
      </c>
      <c r="E719">
        <v>17</v>
      </c>
      <c r="F719">
        <v>8.6999999999999993</v>
      </c>
      <c r="G719" t="s">
        <v>81</v>
      </c>
      <c r="H719" t="s">
        <v>30</v>
      </c>
      <c r="I719" s="1">
        <v>46044.363888888889</v>
      </c>
      <c r="J719" s="1">
        <v>46044.379166666666</v>
      </c>
      <c r="K719" s="1">
        <v>46044.411805555559</v>
      </c>
      <c r="L719" s="1">
        <v>46044.418749999997</v>
      </c>
      <c r="M719" s="1">
        <v>46044.443055555559</v>
      </c>
      <c r="N719" s="1">
        <v>46044.473611111112</v>
      </c>
      <c r="O719">
        <v>6</v>
      </c>
      <c r="P719" t="s">
        <v>238</v>
      </c>
      <c r="Q719" t="s">
        <v>32</v>
      </c>
      <c r="R719" t="s">
        <v>77</v>
      </c>
      <c r="S719" t="s">
        <v>34</v>
      </c>
      <c r="T719">
        <v>5000</v>
      </c>
      <c r="U719" t="s">
        <v>35</v>
      </c>
      <c r="V719" t="s">
        <v>36</v>
      </c>
      <c r="W719">
        <v>1</v>
      </c>
      <c r="X719" t="s">
        <v>37</v>
      </c>
      <c r="Y719">
        <v>5</v>
      </c>
      <c r="Z719" t="s">
        <v>168</v>
      </c>
    </row>
    <row r="720" spans="1:26" hidden="1" x14ac:dyDescent="0.2">
      <c r="A720" t="s">
        <v>1570</v>
      </c>
      <c r="B720" t="s">
        <v>1571</v>
      </c>
      <c r="C720" s="1">
        <v>46041</v>
      </c>
      <c r="D720" t="s">
        <v>114</v>
      </c>
      <c r="E720">
        <v>27</v>
      </c>
      <c r="F720">
        <v>7.2</v>
      </c>
      <c r="G720" t="s">
        <v>50</v>
      </c>
      <c r="H720" t="s">
        <v>51</v>
      </c>
      <c r="I720" s="1">
        <v>46041.4</v>
      </c>
      <c r="J720" s="1">
        <v>46041.419444444444</v>
      </c>
      <c r="K720" s="1">
        <v>46041.45208333333</v>
      </c>
      <c r="L720" s="1">
        <v>46041.456944444442</v>
      </c>
      <c r="M720" s="1">
        <v>46041.477777777778</v>
      </c>
      <c r="N720" s="1">
        <v>46041.490972222222</v>
      </c>
      <c r="O720">
        <v>4</v>
      </c>
      <c r="P720" t="s">
        <v>37</v>
      </c>
      <c r="Q720" t="s">
        <v>96</v>
      </c>
      <c r="R720" t="s">
        <v>130</v>
      </c>
      <c r="S720" t="s">
        <v>98</v>
      </c>
      <c r="T720">
        <v>3000</v>
      </c>
      <c r="U720" t="s">
        <v>35</v>
      </c>
      <c r="V720" t="s">
        <v>36</v>
      </c>
      <c r="W720">
        <v>1</v>
      </c>
      <c r="X720" t="s">
        <v>37</v>
      </c>
      <c r="Y720">
        <v>5</v>
      </c>
      <c r="Z720" t="s">
        <v>102</v>
      </c>
    </row>
    <row r="721" spans="1:26" hidden="1" x14ac:dyDescent="0.2">
      <c r="A721" t="s">
        <v>1572</v>
      </c>
      <c r="B721" t="s">
        <v>1573</v>
      </c>
      <c r="C721" s="1">
        <v>46051</v>
      </c>
      <c r="D721" t="s">
        <v>64</v>
      </c>
      <c r="E721">
        <v>19</v>
      </c>
      <c r="F721">
        <v>7.5</v>
      </c>
      <c r="G721" t="s">
        <v>57</v>
      </c>
      <c r="H721" t="s">
        <v>95</v>
      </c>
      <c r="I721" s="1">
        <v>46051.252083333333</v>
      </c>
      <c r="J721" s="1">
        <v>46051.261805555558</v>
      </c>
      <c r="K721" s="1">
        <v>46051.290277777778</v>
      </c>
      <c r="L721" s="1">
        <v>46051.293749999997</v>
      </c>
      <c r="M721" s="1">
        <v>46051.327777777777</v>
      </c>
      <c r="N721" s="1">
        <v>46051.352083333331</v>
      </c>
      <c r="O721">
        <v>7</v>
      </c>
      <c r="P721" t="s">
        <v>37</v>
      </c>
      <c r="Q721" t="s">
        <v>82</v>
      </c>
      <c r="R721" t="s">
        <v>83</v>
      </c>
      <c r="S721" t="s">
        <v>84</v>
      </c>
      <c r="T721">
        <v>4000</v>
      </c>
      <c r="U721" t="s">
        <v>35</v>
      </c>
      <c r="V721" t="s">
        <v>59</v>
      </c>
      <c r="W721">
        <v>2</v>
      </c>
      <c r="X721" t="s">
        <v>193</v>
      </c>
      <c r="Y721">
        <v>3</v>
      </c>
      <c r="Z721" t="s">
        <v>131</v>
      </c>
    </row>
    <row r="722" spans="1:26" hidden="1" x14ac:dyDescent="0.2">
      <c r="A722" t="s">
        <v>1574</v>
      </c>
      <c r="B722" t="s">
        <v>1575</v>
      </c>
      <c r="C722" s="1">
        <v>46074</v>
      </c>
      <c r="D722" t="s">
        <v>105</v>
      </c>
      <c r="E722">
        <v>21</v>
      </c>
      <c r="F722">
        <v>9.6999999999999993</v>
      </c>
      <c r="G722" t="s">
        <v>76</v>
      </c>
      <c r="H722" t="s">
        <v>42</v>
      </c>
      <c r="I722" s="1">
        <v>46074.392361111109</v>
      </c>
      <c r="J722" s="1">
        <v>46074.401388888888</v>
      </c>
      <c r="K722" s="1">
        <v>46074.446527777778</v>
      </c>
      <c r="L722" s="1">
        <v>46074.457638888889</v>
      </c>
      <c r="M722" s="1">
        <v>46074.480555555558</v>
      </c>
      <c r="N722" s="1">
        <v>46074.494444444441</v>
      </c>
      <c r="O722">
        <v>3</v>
      </c>
      <c r="P722" t="s">
        <v>37</v>
      </c>
      <c r="Q722" t="s">
        <v>69</v>
      </c>
      <c r="R722" t="s">
        <v>70</v>
      </c>
      <c r="S722" t="s">
        <v>71</v>
      </c>
      <c r="T722">
        <v>2000</v>
      </c>
      <c r="U722" t="s">
        <v>35</v>
      </c>
      <c r="V722" t="s">
        <v>36</v>
      </c>
      <c r="W722">
        <v>1</v>
      </c>
      <c r="X722" t="s">
        <v>37</v>
      </c>
      <c r="Y722">
        <v>4</v>
      </c>
      <c r="Z722" t="s">
        <v>46</v>
      </c>
    </row>
    <row r="723" spans="1:26" hidden="1" x14ac:dyDescent="0.2">
      <c r="A723" t="s">
        <v>1576</v>
      </c>
      <c r="B723" t="s">
        <v>1577</v>
      </c>
      <c r="C723" s="1">
        <v>46091</v>
      </c>
      <c r="D723" t="s">
        <v>254</v>
      </c>
      <c r="E723">
        <v>37</v>
      </c>
      <c r="F723">
        <v>9.6999999999999993</v>
      </c>
      <c r="G723" t="s">
        <v>81</v>
      </c>
      <c r="H723" t="s">
        <v>167</v>
      </c>
      <c r="I723" s="1">
        <v>46091.268055555556</v>
      </c>
      <c r="J723" s="1">
        <v>46091.288888888892</v>
      </c>
      <c r="K723" s="1">
        <v>46091.349305555559</v>
      </c>
      <c r="L723" s="1">
        <v>46091.357638888891</v>
      </c>
      <c r="M723" s="1">
        <v>46091.396527777775</v>
      </c>
      <c r="N723" s="1">
        <v>46091.415277777778</v>
      </c>
      <c r="O723">
        <v>6</v>
      </c>
      <c r="P723" t="s">
        <v>37</v>
      </c>
      <c r="Q723" t="s">
        <v>82</v>
      </c>
      <c r="R723" t="s">
        <v>286</v>
      </c>
      <c r="S723" t="s">
        <v>84</v>
      </c>
      <c r="T723">
        <v>4000</v>
      </c>
      <c r="U723" t="s">
        <v>91</v>
      </c>
      <c r="V723" t="s">
        <v>59</v>
      </c>
      <c r="W723">
        <v>2</v>
      </c>
      <c r="X723" t="s">
        <v>193</v>
      </c>
      <c r="Y723">
        <v>3</v>
      </c>
      <c r="Z723" t="s">
        <v>46</v>
      </c>
    </row>
    <row r="724" spans="1:26" hidden="1" x14ac:dyDescent="0.2">
      <c r="A724" t="s">
        <v>1578</v>
      </c>
      <c r="B724" t="s">
        <v>1579</v>
      </c>
      <c r="C724" s="1">
        <v>46081</v>
      </c>
      <c r="D724" t="s">
        <v>80</v>
      </c>
      <c r="E724">
        <v>32</v>
      </c>
      <c r="F724">
        <v>4.5</v>
      </c>
      <c r="G724" t="s">
        <v>57</v>
      </c>
      <c r="H724" t="s">
        <v>51</v>
      </c>
      <c r="I724" s="1">
        <v>46081.349305555559</v>
      </c>
      <c r="J724" s="1">
        <v>46081.362500000003</v>
      </c>
      <c r="K724" s="1">
        <v>46081.418749999997</v>
      </c>
      <c r="L724" s="1">
        <v>46081.42291666667</v>
      </c>
      <c r="M724" s="1">
        <v>46081.445138888892</v>
      </c>
      <c r="N724" s="1">
        <v>46081.469444444447</v>
      </c>
      <c r="O724">
        <v>7</v>
      </c>
      <c r="P724" t="s">
        <v>37</v>
      </c>
      <c r="Q724" t="s">
        <v>43</v>
      </c>
      <c r="R724" t="s">
        <v>200</v>
      </c>
      <c r="S724" t="s">
        <v>45</v>
      </c>
      <c r="T724">
        <v>2500</v>
      </c>
      <c r="U724" t="s">
        <v>35</v>
      </c>
      <c r="V724" t="s">
        <v>36</v>
      </c>
      <c r="W724">
        <v>1</v>
      </c>
      <c r="X724" t="s">
        <v>37</v>
      </c>
      <c r="Y724">
        <v>5</v>
      </c>
      <c r="Z724" t="s">
        <v>161</v>
      </c>
    </row>
    <row r="725" spans="1:26" hidden="1" x14ac:dyDescent="0.2">
      <c r="A725" t="s">
        <v>1580</v>
      </c>
      <c r="B725" t="s">
        <v>1581</v>
      </c>
      <c r="C725" s="1">
        <v>46055</v>
      </c>
      <c r="D725" t="s">
        <v>145</v>
      </c>
      <c r="E725">
        <v>32</v>
      </c>
      <c r="F725">
        <v>9.6</v>
      </c>
      <c r="G725" t="s">
        <v>57</v>
      </c>
      <c r="H725" t="s">
        <v>157</v>
      </c>
      <c r="I725" s="1">
        <v>46055.288194444445</v>
      </c>
      <c r="J725" s="1">
        <v>46055.306250000001</v>
      </c>
      <c r="K725" s="1">
        <v>46055.352777777778</v>
      </c>
      <c r="L725" s="1">
        <v>46055.362500000003</v>
      </c>
      <c r="M725" s="1">
        <v>46055.393055555556</v>
      </c>
      <c r="N725" s="1">
        <v>46055.409722222219</v>
      </c>
      <c r="O725">
        <v>3</v>
      </c>
      <c r="P725" t="s">
        <v>31</v>
      </c>
      <c r="Q725" t="s">
        <v>32</v>
      </c>
      <c r="R725" t="s">
        <v>53</v>
      </c>
      <c r="S725" t="s">
        <v>34</v>
      </c>
      <c r="T725">
        <v>5000</v>
      </c>
      <c r="U725" t="s">
        <v>91</v>
      </c>
      <c r="V725" t="s">
        <v>36</v>
      </c>
      <c r="W725">
        <v>1</v>
      </c>
      <c r="X725" t="s">
        <v>37</v>
      </c>
      <c r="Y725">
        <v>4</v>
      </c>
      <c r="Z725" t="s">
        <v>134</v>
      </c>
    </row>
    <row r="726" spans="1:26" hidden="1" x14ac:dyDescent="0.2">
      <c r="A726" t="s">
        <v>1582</v>
      </c>
      <c r="B726" t="s">
        <v>1583</v>
      </c>
      <c r="C726" s="1">
        <v>46063</v>
      </c>
      <c r="D726" t="s">
        <v>230</v>
      </c>
      <c r="E726">
        <v>27</v>
      </c>
      <c r="F726">
        <v>8.6999999999999993</v>
      </c>
      <c r="G726" t="s">
        <v>29</v>
      </c>
      <c r="H726" t="s">
        <v>65</v>
      </c>
      <c r="I726" s="1">
        <v>46063.261111111111</v>
      </c>
      <c r="J726" s="1">
        <v>46063.275694444441</v>
      </c>
      <c r="K726" s="1">
        <v>46063.318749999999</v>
      </c>
      <c r="L726" s="1">
        <v>46063.325694444444</v>
      </c>
      <c r="M726" s="1">
        <v>46063.364583333336</v>
      </c>
      <c r="N726" s="1">
        <v>46063.376388888886</v>
      </c>
      <c r="O726">
        <v>2</v>
      </c>
      <c r="P726" t="s">
        <v>37</v>
      </c>
      <c r="Q726" t="s">
        <v>32</v>
      </c>
      <c r="R726" t="s">
        <v>107</v>
      </c>
      <c r="S726" t="s">
        <v>34</v>
      </c>
      <c r="T726">
        <v>5000</v>
      </c>
      <c r="U726" t="s">
        <v>35</v>
      </c>
      <c r="V726" t="s">
        <v>59</v>
      </c>
      <c r="W726">
        <v>2</v>
      </c>
      <c r="X726" t="s">
        <v>116</v>
      </c>
      <c r="Y726">
        <v>5</v>
      </c>
      <c r="Z726" t="s">
        <v>72</v>
      </c>
    </row>
    <row r="727" spans="1:26" hidden="1" x14ac:dyDescent="0.2">
      <c r="A727" t="s">
        <v>1584</v>
      </c>
      <c r="B727" t="s">
        <v>1585</v>
      </c>
      <c r="C727" s="1">
        <v>46065</v>
      </c>
      <c r="D727" t="s">
        <v>89</v>
      </c>
      <c r="E727">
        <v>29</v>
      </c>
      <c r="F727">
        <v>10.4</v>
      </c>
      <c r="G727" t="s">
        <v>50</v>
      </c>
      <c r="H727" t="s">
        <v>30</v>
      </c>
      <c r="I727" s="1">
        <v>46065.334027777775</v>
      </c>
      <c r="J727" s="1">
        <v>46065.340277777781</v>
      </c>
      <c r="K727" s="1">
        <v>46065.377083333333</v>
      </c>
      <c r="L727" s="1">
        <v>46065.384027777778</v>
      </c>
      <c r="M727" s="1">
        <v>46065.395138888889</v>
      </c>
      <c r="N727" s="1">
        <v>46065.411805555559</v>
      </c>
      <c r="O727">
        <v>3</v>
      </c>
      <c r="P727" t="s">
        <v>115</v>
      </c>
      <c r="Q727" t="s">
        <v>32</v>
      </c>
      <c r="R727" t="s">
        <v>140</v>
      </c>
      <c r="S727" t="s">
        <v>34</v>
      </c>
      <c r="T727">
        <v>5000</v>
      </c>
      <c r="U727" t="s">
        <v>35</v>
      </c>
      <c r="V727" t="s">
        <v>36</v>
      </c>
      <c r="W727">
        <v>1</v>
      </c>
      <c r="X727" t="s">
        <v>37</v>
      </c>
      <c r="Y727">
        <v>3</v>
      </c>
      <c r="Z727" t="s">
        <v>168</v>
      </c>
    </row>
    <row r="728" spans="1:26" hidden="1" x14ac:dyDescent="0.2">
      <c r="A728" t="s">
        <v>1586</v>
      </c>
      <c r="B728" t="s">
        <v>1587</v>
      </c>
      <c r="C728" s="1">
        <v>46052</v>
      </c>
      <c r="D728" t="s">
        <v>242</v>
      </c>
      <c r="E728">
        <v>33</v>
      </c>
      <c r="F728">
        <v>10</v>
      </c>
      <c r="G728" t="s">
        <v>81</v>
      </c>
      <c r="H728" t="s">
        <v>167</v>
      </c>
      <c r="I728" s="1">
        <v>46052.253472222219</v>
      </c>
      <c r="J728" s="1">
        <v>46052.270138888889</v>
      </c>
      <c r="K728" s="1">
        <v>46052.281944444447</v>
      </c>
      <c r="L728" s="1">
        <v>46052.286111111112</v>
      </c>
      <c r="M728" s="1">
        <v>46052.322916666664</v>
      </c>
      <c r="N728" s="1">
        <v>46052.342361111114</v>
      </c>
      <c r="O728">
        <v>1</v>
      </c>
      <c r="P728" t="s">
        <v>31</v>
      </c>
      <c r="Q728" t="s">
        <v>32</v>
      </c>
      <c r="R728" t="s">
        <v>66</v>
      </c>
      <c r="S728" t="s">
        <v>34</v>
      </c>
      <c r="T728">
        <v>5000</v>
      </c>
      <c r="U728" t="s">
        <v>35</v>
      </c>
      <c r="V728" t="s">
        <v>36</v>
      </c>
      <c r="W728">
        <v>1</v>
      </c>
      <c r="X728" t="s">
        <v>37</v>
      </c>
      <c r="Y728">
        <v>4</v>
      </c>
      <c r="Z728" t="s">
        <v>61</v>
      </c>
    </row>
    <row r="729" spans="1:26" hidden="1" x14ac:dyDescent="0.2">
      <c r="A729" t="s">
        <v>1588</v>
      </c>
      <c r="B729" t="s">
        <v>1589</v>
      </c>
      <c r="C729" s="1">
        <v>46095</v>
      </c>
      <c r="D729" t="s">
        <v>242</v>
      </c>
      <c r="E729">
        <v>17</v>
      </c>
      <c r="F729">
        <v>9.1</v>
      </c>
      <c r="G729" t="s">
        <v>50</v>
      </c>
      <c r="H729" t="s">
        <v>95</v>
      </c>
      <c r="I729" s="1">
        <v>46095.345138888886</v>
      </c>
      <c r="J729" s="1">
        <v>46095.352777777778</v>
      </c>
      <c r="K729" s="1">
        <v>46095.390277777777</v>
      </c>
      <c r="L729" s="1">
        <v>46095.395833333336</v>
      </c>
      <c r="M729" s="1">
        <v>46095.432638888888</v>
      </c>
      <c r="N729" s="1">
        <v>46095.442361111112</v>
      </c>
      <c r="O729">
        <v>5</v>
      </c>
      <c r="P729" t="s">
        <v>37</v>
      </c>
      <c r="Q729" t="s">
        <v>32</v>
      </c>
      <c r="R729" t="s">
        <v>278</v>
      </c>
      <c r="S729" t="s">
        <v>34</v>
      </c>
      <c r="T729">
        <v>5000</v>
      </c>
      <c r="U729" t="s">
        <v>35</v>
      </c>
      <c r="V729" t="s">
        <v>36</v>
      </c>
      <c r="W729">
        <v>1</v>
      </c>
      <c r="X729" t="s">
        <v>37</v>
      </c>
      <c r="Y729">
        <v>5</v>
      </c>
      <c r="Z729" t="s">
        <v>61</v>
      </c>
    </row>
    <row r="730" spans="1:26" hidden="1" x14ac:dyDescent="0.2">
      <c r="A730" t="s">
        <v>1590</v>
      </c>
      <c r="B730" t="s">
        <v>1591</v>
      </c>
      <c r="C730" s="1">
        <v>46087</v>
      </c>
      <c r="D730" t="s">
        <v>123</v>
      </c>
      <c r="E730">
        <v>7</v>
      </c>
      <c r="F730">
        <v>11.5</v>
      </c>
      <c r="G730" t="s">
        <v>29</v>
      </c>
      <c r="H730" t="s">
        <v>42</v>
      </c>
      <c r="I730" s="1">
        <v>46087.415972222225</v>
      </c>
      <c r="J730" s="1">
        <v>46087.425694444442</v>
      </c>
      <c r="K730" s="1">
        <v>46087.458333333336</v>
      </c>
      <c r="L730" s="1">
        <v>46087.463888888888</v>
      </c>
      <c r="M730" s="1">
        <v>46087.486111111109</v>
      </c>
      <c r="N730" s="1">
        <v>46087.49722222222</v>
      </c>
      <c r="O730">
        <v>5</v>
      </c>
      <c r="P730" t="s">
        <v>37</v>
      </c>
      <c r="Q730" t="s">
        <v>43</v>
      </c>
      <c r="R730" t="s">
        <v>90</v>
      </c>
      <c r="S730" t="s">
        <v>45</v>
      </c>
      <c r="T730">
        <v>2500</v>
      </c>
      <c r="U730" t="s">
        <v>35</v>
      </c>
      <c r="V730" t="s">
        <v>36</v>
      </c>
      <c r="W730">
        <v>1</v>
      </c>
      <c r="X730" t="s">
        <v>37</v>
      </c>
      <c r="Y730">
        <v>4</v>
      </c>
      <c r="Z730" t="s">
        <v>215</v>
      </c>
    </row>
    <row r="731" spans="1:26" hidden="1" x14ac:dyDescent="0.2">
      <c r="A731" t="s">
        <v>1592</v>
      </c>
      <c r="B731" t="s">
        <v>1593</v>
      </c>
      <c r="C731" s="1">
        <v>46081</v>
      </c>
      <c r="D731" t="s">
        <v>171</v>
      </c>
      <c r="E731">
        <v>33</v>
      </c>
      <c r="F731">
        <v>11.6</v>
      </c>
      <c r="G731" t="s">
        <v>81</v>
      </c>
      <c r="H731" t="s">
        <v>51</v>
      </c>
      <c r="I731" s="1">
        <v>46081.30972222222</v>
      </c>
      <c r="J731" s="1">
        <v>46081.318055555559</v>
      </c>
      <c r="K731" s="1">
        <v>46081.356944444444</v>
      </c>
      <c r="L731" s="1">
        <v>46081.363194444442</v>
      </c>
      <c r="M731" s="1">
        <v>46081.380555555559</v>
      </c>
      <c r="N731" s="1">
        <v>46081.405555555553</v>
      </c>
      <c r="O731">
        <v>2</v>
      </c>
      <c r="P731" t="s">
        <v>37</v>
      </c>
      <c r="Q731" t="s">
        <v>69</v>
      </c>
      <c r="R731" t="s">
        <v>70</v>
      </c>
      <c r="S731" t="s">
        <v>71</v>
      </c>
      <c r="T731">
        <v>2000</v>
      </c>
      <c r="U731" t="s">
        <v>35</v>
      </c>
      <c r="V731" t="s">
        <v>36</v>
      </c>
      <c r="W731">
        <v>1</v>
      </c>
      <c r="X731" t="s">
        <v>37</v>
      </c>
      <c r="Y731">
        <v>5</v>
      </c>
      <c r="Z731" t="s">
        <v>72</v>
      </c>
    </row>
    <row r="732" spans="1:26" hidden="1" x14ac:dyDescent="0.2">
      <c r="A732" t="s">
        <v>1594</v>
      </c>
      <c r="B732" t="s">
        <v>1595</v>
      </c>
      <c r="C732" s="1">
        <v>46098</v>
      </c>
      <c r="D732" t="s">
        <v>28</v>
      </c>
      <c r="E732">
        <v>25</v>
      </c>
      <c r="F732">
        <v>11.3</v>
      </c>
      <c r="G732" t="s">
        <v>81</v>
      </c>
      <c r="H732" t="s">
        <v>65</v>
      </c>
      <c r="I732" s="1">
        <v>46098.374305555553</v>
      </c>
      <c r="J732" s="1">
        <v>46098.38958333333</v>
      </c>
      <c r="K732" s="1">
        <v>46098.442361111112</v>
      </c>
      <c r="L732" s="1">
        <v>46098.45416666667</v>
      </c>
      <c r="M732" s="1">
        <v>46098.494444444441</v>
      </c>
      <c r="N732" s="1">
        <v>46098.521527777775</v>
      </c>
      <c r="O732">
        <v>6</v>
      </c>
      <c r="P732" t="s">
        <v>129</v>
      </c>
      <c r="Q732" t="s">
        <v>69</v>
      </c>
      <c r="R732" t="s">
        <v>111</v>
      </c>
      <c r="S732" t="s">
        <v>71</v>
      </c>
      <c r="T732">
        <v>2000</v>
      </c>
      <c r="U732" t="s">
        <v>35</v>
      </c>
      <c r="V732" t="s">
        <v>36</v>
      </c>
      <c r="W732">
        <v>1</v>
      </c>
      <c r="X732" t="s">
        <v>37</v>
      </c>
      <c r="Y732">
        <v>4</v>
      </c>
      <c r="Z732" t="s">
        <v>134</v>
      </c>
    </row>
    <row r="733" spans="1:26" hidden="1" x14ac:dyDescent="0.2">
      <c r="A733" t="s">
        <v>1596</v>
      </c>
      <c r="B733" t="s">
        <v>1597</v>
      </c>
      <c r="C733" s="1">
        <v>46074</v>
      </c>
      <c r="D733" t="s">
        <v>181</v>
      </c>
      <c r="E733">
        <v>36</v>
      </c>
      <c r="F733">
        <v>4.2</v>
      </c>
      <c r="G733" t="s">
        <v>29</v>
      </c>
      <c r="H733" t="s">
        <v>167</v>
      </c>
      <c r="I733" s="1">
        <v>46074.349305555559</v>
      </c>
      <c r="J733" s="1">
        <v>46074.363194444442</v>
      </c>
      <c r="K733" s="1">
        <v>46074.424305555556</v>
      </c>
      <c r="L733" s="1">
        <v>46074.436111111114</v>
      </c>
      <c r="M733" s="1">
        <v>46074.456250000003</v>
      </c>
      <c r="N733" s="1">
        <v>46074.481249999997</v>
      </c>
      <c r="O733">
        <v>7</v>
      </c>
      <c r="P733" t="s">
        <v>37</v>
      </c>
      <c r="Q733" t="s">
        <v>43</v>
      </c>
      <c r="R733" t="s">
        <v>90</v>
      </c>
      <c r="S733" t="s">
        <v>45</v>
      </c>
      <c r="T733">
        <v>2500</v>
      </c>
      <c r="U733" t="s">
        <v>35</v>
      </c>
      <c r="V733" t="s">
        <v>36</v>
      </c>
      <c r="W733">
        <v>1</v>
      </c>
      <c r="X733" t="s">
        <v>37</v>
      </c>
      <c r="Y733">
        <v>4</v>
      </c>
      <c r="Z733" t="s">
        <v>102</v>
      </c>
    </row>
    <row r="734" spans="1:26" hidden="1" x14ac:dyDescent="0.2">
      <c r="A734" t="s">
        <v>1598</v>
      </c>
      <c r="B734" t="s">
        <v>1599</v>
      </c>
      <c r="C734" s="1">
        <v>46034</v>
      </c>
      <c r="D734" t="s">
        <v>149</v>
      </c>
      <c r="E734">
        <v>25</v>
      </c>
      <c r="F734">
        <v>9.9</v>
      </c>
      <c r="G734" t="s">
        <v>81</v>
      </c>
      <c r="H734" t="s">
        <v>51</v>
      </c>
      <c r="I734" s="1">
        <v>46034.258333333331</v>
      </c>
      <c r="J734" s="1">
        <v>46034.268055555556</v>
      </c>
      <c r="K734" s="1">
        <v>46034.309027777781</v>
      </c>
      <c r="L734" s="1">
        <v>46034.316666666666</v>
      </c>
      <c r="M734" s="1">
        <v>46034.338888888888</v>
      </c>
      <c r="N734" s="1">
        <v>46034.365972222222</v>
      </c>
      <c r="O734">
        <v>1</v>
      </c>
      <c r="P734" t="s">
        <v>37</v>
      </c>
      <c r="Q734" t="s">
        <v>69</v>
      </c>
      <c r="R734" t="s">
        <v>146</v>
      </c>
      <c r="S734" t="s">
        <v>71</v>
      </c>
      <c r="T734">
        <v>2000</v>
      </c>
      <c r="U734" t="s">
        <v>35</v>
      </c>
      <c r="V734" t="s">
        <v>36</v>
      </c>
      <c r="W734">
        <v>1</v>
      </c>
      <c r="X734" t="s">
        <v>37</v>
      </c>
      <c r="Y734">
        <v>4</v>
      </c>
      <c r="Z734" t="s">
        <v>46</v>
      </c>
    </row>
    <row r="735" spans="1:26" x14ac:dyDescent="0.2">
      <c r="A735" t="s">
        <v>1600</v>
      </c>
      <c r="B735" t="s">
        <v>1601</v>
      </c>
      <c r="C735" s="1">
        <v>46088</v>
      </c>
      <c r="D735" t="s">
        <v>242</v>
      </c>
      <c r="E735">
        <v>11</v>
      </c>
      <c r="F735">
        <v>7.7</v>
      </c>
      <c r="G735" t="s">
        <v>57</v>
      </c>
      <c r="H735" t="s">
        <v>95</v>
      </c>
      <c r="I735" s="1">
        <v>46088.376388888886</v>
      </c>
      <c r="J735" s="1">
        <v>46088.386805555558</v>
      </c>
      <c r="K735" s="1">
        <v>46088.4</v>
      </c>
      <c r="L735" s="1">
        <v>46088.407638888886</v>
      </c>
      <c r="M735" s="1">
        <v>46088.436111111114</v>
      </c>
      <c r="N735" s="1">
        <v>46088.448611111111</v>
      </c>
      <c r="O735">
        <v>5</v>
      </c>
      <c r="P735" t="s">
        <v>37</v>
      </c>
      <c r="Q735" t="s">
        <v>32</v>
      </c>
      <c r="R735" t="s">
        <v>120</v>
      </c>
      <c r="S735" t="s">
        <v>34</v>
      </c>
      <c r="T735">
        <v>5000</v>
      </c>
      <c r="U735" t="s">
        <v>35</v>
      </c>
      <c r="V735" t="s">
        <v>59</v>
      </c>
      <c r="W735">
        <v>2</v>
      </c>
      <c r="X735" t="s">
        <v>60</v>
      </c>
      <c r="Y735">
        <v>2</v>
      </c>
      <c r="Z735" t="s">
        <v>161</v>
      </c>
    </row>
    <row r="736" spans="1:26" hidden="1" x14ac:dyDescent="0.2">
      <c r="A736" t="s">
        <v>1602</v>
      </c>
      <c r="B736" t="s">
        <v>1603</v>
      </c>
      <c r="C736" s="1">
        <v>46053</v>
      </c>
      <c r="D736" t="s">
        <v>94</v>
      </c>
      <c r="E736">
        <v>29</v>
      </c>
      <c r="F736">
        <v>10.6</v>
      </c>
      <c r="G736" t="s">
        <v>76</v>
      </c>
      <c r="H736" t="s">
        <v>42</v>
      </c>
      <c r="I736" s="1">
        <v>46053.320833333331</v>
      </c>
      <c r="J736" s="1">
        <v>46053.324999999997</v>
      </c>
      <c r="K736" s="1">
        <v>46053.345138888886</v>
      </c>
      <c r="L736" s="1">
        <v>46053.351388888892</v>
      </c>
      <c r="M736" s="1">
        <v>46053.384722222225</v>
      </c>
      <c r="N736" s="1">
        <v>46053.398611111108</v>
      </c>
      <c r="O736">
        <v>5</v>
      </c>
      <c r="P736" t="s">
        <v>37</v>
      </c>
      <c r="Q736" t="s">
        <v>96</v>
      </c>
      <c r="R736" t="s">
        <v>164</v>
      </c>
      <c r="S736" t="s">
        <v>98</v>
      </c>
      <c r="T736">
        <v>3000</v>
      </c>
      <c r="U736" t="s">
        <v>35</v>
      </c>
      <c r="V736" t="s">
        <v>36</v>
      </c>
      <c r="W736">
        <v>1</v>
      </c>
      <c r="X736" t="s">
        <v>37</v>
      </c>
      <c r="Y736">
        <v>4</v>
      </c>
      <c r="Z736" t="s">
        <v>46</v>
      </c>
    </row>
    <row r="737" spans="1:26" x14ac:dyDescent="0.2">
      <c r="A737" t="s">
        <v>1604</v>
      </c>
      <c r="B737" t="s">
        <v>1605</v>
      </c>
      <c r="C737" s="1">
        <v>46062</v>
      </c>
      <c r="D737" t="s">
        <v>267</v>
      </c>
      <c r="E737">
        <v>5</v>
      </c>
      <c r="F737">
        <v>7.3</v>
      </c>
      <c r="G737" t="s">
        <v>50</v>
      </c>
      <c r="H737" t="s">
        <v>157</v>
      </c>
      <c r="I737" s="1">
        <v>46062.299305555556</v>
      </c>
      <c r="J737" s="1">
        <v>46062.306944444441</v>
      </c>
      <c r="K737" s="1">
        <v>46062.356944444444</v>
      </c>
      <c r="L737" s="1">
        <v>46062.365972222222</v>
      </c>
      <c r="M737" s="1">
        <v>46062.399305555555</v>
      </c>
      <c r="N737" s="1">
        <v>46062.402777777781</v>
      </c>
      <c r="O737">
        <v>6</v>
      </c>
      <c r="P737" t="s">
        <v>37</v>
      </c>
      <c r="Q737" t="s">
        <v>96</v>
      </c>
      <c r="R737" t="s">
        <v>97</v>
      </c>
      <c r="S737" t="s">
        <v>98</v>
      </c>
      <c r="T737">
        <v>3000</v>
      </c>
      <c r="U737" t="s">
        <v>35</v>
      </c>
      <c r="V737" t="s">
        <v>36</v>
      </c>
      <c r="W737">
        <v>1</v>
      </c>
      <c r="X737" t="s">
        <v>37</v>
      </c>
      <c r="Y737">
        <v>2</v>
      </c>
      <c r="Z737" t="s">
        <v>38</v>
      </c>
    </row>
    <row r="738" spans="1:26" hidden="1" x14ac:dyDescent="0.2">
      <c r="A738" t="s">
        <v>1606</v>
      </c>
      <c r="B738" t="s">
        <v>1607</v>
      </c>
      <c r="C738" s="1">
        <v>46032</v>
      </c>
      <c r="D738" t="s">
        <v>105</v>
      </c>
      <c r="E738">
        <v>15</v>
      </c>
      <c r="F738">
        <v>11.2</v>
      </c>
      <c r="G738" t="s">
        <v>50</v>
      </c>
      <c r="H738" t="s">
        <v>51</v>
      </c>
      <c r="I738" s="1">
        <v>46032.281944444447</v>
      </c>
      <c r="J738" s="1">
        <v>46032.297222222223</v>
      </c>
      <c r="K738" s="1">
        <v>46032.332638888889</v>
      </c>
      <c r="L738" s="1">
        <v>46032.339583333334</v>
      </c>
      <c r="M738" s="1">
        <v>46032.379166666666</v>
      </c>
      <c r="N738" s="1">
        <v>46032.393750000003</v>
      </c>
      <c r="O738">
        <v>6</v>
      </c>
      <c r="P738" t="s">
        <v>37</v>
      </c>
      <c r="Q738" t="s">
        <v>32</v>
      </c>
      <c r="R738" t="s">
        <v>77</v>
      </c>
      <c r="S738" t="s">
        <v>34</v>
      </c>
      <c r="T738">
        <v>5000</v>
      </c>
      <c r="U738" t="s">
        <v>35</v>
      </c>
      <c r="V738" t="s">
        <v>36</v>
      </c>
      <c r="W738">
        <v>1</v>
      </c>
      <c r="X738" t="s">
        <v>37</v>
      </c>
      <c r="Y738">
        <v>4</v>
      </c>
      <c r="Z738" t="s">
        <v>46</v>
      </c>
    </row>
    <row r="739" spans="1:26" hidden="1" x14ac:dyDescent="0.2">
      <c r="A739" t="s">
        <v>1608</v>
      </c>
      <c r="B739" t="s">
        <v>1609</v>
      </c>
      <c r="C739" s="1">
        <v>46056</v>
      </c>
      <c r="D739" t="s">
        <v>28</v>
      </c>
      <c r="E739">
        <v>17</v>
      </c>
      <c r="F739">
        <v>11.6</v>
      </c>
      <c r="G739" t="s">
        <v>81</v>
      </c>
      <c r="H739" t="s">
        <v>42</v>
      </c>
      <c r="I739" s="1">
        <v>46056.338194444441</v>
      </c>
      <c r="J739" s="1">
        <v>46056.345833333333</v>
      </c>
      <c r="K739" s="1">
        <v>46056.363888888889</v>
      </c>
      <c r="L739" s="1">
        <v>46056.368055555555</v>
      </c>
      <c r="M739" s="1">
        <v>46056.395833333336</v>
      </c>
      <c r="N739" s="1">
        <v>46056.420138888891</v>
      </c>
      <c r="O739">
        <v>1</v>
      </c>
      <c r="P739" t="s">
        <v>238</v>
      </c>
      <c r="Q739" t="s">
        <v>32</v>
      </c>
      <c r="R739" t="s">
        <v>140</v>
      </c>
      <c r="S739" t="s">
        <v>34</v>
      </c>
      <c r="T739">
        <v>5000</v>
      </c>
      <c r="U739" t="s">
        <v>35</v>
      </c>
      <c r="V739" t="s">
        <v>36</v>
      </c>
      <c r="W739">
        <v>1</v>
      </c>
      <c r="X739" t="s">
        <v>37</v>
      </c>
      <c r="Y739">
        <v>5</v>
      </c>
      <c r="Z739" t="s">
        <v>61</v>
      </c>
    </row>
    <row r="740" spans="1:26" hidden="1" x14ac:dyDescent="0.2">
      <c r="A740" t="s">
        <v>1610</v>
      </c>
      <c r="B740" t="s">
        <v>1611</v>
      </c>
      <c r="C740" s="1">
        <v>46053</v>
      </c>
      <c r="D740" t="s">
        <v>181</v>
      </c>
      <c r="E740">
        <v>33</v>
      </c>
      <c r="F740">
        <v>9.9</v>
      </c>
      <c r="G740" t="s">
        <v>50</v>
      </c>
      <c r="H740" t="s">
        <v>65</v>
      </c>
      <c r="I740" s="1">
        <v>46053.386111111111</v>
      </c>
      <c r="J740" s="1">
        <v>46053.390277777777</v>
      </c>
      <c r="K740" s="1">
        <v>46053.441666666666</v>
      </c>
      <c r="L740" s="1">
        <v>46053.449305555558</v>
      </c>
      <c r="M740" s="1">
        <v>46053.490277777775</v>
      </c>
      <c r="N740" s="1">
        <v>46053.50277777778</v>
      </c>
      <c r="O740">
        <v>6</v>
      </c>
      <c r="P740" t="s">
        <v>37</v>
      </c>
      <c r="Q740" t="s">
        <v>69</v>
      </c>
      <c r="R740" t="s">
        <v>251</v>
      </c>
      <c r="S740" t="s">
        <v>71</v>
      </c>
      <c r="T740">
        <v>2000</v>
      </c>
      <c r="U740" t="s">
        <v>35</v>
      </c>
      <c r="V740" t="s">
        <v>59</v>
      </c>
      <c r="W740">
        <v>3</v>
      </c>
      <c r="X740" t="s">
        <v>353</v>
      </c>
      <c r="Y740">
        <v>5</v>
      </c>
      <c r="Z740" t="s">
        <v>99</v>
      </c>
    </row>
    <row r="741" spans="1:26" hidden="1" x14ac:dyDescent="0.2">
      <c r="A741" t="s">
        <v>1612</v>
      </c>
      <c r="B741" t="s">
        <v>1613</v>
      </c>
      <c r="C741" s="1">
        <v>46048</v>
      </c>
      <c r="D741" t="s">
        <v>145</v>
      </c>
      <c r="E741">
        <v>29</v>
      </c>
      <c r="F741">
        <v>5.2</v>
      </c>
      <c r="G741" t="s">
        <v>76</v>
      </c>
      <c r="H741" t="s">
        <v>65</v>
      </c>
      <c r="I741" s="1">
        <v>46048.261111111111</v>
      </c>
      <c r="J741" s="1">
        <v>46048.269444444442</v>
      </c>
      <c r="K741" s="1">
        <v>46048.292361111111</v>
      </c>
      <c r="L741" s="1">
        <v>46048.3</v>
      </c>
      <c r="M741" s="1">
        <v>46048.321527777778</v>
      </c>
      <c r="N741" s="1">
        <v>46048.344444444447</v>
      </c>
      <c r="O741">
        <v>1</v>
      </c>
      <c r="P741" t="s">
        <v>37</v>
      </c>
      <c r="Q741" t="s">
        <v>32</v>
      </c>
      <c r="R741" t="s">
        <v>140</v>
      </c>
      <c r="S741" t="s">
        <v>34</v>
      </c>
      <c r="T741">
        <v>5000</v>
      </c>
      <c r="U741" t="s">
        <v>35</v>
      </c>
      <c r="V741" t="s">
        <v>36</v>
      </c>
      <c r="W741">
        <v>1</v>
      </c>
      <c r="X741" t="s">
        <v>37</v>
      </c>
      <c r="Y741">
        <v>4</v>
      </c>
      <c r="Z741" t="s">
        <v>131</v>
      </c>
    </row>
    <row r="742" spans="1:26" x14ac:dyDescent="0.2">
      <c r="A742" t="s">
        <v>1614</v>
      </c>
      <c r="B742" t="s">
        <v>1615</v>
      </c>
      <c r="C742" s="1">
        <v>46041</v>
      </c>
      <c r="D742" t="s">
        <v>75</v>
      </c>
      <c r="E742">
        <v>12</v>
      </c>
      <c r="F742">
        <v>9.5</v>
      </c>
      <c r="G742" t="s">
        <v>50</v>
      </c>
      <c r="H742" t="s">
        <v>65</v>
      </c>
      <c r="I742" s="1">
        <v>46041.344444444447</v>
      </c>
      <c r="J742" s="1">
        <v>46041.347916666666</v>
      </c>
      <c r="K742" s="1">
        <v>46041.409722222219</v>
      </c>
      <c r="L742" s="1">
        <v>46041.416666666664</v>
      </c>
      <c r="M742" s="1">
        <v>46041.455555555556</v>
      </c>
      <c r="N742" s="1">
        <v>46041.472916666666</v>
      </c>
      <c r="O742">
        <v>3</v>
      </c>
      <c r="P742" t="s">
        <v>238</v>
      </c>
      <c r="Q742" t="s">
        <v>96</v>
      </c>
      <c r="R742" t="s">
        <v>90</v>
      </c>
      <c r="S742" t="s">
        <v>98</v>
      </c>
      <c r="T742">
        <v>3000</v>
      </c>
      <c r="U742" t="s">
        <v>35</v>
      </c>
      <c r="V742" t="s">
        <v>36</v>
      </c>
      <c r="W742">
        <v>1</v>
      </c>
      <c r="X742" t="s">
        <v>37</v>
      </c>
      <c r="Y742">
        <v>1</v>
      </c>
      <c r="Z742" t="s">
        <v>102</v>
      </c>
    </row>
    <row r="743" spans="1:26" hidden="1" x14ac:dyDescent="0.2">
      <c r="A743" t="s">
        <v>1616</v>
      </c>
      <c r="B743" t="s">
        <v>1617</v>
      </c>
      <c r="C743" s="1">
        <v>46095</v>
      </c>
      <c r="D743" t="s">
        <v>28</v>
      </c>
      <c r="E743">
        <v>7</v>
      </c>
      <c r="F743">
        <v>8.5</v>
      </c>
      <c r="G743" t="s">
        <v>29</v>
      </c>
      <c r="H743" t="s">
        <v>51</v>
      </c>
      <c r="I743" s="1">
        <v>46095.365277777775</v>
      </c>
      <c r="J743" s="1">
        <v>46095.379166666666</v>
      </c>
      <c r="K743" s="1">
        <v>46095.436805555553</v>
      </c>
      <c r="L743" s="1">
        <v>46095.448611111111</v>
      </c>
      <c r="M743" s="1">
        <v>46095.468055555553</v>
      </c>
      <c r="N743" s="1">
        <v>46095.498611111114</v>
      </c>
      <c r="O743">
        <v>4</v>
      </c>
      <c r="P743" t="s">
        <v>37</v>
      </c>
      <c r="Q743" t="s">
        <v>82</v>
      </c>
      <c r="R743" t="s">
        <v>239</v>
      </c>
      <c r="S743" t="s">
        <v>84</v>
      </c>
      <c r="T743">
        <v>4000</v>
      </c>
      <c r="U743" t="s">
        <v>35</v>
      </c>
      <c r="V743" t="s">
        <v>36</v>
      </c>
      <c r="W743">
        <v>1</v>
      </c>
      <c r="X743" t="s">
        <v>37</v>
      </c>
      <c r="Y743">
        <v>4</v>
      </c>
      <c r="Z743" t="s">
        <v>99</v>
      </c>
    </row>
    <row r="744" spans="1:26" x14ac:dyDescent="0.2">
      <c r="A744" t="s">
        <v>1618</v>
      </c>
      <c r="B744" t="s">
        <v>1619</v>
      </c>
      <c r="C744" s="1">
        <v>46081</v>
      </c>
      <c r="D744" t="s">
        <v>186</v>
      </c>
      <c r="E744">
        <v>39</v>
      </c>
      <c r="F744">
        <v>11</v>
      </c>
      <c r="G744" t="s">
        <v>57</v>
      </c>
      <c r="H744" t="s">
        <v>95</v>
      </c>
      <c r="I744" s="1">
        <v>46081.300694444442</v>
      </c>
      <c r="J744" s="1">
        <v>46081.318055555559</v>
      </c>
      <c r="K744" s="1">
        <v>46081.340277777781</v>
      </c>
      <c r="L744" s="1">
        <v>46081.352083333331</v>
      </c>
      <c r="M744" s="1">
        <v>46081.370138888888</v>
      </c>
      <c r="N744" s="1">
        <v>46081.380555555559</v>
      </c>
      <c r="O744">
        <v>3</v>
      </c>
      <c r="P744" t="s">
        <v>37</v>
      </c>
      <c r="Q744" t="s">
        <v>82</v>
      </c>
      <c r="R744" t="s">
        <v>214</v>
      </c>
      <c r="S744" t="s">
        <v>84</v>
      </c>
      <c r="T744">
        <v>4000</v>
      </c>
      <c r="U744" t="s">
        <v>35</v>
      </c>
      <c r="V744" t="s">
        <v>36</v>
      </c>
      <c r="W744">
        <v>1</v>
      </c>
      <c r="X744" t="s">
        <v>37</v>
      </c>
      <c r="Y744">
        <v>1</v>
      </c>
      <c r="Z744" t="s">
        <v>168</v>
      </c>
    </row>
    <row r="745" spans="1:26" hidden="1" x14ac:dyDescent="0.2">
      <c r="A745" t="s">
        <v>1620</v>
      </c>
      <c r="B745" t="s">
        <v>1621</v>
      </c>
      <c r="C745" s="1">
        <v>46052</v>
      </c>
      <c r="D745" t="s">
        <v>220</v>
      </c>
      <c r="E745">
        <v>27</v>
      </c>
      <c r="F745">
        <v>5.7</v>
      </c>
      <c r="G745" t="s">
        <v>50</v>
      </c>
      <c r="H745" t="s">
        <v>157</v>
      </c>
      <c r="I745" s="1">
        <v>46052.406944444447</v>
      </c>
      <c r="J745" s="1">
        <v>46052.419444444444</v>
      </c>
      <c r="K745" s="1">
        <v>46052.466666666667</v>
      </c>
      <c r="L745" s="1">
        <v>46052.479861111111</v>
      </c>
      <c r="M745" s="1">
        <v>46052.506249999999</v>
      </c>
      <c r="N745" s="1">
        <v>46052.526388888888</v>
      </c>
      <c r="O745">
        <v>4</v>
      </c>
      <c r="P745" t="s">
        <v>37</v>
      </c>
      <c r="Q745" t="s">
        <v>82</v>
      </c>
      <c r="R745" t="s">
        <v>239</v>
      </c>
      <c r="S745" t="s">
        <v>84</v>
      </c>
      <c r="T745">
        <v>4000</v>
      </c>
      <c r="U745" t="s">
        <v>35</v>
      </c>
      <c r="V745" t="s">
        <v>36</v>
      </c>
      <c r="W745">
        <v>1</v>
      </c>
      <c r="X745" t="s">
        <v>37</v>
      </c>
      <c r="Y745">
        <v>5</v>
      </c>
      <c r="Z745" t="s">
        <v>54</v>
      </c>
    </row>
    <row r="746" spans="1:26" hidden="1" x14ac:dyDescent="0.2">
      <c r="A746" t="s">
        <v>1622</v>
      </c>
      <c r="B746" t="s">
        <v>1623</v>
      </c>
      <c r="C746" s="1">
        <v>46050</v>
      </c>
      <c r="D746" t="s">
        <v>114</v>
      </c>
      <c r="E746">
        <v>17</v>
      </c>
      <c r="F746">
        <v>11.6</v>
      </c>
      <c r="G746" t="s">
        <v>81</v>
      </c>
      <c r="H746" t="s">
        <v>167</v>
      </c>
      <c r="I746" s="1">
        <v>46050.409722222219</v>
      </c>
      <c r="J746" s="1">
        <v>46050.42291666667</v>
      </c>
      <c r="K746" s="1">
        <v>46050.478472222225</v>
      </c>
      <c r="L746" s="1">
        <v>46050.490972222222</v>
      </c>
      <c r="M746" s="1">
        <v>46050.513888888891</v>
      </c>
      <c r="N746" s="1">
        <v>46050.530555555553</v>
      </c>
      <c r="O746">
        <v>2</v>
      </c>
      <c r="P746" t="s">
        <v>37</v>
      </c>
      <c r="Q746" t="s">
        <v>82</v>
      </c>
      <c r="R746" t="s">
        <v>77</v>
      </c>
      <c r="S746" t="s">
        <v>84</v>
      </c>
      <c r="T746">
        <v>4000</v>
      </c>
      <c r="U746" t="s">
        <v>35</v>
      </c>
      <c r="V746" t="s">
        <v>36</v>
      </c>
      <c r="W746">
        <v>1</v>
      </c>
      <c r="X746" t="s">
        <v>37</v>
      </c>
      <c r="Y746">
        <v>4</v>
      </c>
      <c r="Z746" t="s">
        <v>86</v>
      </c>
    </row>
    <row r="747" spans="1:26" hidden="1" x14ac:dyDescent="0.2">
      <c r="A747" t="s">
        <v>1624</v>
      </c>
      <c r="B747" t="s">
        <v>1625</v>
      </c>
      <c r="C747" s="1">
        <v>46075</v>
      </c>
      <c r="D747" t="s">
        <v>110</v>
      </c>
      <c r="E747">
        <v>26</v>
      </c>
      <c r="F747">
        <v>8.4</v>
      </c>
      <c r="G747" t="s">
        <v>57</v>
      </c>
      <c r="H747" t="s">
        <v>30</v>
      </c>
      <c r="I747" s="1">
        <v>46075.318055555559</v>
      </c>
      <c r="J747" s="1">
        <v>46075.332638888889</v>
      </c>
      <c r="K747" s="1">
        <v>46075.37777777778</v>
      </c>
      <c r="L747" s="1">
        <v>46075.384722222225</v>
      </c>
      <c r="M747" s="1">
        <v>46075.411111111112</v>
      </c>
      <c r="N747" s="1">
        <v>46075.415277777778</v>
      </c>
      <c r="O747">
        <v>6</v>
      </c>
      <c r="P747" t="s">
        <v>31</v>
      </c>
      <c r="Q747" t="s">
        <v>82</v>
      </c>
      <c r="R747" t="s">
        <v>83</v>
      </c>
      <c r="S747" t="s">
        <v>84</v>
      </c>
      <c r="T747">
        <v>4000</v>
      </c>
      <c r="U747" t="s">
        <v>35</v>
      </c>
      <c r="V747" t="s">
        <v>36</v>
      </c>
      <c r="W747">
        <v>1</v>
      </c>
      <c r="X747" t="s">
        <v>37</v>
      </c>
      <c r="Y747">
        <v>5</v>
      </c>
      <c r="Z747" t="s">
        <v>215</v>
      </c>
    </row>
    <row r="748" spans="1:26" x14ac:dyDescent="0.2">
      <c r="A748" t="s">
        <v>1626</v>
      </c>
      <c r="B748" t="s">
        <v>1627</v>
      </c>
      <c r="C748" s="1">
        <v>46105</v>
      </c>
      <c r="D748" t="s">
        <v>220</v>
      </c>
      <c r="E748">
        <v>14</v>
      </c>
      <c r="F748">
        <v>7.3</v>
      </c>
      <c r="G748" t="s">
        <v>50</v>
      </c>
      <c r="H748" t="s">
        <v>95</v>
      </c>
      <c r="I748" s="1">
        <v>46105.404166666667</v>
      </c>
      <c r="J748" s="1">
        <v>46105.423611111109</v>
      </c>
      <c r="K748" s="1">
        <v>46105.441666666666</v>
      </c>
      <c r="L748" s="1">
        <v>46105.455555555556</v>
      </c>
      <c r="M748" s="1">
        <v>46105.476388888892</v>
      </c>
      <c r="N748" s="1">
        <v>46105.506944444445</v>
      </c>
      <c r="O748">
        <v>7</v>
      </c>
      <c r="P748" t="s">
        <v>37</v>
      </c>
      <c r="Q748" t="s">
        <v>69</v>
      </c>
      <c r="R748" t="s">
        <v>146</v>
      </c>
      <c r="S748" t="s">
        <v>71</v>
      </c>
      <c r="T748">
        <v>2000</v>
      </c>
      <c r="U748" t="s">
        <v>35</v>
      </c>
      <c r="V748" t="s">
        <v>59</v>
      </c>
      <c r="W748">
        <v>1</v>
      </c>
      <c r="X748" t="s">
        <v>116</v>
      </c>
      <c r="Y748">
        <v>2</v>
      </c>
      <c r="Z748" t="s">
        <v>102</v>
      </c>
    </row>
    <row r="749" spans="1:26" hidden="1" x14ac:dyDescent="0.2">
      <c r="A749" t="s">
        <v>1628</v>
      </c>
      <c r="B749" t="s">
        <v>1629</v>
      </c>
      <c r="C749" s="1">
        <v>46065</v>
      </c>
      <c r="D749" t="s">
        <v>230</v>
      </c>
      <c r="E749">
        <v>27</v>
      </c>
      <c r="F749">
        <v>5.6</v>
      </c>
      <c r="G749" t="s">
        <v>57</v>
      </c>
      <c r="H749" t="s">
        <v>95</v>
      </c>
      <c r="I749" s="1">
        <v>46065.304166666669</v>
      </c>
      <c r="J749" s="1">
        <v>46065.309027777781</v>
      </c>
      <c r="K749" s="1">
        <v>46065.347916666666</v>
      </c>
      <c r="L749" s="1">
        <v>46065.35833333333</v>
      </c>
      <c r="M749" s="1">
        <v>46065.390972222223</v>
      </c>
      <c r="N749" s="1">
        <v>46065.413888888892</v>
      </c>
      <c r="O749">
        <v>4</v>
      </c>
      <c r="P749" t="s">
        <v>37</v>
      </c>
      <c r="Q749" t="s">
        <v>32</v>
      </c>
      <c r="R749" t="s">
        <v>66</v>
      </c>
      <c r="S749" t="s">
        <v>34</v>
      </c>
      <c r="T749">
        <v>5000</v>
      </c>
      <c r="U749" t="s">
        <v>35</v>
      </c>
      <c r="V749" t="s">
        <v>36</v>
      </c>
      <c r="W749">
        <v>1</v>
      </c>
      <c r="X749" t="s">
        <v>37</v>
      </c>
      <c r="Y749">
        <v>5</v>
      </c>
      <c r="Z749" t="s">
        <v>296</v>
      </c>
    </row>
    <row r="750" spans="1:26" hidden="1" x14ac:dyDescent="0.2">
      <c r="A750" t="s">
        <v>1630</v>
      </c>
      <c r="B750" t="s">
        <v>1631</v>
      </c>
      <c r="C750" s="1">
        <v>46043</v>
      </c>
      <c r="D750" t="s">
        <v>181</v>
      </c>
      <c r="E750">
        <v>15</v>
      </c>
      <c r="F750">
        <v>8.5</v>
      </c>
      <c r="G750" t="s">
        <v>50</v>
      </c>
      <c r="H750" t="s">
        <v>30</v>
      </c>
      <c r="I750" s="1">
        <v>46043.299305555556</v>
      </c>
      <c r="J750" s="1">
        <v>46043.318055555559</v>
      </c>
      <c r="K750" s="1">
        <v>46043.34652777778</v>
      </c>
      <c r="L750" s="1">
        <v>46043.352083333331</v>
      </c>
      <c r="M750" s="1">
        <v>46043.388194444444</v>
      </c>
      <c r="N750" s="1">
        <v>46043.397916666669</v>
      </c>
      <c r="O750">
        <v>4</v>
      </c>
      <c r="P750" t="s">
        <v>238</v>
      </c>
      <c r="Q750" t="s">
        <v>32</v>
      </c>
      <c r="R750" t="s">
        <v>140</v>
      </c>
      <c r="S750" t="s">
        <v>34</v>
      </c>
      <c r="T750">
        <v>5000</v>
      </c>
      <c r="U750" t="s">
        <v>35</v>
      </c>
      <c r="V750" t="s">
        <v>36</v>
      </c>
      <c r="W750">
        <v>1</v>
      </c>
      <c r="X750" t="s">
        <v>37</v>
      </c>
      <c r="Y750">
        <v>4</v>
      </c>
      <c r="Z750" t="s">
        <v>296</v>
      </c>
    </row>
    <row r="751" spans="1:26" hidden="1" x14ac:dyDescent="0.2">
      <c r="A751" t="s">
        <v>1632</v>
      </c>
      <c r="B751" t="s">
        <v>1633</v>
      </c>
      <c r="C751" s="1">
        <v>46098</v>
      </c>
      <c r="D751" t="s">
        <v>114</v>
      </c>
      <c r="E751">
        <v>16</v>
      </c>
      <c r="F751">
        <v>7.6</v>
      </c>
      <c r="G751" t="s">
        <v>29</v>
      </c>
      <c r="H751" t="s">
        <v>157</v>
      </c>
      <c r="I751" s="1">
        <v>46098.368750000001</v>
      </c>
      <c r="J751" s="1">
        <v>46098.384722222225</v>
      </c>
      <c r="K751" s="1">
        <v>46098.422222222223</v>
      </c>
      <c r="L751" s="1">
        <v>46098.432638888888</v>
      </c>
      <c r="M751" s="1">
        <v>46098.443055555559</v>
      </c>
      <c r="N751" s="1">
        <v>46098.462500000001</v>
      </c>
      <c r="O751">
        <v>1</v>
      </c>
      <c r="P751" t="s">
        <v>31</v>
      </c>
      <c r="Q751" t="s">
        <v>96</v>
      </c>
      <c r="R751" t="s">
        <v>97</v>
      </c>
      <c r="S751" t="s">
        <v>98</v>
      </c>
      <c r="T751">
        <v>3000</v>
      </c>
      <c r="U751" t="s">
        <v>35</v>
      </c>
      <c r="V751" t="s">
        <v>36</v>
      </c>
      <c r="W751">
        <v>1</v>
      </c>
      <c r="X751" t="s">
        <v>37</v>
      </c>
      <c r="Y751">
        <v>3</v>
      </c>
      <c r="Z751" t="s">
        <v>86</v>
      </c>
    </row>
    <row r="752" spans="1:26" hidden="1" x14ac:dyDescent="0.2">
      <c r="A752" t="s">
        <v>1634</v>
      </c>
      <c r="B752" t="s">
        <v>1635</v>
      </c>
      <c r="C752" s="1">
        <v>46048</v>
      </c>
      <c r="D752" t="s">
        <v>105</v>
      </c>
      <c r="E752">
        <v>10</v>
      </c>
      <c r="F752">
        <v>6.8</v>
      </c>
      <c r="G752" t="s">
        <v>50</v>
      </c>
      <c r="H752" t="s">
        <v>51</v>
      </c>
      <c r="I752" s="1">
        <v>46048.36041666667</v>
      </c>
      <c r="J752" s="1">
        <v>46048.376388888886</v>
      </c>
      <c r="K752" s="1">
        <v>46048.420138888891</v>
      </c>
      <c r="L752" s="1">
        <v>46048.427083333336</v>
      </c>
      <c r="M752" s="1">
        <v>46048.45</v>
      </c>
      <c r="N752" s="1">
        <v>46048.464583333334</v>
      </c>
      <c r="O752">
        <v>2</v>
      </c>
      <c r="P752" t="s">
        <v>37</v>
      </c>
      <c r="Q752" t="s">
        <v>96</v>
      </c>
      <c r="R752" t="s">
        <v>214</v>
      </c>
      <c r="S752" t="s">
        <v>98</v>
      </c>
      <c r="T752">
        <v>3000</v>
      </c>
      <c r="U752" t="s">
        <v>91</v>
      </c>
      <c r="V752" t="s">
        <v>59</v>
      </c>
      <c r="W752">
        <v>1</v>
      </c>
      <c r="X752" t="s">
        <v>193</v>
      </c>
      <c r="Y752">
        <v>4</v>
      </c>
      <c r="Z752" t="s">
        <v>296</v>
      </c>
    </row>
    <row r="753" spans="1:26" hidden="1" x14ac:dyDescent="0.2">
      <c r="A753" t="s">
        <v>1636</v>
      </c>
      <c r="B753" t="s">
        <v>1637</v>
      </c>
      <c r="C753" s="1">
        <v>46106</v>
      </c>
      <c r="D753" t="s">
        <v>41</v>
      </c>
      <c r="E753">
        <v>33</v>
      </c>
      <c r="F753">
        <v>12</v>
      </c>
      <c r="G753" t="s">
        <v>76</v>
      </c>
      <c r="H753" t="s">
        <v>51</v>
      </c>
      <c r="I753" s="1">
        <v>46106.29791666667</v>
      </c>
      <c r="J753" s="1">
        <v>46106.317361111112</v>
      </c>
      <c r="K753" s="1">
        <v>46106.364583333336</v>
      </c>
      <c r="L753" s="1">
        <v>46106.369444444441</v>
      </c>
      <c r="M753" s="1">
        <v>46106.390972222223</v>
      </c>
      <c r="N753" s="1">
        <v>46106.418749999997</v>
      </c>
      <c r="O753">
        <v>1</v>
      </c>
      <c r="P753" t="s">
        <v>31</v>
      </c>
      <c r="Q753" t="s">
        <v>96</v>
      </c>
      <c r="R753" t="s">
        <v>214</v>
      </c>
      <c r="S753" t="s">
        <v>98</v>
      </c>
      <c r="T753">
        <v>3000</v>
      </c>
      <c r="U753" t="s">
        <v>35</v>
      </c>
      <c r="V753" t="s">
        <v>36</v>
      </c>
      <c r="W753">
        <v>1</v>
      </c>
      <c r="X753" t="s">
        <v>37</v>
      </c>
      <c r="Y753">
        <v>4</v>
      </c>
      <c r="Z753" t="s">
        <v>54</v>
      </c>
    </row>
    <row r="754" spans="1:26" hidden="1" x14ac:dyDescent="0.2">
      <c r="A754" t="s">
        <v>1638</v>
      </c>
      <c r="B754" t="s">
        <v>1639</v>
      </c>
      <c r="C754" s="1">
        <v>46071</v>
      </c>
      <c r="D754" t="s">
        <v>220</v>
      </c>
      <c r="E754">
        <v>29</v>
      </c>
      <c r="F754">
        <v>6.7</v>
      </c>
      <c r="G754" t="s">
        <v>81</v>
      </c>
      <c r="H754" t="s">
        <v>42</v>
      </c>
      <c r="I754" s="1">
        <v>46071.388888888891</v>
      </c>
      <c r="J754" s="1">
        <v>46071.401388888888</v>
      </c>
      <c r="K754" s="1">
        <v>46071.444444444445</v>
      </c>
      <c r="L754" s="1">
        <v>46071.454861111109</v>
      </c>
      <c r="M754" s="1">
        <v>46071.467361111114</v>
      </c>
      <c r="N754" s="1">
        <v>46071.486111111109</v>
      </c>
      <c r="O754">
        <v>6</v>
      </c>
      <c r="P754" t="s">
        <v>106</v>
      </c>
      <c r="Q754" t="s">
        <v>32</v>
      </c>
      <c r="R754" t="s">
        <v>33</v>
      </c>
      <c r="S754" t="s">
        <v>34</v>
      </c>
      <c r="T754">
        <v>5000</v>
      </c>
      <c r="U754" t="s">
        <v>35</v>
      </c>
      <c r="V754" t="s">
        <v>36</v>
      </c>
      <c r="W754">
        <v>1</v>
      </c>
      <c r="X754" t="s">
        <v>37</v>
      </c>
      <c r="Y754">
        <v>5</v>
      </c>
      <c r="Z754" t="s">
        <v>86</v>
      </c>
    </row>
    <row r="755" spans="1:26" x14ac:dyDescent="0.2">
      <c r="A755" t="s">
        <v>1640</v>
      </c>
      <c r="B755" t="s">
        <v>1641</v>
      </c>
      <c r="C755" s="1">
        <v>46033</v>
      </c>
      <c r="D755" t="s">
        <v>154</v>
      </c>
      <c r="E755">
        <v>12</v>
      </c>
      <c r="F755">
        <v>4.2</v>
      </c>
      <c r="G755" t="s">
        <v>57</v>
      </c>
      <c r="H755" t="s">
        <v>42</v>
      </c>
      <c r="I755" s="1">
        <v>46033.385416666664</v>
      </c>
      <c r="J755" s="1">
        <v>46033.390972222223</v>
      </c>
      <c r="K755" s="1">
        <v>46033.419444444444</v>
      </c>
      <c r="L755" s="1">
        <v>46033.424305555556</v>
      </c>
      <c r="M755" s="1">
        <v>46033.438888888886</v>
      </c>
      <c r="N755" s="1">
        <v>46033.458333333336</v>
      </c>
      <c r="O755">
        <v>1</v>
      </c>
      <c r="P755" t="s">
        <v>106</v>
      </c>
      <c r="Q755" t="s">
        <v>96</v>
      </c>
      <c r="R755" t="s">
        <v>130</v>
      </c>
      <c r="S755" t="s">
        <v>98</v>
      </c>
      <c r="T755">
        <v>3000</v>
      </c>
      <c r="U755" t="s">
        <v>35</v>
      </c>
      <c r="V755" t="s">
        <v>59</v>
      </c>
      <c r="W755">
        <v>1</v>
      </c>
      <c r="X755" t="s">
        <v>60</v>
      </c>
      <c r="Y755">
        <v>1</v>
      </c>
      <c r="Z755" t="s">
        <v>61</v>
      </c>
    </row>
    <row r="756" spans="1:26" hidden="1" x14ac:dyDescent="0.2">
      <c r="A756" t="s">
        <v>1642</v>
      </c>
      <c r="B756" t="s">
        <v>1643</v>
      </c>
      <c r="C756" s="1">
        <v>46102</v>
      </c>
      <c r="D756" t="s">
        <v>89</v>
      </c>
      <c r="E756">
        <v>34</v>
      </c>
      <c r="F756">
        <v>9</v>
      </c>
      <c r="G756" t="s">
        <v>76</v>
      </c>
      <c r="H756" t="s">
        <v>42</v>
      </c>
      <c r="I756" s="1">
        <v>46102.368055555555</v>
      </c>
      <c r="J756" s="1">
        <v>46102.373611111114</v>
      </c>
      <c r="K756" s="1">
        <v>46102.43472222222</v>
      </c>
      <c r="L756" s="1">
        <v>46102.44027777778</v>
      </c>
      <c r="M756" s="1">
        <v>46102.449305555558</v>
      </c>
      <c r="N756" s="1">
        <v>46102.458333333336</v>
      </c>
      <c r="O756">
        <v>2</v>
      </c>
      <c r="P756" t="s">
        <v>37</v>
      </c>
      <c r="Q756" t="s">
        <v>82</v>
      </c>
      <c r="R756" t="s">
        <v>77</v>
      </c>
      <c r="S756" t="s">
        <v>84</v>
      </c>
      <c r="T756">
        <v>4000</v>
      </c>
      <c r="U756" t="s">
        <v>91</v>
      </c>
      <c r="V756" t="s">
        <v>36</v>
      </c>
      <c r="W756">
        <v>1</v>
      </c>
      <c r="X756" t="s">
        <v>37</v>
      </c>
      <c r="Y756">
        <v>5</v>
      </c>
      <c r="Z756" t="s">
        <v>117</v>
      </c>
    </row>
    <row r="757" spans="1:26" hidden="1" x14ac:dyDescent="0.2">
      <c r="A757" t="s">
        <v>1644</v>
      </c>
      <c r="B757" t="s">
        <v>1645</v>
      </c>
      <c r="C757" s="1">
        <v>46078</v>
      </c>
      <c r="D757" t="s">
        <v>154</v>
      </c>
      <c r="E757">
        <v>8</v>
      </c>
      <c r="F757">
        <v>9.6999999999999993</v>
      </c>
      <c r="G757" t="s">
        <v>50</v>
      </c>
      <c r="H757" t="s">
        <v>167</v>
      </c>
      <c r="I757" s="1">
        <v>46078.361111111109</v>
      </c>
      <c r="J757" s="1">
        <v>46078.375694444447</v>
      </c>
      <c r="K757" s="1">
        <v>46078.399305555555</v>
      </c>
      <c r="L757" s="1">
        <v>46078.413194444445</v>
      </c>
      <c r="M757" s="1">
        <v>46078.428472222222</v>
      </c>
      <c r="N757" s="1">
        <v>46078.453472222223</v>
      </c>
      <c r="O757">
        <v>5</v>
      </c>
      <c r="P757" t="s">
        <v>37</v>
      </c>
      <c r="Q757" t="s">
        <v>82</v>
      </c>
      <c r="R757" t="s">
        <v>83</v>
      </c>
      <c r="S757" t="s">
        <v>84</v>
      </c>
      <c r="T757">
        <v>4000</v>
      </c>
      <c r="U757" t="s">
        <v>35</v>
      </c>
      <c r="V757" t="s">
        <v>36</v>
      </c>
      <c r="W757">
        <v>1</v>
      </c>
      <c r="X757" t="s">
        <v>37</v>
      </c>
      <c r="Y757">
        <v>4</v>
      </c>
      <c r="Z757" t="s">
        <v>46</v>
      </c>
    </row>
    <row r="758" spans="1:26" hidden="1" x14ac:dyDescent="0.2">
      <c r="A758" t="s">
        <v>1646</v>
      </c>
      <c r="B758" t="s">
        <v>1647</v>
      </c>
      <c r="C758" s="1">
        <v>46079</v>
      </c>
      <c r="D758" t="s">
        <v>126</v>
      </c>
      <c r="E758">
        <v>10</v>
      </c>
      <c r="F758">
        <v>5.4</v>
      </c>
      <c r="G758" t="s">
        <v>57</v>
      </c>
      <c r="H758" t="s">
        <v>167</v>
      </c>
      <c r="I758" s="1">
        <v>46079.275000000001</v>
      </c>
      <c r="J758" s="1">
        <v>46079.290277777778</v>
      </c>
      <c r="K758" s="1">
        <v>46079.347916666666</v>
      </c>
      <c r="L758" s="1">
        <v>46079.355555555558</v>
      </c>
      <c r="M758" s="1">
        <v>46079.393055555556</v>
      </c>
      <c r="N758" s="1">
        <v>46079.401388888888</v>
      </c>
      <c r="O758">
        <v>6</v>
      </c>
      <c r="P758" t="s">
        <v>37</v>
      </c>
      <c r="Q758" t="s">
        <v>69</v>
      </c>
      <c r="R758" t="s">
        <v>111</v>
      </c>
      <c r="S758" t="s">
        <v>71</v>
      </c>
      <c r="T758">
        <v>2000</v>
      </c>
      <c r="U758" t="s">
        <v>35</v>
      </c>
      <c r="V758" t="s">
        <v>59</v>
      </c>
      <c r="W758">
        <v>2</v>
      </c>
      <c r="X758" t="s">
        <v>85</v>
      </c>
      <c r="Y758">
        <v>4</v>
      </c>
      <c r="Z758" t="s">
        <v>46</v>
      </c>
    </row>
    <row r="759" spans="1:26" hidden="1" x14ac:dyDescent="0.2">
      <c r="A759" t="s">
        <v>1648</v>
      </c>
      <c r="B759" t="s">
        <v>1649</v>
      </c>
      <c r="C759" s="1">
        <v>46060</v>
      </c>
      <c r="D759" t="s">
        <v>80</v>
      </c>
      <c r="E759">
        <v>23</v>
      </c>
      <c r="F759">
        <v>5.7</v>
      </c>
      <c r="G759" t="s">
        <v>76</v>
      </c>
      <c r="H759" t="s">
        <v>42</v>
      </c>
      <c r="I759" s="1">
        <v>46060.311111111114</v>
      </c>
      <c r="J759" s="1">
        <v>46060.330555555556</v>
      </c>
      <c r="K759" s="1">
        <v>46060.35833333333</v>
      </c>
      <c r="L759" s="1">
        <v>46060.361805555556</v>
      </c>
      <c r="M759" s="1">
        <v>46060.397222222222</v>
      </c>
      <c r="N759" s="1">
        <v>46060.411805555559</v>
      </c>
      <c r="O759">
        <v>3</v>
      </c>
      <c r="P759" t="s">
        <v>37</v>
      </c>
      <c r="Q759" t="s">
        <v>43</v>
      </c>
      <c r="R759" t="s">
        <v>44</v>
      </c>
      <c r="S759" t="s">
        <v>45</v>
      </c>
      <c r="T759">
        <v>2500</v>
      </c>
      <c r="U759" t="s">
        <v>35</v>
      </c>
      <c r="V759" t="s">
        <v>36</v>
      </c>
      <c r="W759">
        <v>1</v>
      </c>
      <c r="X759" t="s">
        <v>37</v>
      </c>
      <c r="Y759">
        <v>4</v>
      </c>
      <c r="Z759" t="s">
        <v>38</v>
      </c>
    </row>
    <row r="760" spans="1:26" hidden="1" x14ac:dyDescent="0.2">
      <c r="A760" t="s">
        <v>1650</v>
      </c>
      <c r="B760" t="s">
        <v>1651</v>
      </c>
      <c r="C760" s="1">
        <v>46102</v>
      </c>
      <c r="D760" t="s">
        <v>137</v>
      </c>
      <c r="E760">
        <v>33</v>
      </c>
      <c r="F760">
        <v>4.0999999999999996</v>
      </c>
      <c r="G760" t="s">
        <v>29</v>
      </c>
      <c r="H760" t="s">
        <v>167</v>
      </c>
      <c r="I760" s="1">
        <v>46102.354166666664</v>
      </c>
      <c r="J760" s="1">
        <v>46102.374305555553</v>
      </c>
      <c r="K760" s="1">
        <v>46102.413194444445</v>
      </c>
      <c r="L760" s="1">
        <v>46102.418055555558</v>
      </c>
      <c r="M760" s="1">
        <v>46102.45</v>
      </c>
      <c r="N760" s="1">
        <v>46102.464583333334</v>
      </c>
      <c r="O760">
        <v>6</v>
      </c>
      <c r="P760" t="s">
        <v>37</v>
      </c>
      <c r="Q760" t="s">
        <v>43</v>
      </c>
      <c r="R760" t="s">
        <v>90</v>
      </c>
      <c r="S760" t="s">
        <v>45</v>
      </c>
      <c r="T760">
        <v>2500</v>
      </c>
      <c r="U760" t="s">
        <v>35</v>
      </c>
      <c r="V760" t="s">
        <v>36</v>
      </c>
      <c r="W760">
        <v>1</v>
      </c>
      <c r="X760" t="s">
        <v>37</v>
      </c>
      <c r="Y760">
        <v>4</v>
      </c>
      <c r="Z760" t="s">
        <v>72</v>
      </c>
    </row>
    <row r="761" spans="1:26" hidden="1" x14ac:dyDescent="0.2">
      <c r="A761" t="s">
        <v>1652</v>
      </c>
      <c r="B761" t="s">
        <v>1653</v>
      </c>
      <c r="C761" s="1">
        <v>46085</v>
      </c>
      <c r="D761" t="s">
        <v>289</v>
      </c>
      <c r="E761">
        <v>19</v>
      </c>
      <c r="F761">
        <v>8.6999999999999993</v>
      </c>
      <c r="G761" t="s">
        <v>29</v>
      </c>
      <c r="H761" t="s">
        <v>30</v>
      </c>
      <c r="I761" s="1">
        <v>46085.3125</v>
      </c>
      <c r="J761" s="1">
        <v>46085.324999999997</v>
      </c>
      <c r="K761" s="1">
        <v>46085.372916666667</v>
      </c>
      <c r="L761" s="1">
        <v>46085.386111111111</v>
      </c>
      <c r="M761" s="1">
        <v>46085.406944444447</v>
      </c>
      <c r="N761" s="1">
        <v>46085.427777777775</v>
      </c>
      <c r="O761">
        <v>4</v>
      </c>
      <c r="P761" t="s">
        <v>37</v>
      </c>
      <c r="Q761" t="s">
        <v>69</v>
      </c>
      <c r="R761" t="s">
        <v>146</v>
      </c>
      <c r="S761" t="s">
        <v>71</v>
      </c>
      <c r="T761">
        <v>2000</v>
      </c>
      <c r="U761" t="s">
        <v>35</v>
      </c>
      <c r="V761" t="s">
        <v>36</v>
      </c>
      <c r="W761">
        <v>1</v>
      </c>
      <c r="X761" t="s">
        <v>37</v>
      </c>
      <c r="Y761">
        <v>5</v>
      </c>
      <c r="Z761" t="s">
        <v>168</v>
      </c>
    </row>
    <row r="762" spans="1:26" hidden="1" x14ac:dyDescent="0.2">
      <c r="A762" t="s">
        <v>1654</v>
      </c>
      <c r="B762" t="s">
        <v>1655</v>
      </c>
      <c r="C762" s="1">
        <v>46026</v>
      </c>
      <c r="D762" t="s">
        <v>230</v>
      </c>
      <c r="E762">
        <v>25</v>
      </c>
      <c r="F762">
        <v>7.1</v>
      </c>
      <c r="G762" t="s">
        <v>57</v>
      </c>
      <c r="H762" t="s">
        <v>157</v>
      </c>
      <c r="I762" s="1">
        <v>46026.314583333333</v>
      </c>
      <c r="J762" s="1">
        <v>46026.318055555559</v>
      </c>
      <c r="K762" s="1">
        <v>46026.363194444442</v>
      </c>
      <c r="L762" s="1">
        <v>46026.370138888888</v>
      </c>
      <c r="M762" s="1">
        <v>46026.383333333331</v>
      </c>
      <c r="N762" s="1">
        <v>46026.412499999999</v>
      </c>
      <c r="O762">
        <v>2</v>
      </c>
      <c r="P762" t="s">
        <v>238</v>
      </c>
      <c r="Q762" t="s">
        <v>82</v>
      </c>
      <c r="R762" t="s">
        <v>239</v>
      </c>
      <c r="S762" t="s">
        <v>84</v>
      </c>
      <c r="T762">
        <v>4000</v>
      </c>
      <c r="U762" t="s">
        <v>35</v>
      </c>
      <c r="V762" t="s">
        <v>36</v>
      </c>
      <c r="W762">
        <v>1</v>
      </c>
      <c r="X762" t="s">
        <v>37</v>
      </c>
      <c r="Y762">
        <v>4</v>
      </c>
      <c r="Z762" t="s">
        <v>102</v>
      </c>
    </row>
    <row r="763" spans="1:26" hidden="1" x14ac:dyDescent="0.2">
      <c r="A763" t="s">
        <v>1656</v>
      </c>
      <c r="B763" t="s">
        <v>1657</v>
      </c>
      <c r="C763" s="1">
        <v>46073</v>
      </c>
      <c r="D763" t="s">
        <v>126</v>
      </c>
      <c r="E763">
        <v>22</v>
      </c>
      <c r="F763">
        <v>5.8</v>
      </c>
      <c r="G763" t="s">
        <v>50</v>
      </c>
      <c r="H763" t="s">
        <v>65</v>
      </c>
      <c r="I763" s="1">
        <v>46073.378472222219</v>
      </c>
      <c r="J763" s="1">
        <v>46073.392361111109</v>
      </c>
      <c r="K763" s="1">
        <v>46073.4375</v>
      </c>
      <c r="L763" s="1">
        <v>46073.45</v>
      </c>
      <c r="M763" s="1">
        <v>46073.463888888888</v>
      </c>
      <c r="N763" s="1">
        <v>46073.488888888889</v>
      </c>
      <c r="O763">
        <v>6</v>
      </c>
      <c r="P763" t="s">
        <v>238</v>
      </c>
      <c r="Q763" t="s">
        <v>96</v>
      </c>
      <c r="R763" t="s">
        <v>130</v>
      </c>
      <c r="S763" t="s">
        <v>98</v>
      </c>
      <c r="T763">
        <v>3000</v>
      </c>
      <c r="U763" t="s">
        <v>35</v>
      </c>
      <c r="V763" t="s">
        <v>36</v>
      </c>
      <c r="W763">
        <v>1</v>
      </c>
      <c r="X763" t="s">
        <v>37</v>
      </c>
      <c r="Y763">
        <v>4</v>
      </c>
      <c r="Z763" t="s">
        <v>161</v>
      </c>
    </row>
    <row r="764" spans="1:26" hidden="1" x14ac:dyDescent="0.2">
      <c r="A764" t="s">
        <v>1658</v>
      </c>
      <c r="B764" t="s">
        <v>1659</v>
      </c>
      <c r="C764" s="1">
        <v>46053</v>
      </c>
      <c r="D764" t="s">
        <v>285</v>
      </c>
      <c r="E764">
        <v>31</v>
      </c>
      <c r="F764">
        <v>7.9</v>
      </c>
      <c r="G764" t="s">
        <v>76</v>
      </c>
      <c r="H764" t="s">
        <v>30</v>
      </c>
      <c r="I764" s="1">
        <v>46053.277777777781</v>
      </c>
      <c r="J764" s="1">
        <v>46053.288194444445</v>
      </c>
      <c r="K764" s="1">
        <v>46053.350694444445</v>
      </c>
      <c r="L764" s="1">
        <v>46053.36041666667</v>
      </c>
      <c r="M764" s="1">
        <v>46053.397222222222</v>
      </c>
      <c r="N764" s="1">
        <v>46053.427777777775</v>
      </c>
      <c r="O764">
        <v>4</v>
      </c>
      <c r="P764" t="s">
        <v>37</v>
      </c>
      <c r="Q764" t="s">
        <v>43</v>
      </c>
      <c r="R764" t="s">
        <v>158</v>
      </c>
      <c r="S764" t="s">
        <v>45</v>
      </c>
      <c r="T764">
        <v>2500</v>
      </c>
      <c r="U764" t="s">
        <v>35</v>
      </c>
      <c r="V764" t="s">
        <v>36</v>
      </c>
      <c r="W764">
        <v>1</v>
      </c>
      <c r="X764" t="s">
        <v>37</v>
      </c>
      <c r="Y764">
        <v>4</v>
      </c>
      <c r="Z764" t="s">
        <v>99</v>
      </c>
    </row>
    <row r="765" spans="1:26" hidden="1" x14ac:dyDescent="0.2">
      <c r="A765" t="s">
        <v>1660</v>
      </c>
      <c r="B765" t="s">
        <v>1661</v>
      </c>
      <c r="C765" s="1">
        <v>46070</v>
      </c>
      <c r="D765" t="s">
        <v>254</v>
      </c>
      <c r="E765">
        <v>6</v>
      </c>
      <c r="F765">
        <v>7.6</v>
      </c>
      <c r="G765" t="s">
        <v>50</v>
      </c>
      <c r="H765" t="s">
        <v>95</v>
      </c>
      <c r="I765" s="1">
        <v>46070.286805555559</v>
      </c>
      <c r="J765" s="1">
        <v>46070.297222222223</v>
      </c>
      <c r="K765" s="1">
        <v>46070.324305555558</v>
      </c>
      <c r="L765" s="1">
        <v>46070.334722222222</v>
      </c>
      <c r="M765" s="1">
        <v>46070.369444444441</v>
      </c>
      <c r="N765" s="1">
        <v>46070.393750000003</v>
      </c>
      <c r="O765">
        <v>7</v>
      </c>
      <c r="P765" t="s">
        <v>37</v>
      </c>
      <c r="Q765" t="s">
        <v>43</v>
      </c>
      <c r="R765" t="s">
        <v>90</v>
      </c>
      <c r="S765" t="s">
        <v>45</v>
      </c>
      <c r="T765">
        <v>2500</v>
      </c>
      <c r="U765" t="s">
        <v>35</v>
      </c>
      <c r="V765" t="s">
        <v>36</v>
      </c>
      <c r="W765">
        <v>1</v>
      </c>
      <c r="X765" t="s">
        <v>37</v>
      </c>
      <c r="Y765">
        <v>5</v>
      </c>
      <c r="Z765" t="s">
        <v>86</v>
      </c>
    </row>
    <row r="766" spans="1:26" hidden="1" x14ac:dyDescent="0.2">
      <c r="A766" t="s">
        <v>1662</v>
      </c>
      <c r="B766" t="s">
        <v>1663</v>
      </c>
      <c r="C766" s="1">
        <v>46064</v>
      </c>
      <c r="D766" t="s">
        <v>154</v>
      </c>
      <c r="E766">
        <v>20</v>
      </c>
      <c r="F766">
        <v>10.5</v>
      </c>
      <c r="G766" t="s">
        <v>57</v>
      </c>
      <c r="H766" t="s">
        <v>157</v>
      </c>
      <c r="I766" s="1">
        <v>46064.35</v>
      </c>
      <c r="J766" s="1">
        <v>46064.363888888889</v>
      </c>
      <c r="K766" s="1">
        <v>46064.37222222222</v>
      </c>
      <c r="L766" s="1">
        <v>46064.382638888892</v>
      </c>
      <c r="M766" s="1">
        <v>46064.411805555559</v>
      </c>
      <c r="N766" s="1">
        <v>46064.419444444444</v>
      </c>
      <c r="O766">
        <v>4</v>
      </c>
      <c r="P766" t="s">
        <v>37</v>
      </c>
      <c r="Q766" t="s">
        <v>69</v>
      </c>
      <c r="R766" t="s">
        <v>146</v>
      </c>
      <c r="S766" t="s">
        <v>71</v>
      </c>
      <c r="T766">
        <v>2000</v>
      </c>
      <c r="U766" t="s">
        <v>35</v>
      </c>
      <c r="V766" t="s">
        <v>36</v>
      </c>
      <c r="W766">
        <v>1</v>
      </c>
      <c r="X766" t="s">
        <v>37</v>
      </c>
      <c r="Y766">
        <v>4</v>
      </c>
      <c r="Z766" t="s">
        <v>215</v>
      </c>
    </row>
    <row r="767" spans="1:26" hidden="1" x14ac:dyDescent="0.2">
      <c r="A767" t="s">
        <v>1664</v>
      </c>
      <c r="B767" t="s">
        <v>1665</v>
      </c>
      <c r="C767" s="1">
        <v>46031</v>
      </c>
      <c r="D767" t="s">
        <v>225</v>
      </c>
      <c r="E767">
        <v>22</v>
      </c>
      <c r="F767">
        <v>9.6999999999999993</v>
      </c>
      <c r="G767" t="s">
        <v>76</v>
      </c>
      <c r="H767" t="s">
        <v>42</v>
      </c>
      <c r="I767" s="1">
        <v>46031.388194444444</v>
      </c>
      <c r="J767" s="1">
        <v>46031.392361111109</v>
      </c>
      <c r="K767" s="1">
        <v>46031.440972222219</v>
      </c>
      <c r="L767" s="1">
        <v>46031.449305555558</v>
      </c>
      <c r="M767" s="1">
        <v>46031.46597222222</v>
      </c>
      <c r="N767" s="1">
        <v>46031.49722222222</v>
      </c>
      <c r="O767">
        <v>1</v>
      </c>
      <c r="P767" t="s">
        <v>37</v>
      </c>
      <c r="Q767" t="s">
        <v>43</v>
      </c>
      <c r="R767" t="s">
        <v>158</v>
      </c>
      <c r="S767" t="s">
        <v>45</v>
      </c>
      <c r="T767">
        <v>2500</v>
      </c>
      <c r="U767" t="s">
        <v>35</v>
      </c>
      <c r="V767" t="s">
        <v>36</v>
      </c>
      <c r="W767">
        <v>1</v>
      </c>
      <c r="X767" t="s">
        <v>37</v>
      </c>
      <c r="Y767">
        <v>3</v>
      </c>
      <c r="Z767" t="s">
        <v>161</v>
      </c>
    </row>
    <row r="768" spans="1:26" x14ac:dyDescent="0.2">
      <c r="A768" t="s">
        <v>1666</v>
      </c>
      <c r="B768" t="s">
        <v>1667</v>
      </c>
      <c r="C768" s="1">
        <v>46085</v>
      </c>
      <c r="D768" t="s">
        <v>289</v>
      </c>
      <c r="E768">
        <v>17</v>
      </c>
      <c r="F768">
        <v>11.7</v>
      </c>
      <c r="G768" t="s">
        <v>81</v>
      </c>
      <c r="H768" t="s">
        <v>65</v>
      </c>
      <c r="I768" s="1">
        <v>46085.270833333336</v>
      </c>
      <c r="J768" s="1">
        <v>46085.280555555553</v>
      </c>
      <c r="K768" s="1">
        <v>46085.292361111111</v>
      </c>
      <c r="L768" s="1">
        <v>46085.3</v>
      </c>
      <c r="M768" s="1">
        <v>46085.329861111109</v>
      </c>
      <c r="N768" s="1">
        <v>46085.355555555558</v>
      </c>
      <c r="O768">
        <v>3</v>
      </c>
      <c r="P768" t="s">
        <v>115</v>
      </c>
      <c r="Q768" t="s">
        <v>69</v>
      </c>
      <c r="R768" t="s">
        <v>146</v>
      </c>
      <c r="S768" t="s">
        <v>71</v>
      </c>
      <c r="T768">
        <v>2000</v>
      </c>
      <c r="U768" t="s">
        <v>35</v>
      </c>
      <c r="V768" t="s">
        <v>36</v>
      </c>
      <c r="W768">
        <v>1</v>
      </c>
      <c r="X768" t="s">
        <v>37</v>
      </c>
      <c r="Y768">
        <v>1</v>
      </c>
      <c r="Z768" t="s">
        <v>161</v>
      </c>
    </row>
    <row r="769" spans="1:26" hidden="1" x14ac:dyDescent="0.2">
      <c r="A769" t="s">
        <v>1668</v>
      </c>
      <c r="B769" t="s">
        <v>1669</v>
      </c>
      <c r="C769" s="1">
        <v>46041</v>
      </c>
      <c r="D769" t="s">
        <v>149</v>
      </c>
      <c r="E769">
        <v>31</v>
      </c>
      <c r="F769">
        <v>4.5999999999999996</v>
      </c>
      <c r="G769" t="s">
        <v>50</v>
      </c>
      <c r="H769" t="s">
        <v>42</v>
      </c>
      <c r="I769" s="1">
        <v>46041.411111111112</v>
      </c>
      <c r="J769" s="1">
        <v>46041.417361111111</v>
      </c>
      <c r="K769" s="1">
        <v>46041.463888888888</v>
      </c>
      <c r="L769" s="1">
        <v>46041.475694444445</v>
      </c>
      <c r="M769" s="1">
        <v>46041.506944444445</v>
      </c>
      <c r="N769" s="1">
        <v>46041.517361111109</v>
      </c>
      <c r="O769">
        <v>5</v>
      </c>
      <c r="P769" t="s">
        <v>37</v>
      </c>
      <c r="Q769" t="s">
        <v>32</v>
      </c>
      <c r="R769" t="s">
        <v>107</v>
      </c>
      <c r="S769" t="s">
        <v>34</v>
      </c>
      <c r="T769">
        <v>5000</v>
      </c>
      <c r="U769" t="s">
        <v>35</v>
      </c>
      <c r="V769" t="s">
        <v>59</v>
      </c>
      <c r="W769">
        <v>4</v>
      </c>
      <c r="X769" t="s">
        <v>353</v>
      </c>
      <c r="Y769">
        <v>3</v>
      </c>
      <c r="Z769" t="s">
        <v>215</v>
      </c>
    </row>
    <row r="770" spans="1:26" hidden="1" x14ac:dyDescent="0.2">
      <c r="A770" t="s">
        <v>1670</v>
      </c>
      <c r="B770" t="s">
        <v>1671</v>
      </c>
      <c r="C770" s="1">
        <v>46059</v>
      </c>
      <c r="D770" t="s">
        <v>126</v>
      </c>
      <c r="E770">
        <v>25</v>
      </c>
      <c r="F770">
        <v>11.6</v>
      </c>
      <c r="G770" t="s">
        <v>29</v>
      </c>
      <c r="H770" t="s">
        <v>51</v>
      </c>
      <c r="I770" s="1">
        <v>46059.404166666667</v>
      </c>
      <c r="J770" s="1">
        <v>46059.414583333331</v>
      </c>
      <c r="K770" s="1">
        <v>46059.470138888886</v>
      </c>
      <c r="L770" s="1">
        <v>46059.484027777777</v>
      </c>
      <c r="M770" s="1">
        <v>46059.506944444445</v>
      </c>
      <c r="N770" s="1">
        <v>46059.51666666667</v>
      </c>
      <c r="O770">
        <v>3</v>
      </c>
      <c r="P770" t="s">
        <v>37</v>
      </c>
      <c r="Q770" t="s">
        <v>69</v>
      </c>
      <c r="R770" t="s">
        <v>146</v>
      </c>
      <c r="S770" t="s">
        <v>71</v>
      </c>
      <c r="T770">
        <v>2000</v>
      </c>
      <c r="U770" t="s">
        <v>35</v>
      </c>
      <c r="V770" t="s">
        <v>36</v>
      </c>
      <c r="W770">
        <v>1</v>
      </c>
      <c r="X770" t="s">
        <v>37</v>
      </c>
      <c r="Y770">
        <v>4</v>
      </c>
      <c r="Z770" t="s">
        <v>99</v>
      </c>
    </row>
    <row r="771" spans="1:26" hidden="1" x14ac:dyDescent="0.2">
      <c r="A771" t="s">
        <v>1672</v>
      </c>
      <c r="B771" t="s">
        <v>1673</v>
      </c>
      <c r="C771" s="1">
        <v>46045</v>
      </c>
      <c r="D771" t="s">
        <v>289</v>
      </c>
      <c r="E771">
        <v>23</v>
      </c>
      <c r="F771">
        <v>6.6</v>
      </c>
      <c r="G771" t="s">
        <v>81</v>
      </c>
      <c r="H771" t="s">
        <v>51</v>
      </c>
      <c r="I771" s="1">
        <v>46045.406944444447</v>
      </c>
      <c r="J771" s="1">
        <v>46045.421527777777</v>
      </c>
      <c r="K771" s="1">
        <v>46045.433333333334</v>
      </c>
      <c r="L771" s="1">
        <v>46045.439583333333</v>
      </c>
      <c r="M771" s="1">
        <v>46045.468055555553</v>
      </c>
      <c r="N771" s="1">
        <v>46045.474305555559</v>
      </c>
      <c r="O771">
        <v>1</v>
      </c>
      <c r="P771" t="s">
        <v>238</v>
      </c>
      <c r="Q771" t="s">
        <v>69</v>
      </c>
      <c r="R771" t="s">
        <v>111</v>
      </c>
      <c r="S771" t="s">
        <v>71</v>
      </c>
      <c r="T771">
        <v>2000</v>
      </c>
      <c r="U771" t="s">
        <v>35</v>
      </c>
      <c r="V771" t="s">
        <v>59</v>
      </c>
      <c r="W771">
        <v>2</v>
      </c>
      <c r="X771" t="s">
        <v>116</v>
      </c>
      <c r="Y771">
        <v>5</v>
      </c>
      <c r="Z771" t="s">
        <v>99</v>
      </c>
    </row>
    <row r="772" spans="1:26" hidden="1" x14ac:dyDescent="0.2">
      <c r="A772" t="s">
        <v>1674</v>
      </c>
      <c r="B772" t="s">
        <v>1675</v>
      </c>
      <c r="C772" s="1">
        <v>46033</v>
      </c>
      <c r="D772" t="s">
        <v>181</v>
      </c>
      <c r="E772">
        <v>36</v>
      </c>
      <c r="F772">
        <v>7.2</v>
      </c>
      <c r="G772" t="s">
        <v>29</v>
      </c>
      <c r="H772" t="s">
        <v>65</v>
      </c>
      <c r="I772" s="1">
        <v>46033.323611111111</v>
      </c>
      <c r="J772" s="1">
        <v>46033.34097222222</v>
      </c>
      <c r="K772" s="1">
        <v>46033.382638888892</v>
      </c>
      <c r="L772" s="1">
        <v>46033.388888888891</v>
      </c>
      <c r="M772" s="1">
        <v>46033.420138888891</v>
      </c>
      <c r="N772" s="1">
        <v>46033.427083333336</v>
      </c>
      <c r="O772">
        <v>7</v>
      </c>
      <c r="P772" t="s">
        <v>106</v>
      </c>
      <c r="Q772" t="s">
        <v>96</v>
      </c>
      <c r="R772" t="s">
        <v>90</v>
      </c>
      <c r="S772" t="s">
        <v>98</v>
      </c>
      <c r="T772">
        <v>3000</v>
      </c>
      <c r="U772" t="s">
        <v>35</v>
      </c>
      <c r="V772" t="s">
        <v>59</v>
      </c>
      <c r="W772">
        <v>3</v>
      </c>
      <c r="X772" t="s">
        <v>85</v>
      </c>
      <c r="Y772">
        <v>3</v>
      </c>
      <c r="Z772" t="s">
        <v>134</v>
      </c>
    </row>
    <row r="773" spans="1:26" hidden="1" x14ac:dyDescent="0.2">
      <c r="A773" t="s">
        <v>1676</v>
      </c>
      <c r="B773" t="s">
        <v>1677</v>
      </c>
      <c r="C773" s="1">
        <v>46094</v>
      </c>
      <c r="D773" t="s">
        <v>178</v>
      </c>
      <c r="E773">
        <v>35</v>
      </c>
      <c r="F773">
        <v>4.3</v>
      </c>
      <c r="G773" t="s">
        <v>57</v>
      </c>
      <c r="H773" t="s">
        <v>42</v>
      </c>
      <c r="I773" s="1">
        <v>46094.290972222225</v>
      </c>
      <c r="J773" s="1">
        <v>46094.297222222223</v>
      </c>
      <c r="K773" s="1">
        <v>46094.315972222219</v>
      </c>
      <c r="L773" s="1">
        <v>46094.326388888891</v>
      </c>
      <c r="M773" s="1">
        <v>46094.347222222219</v>
      </c>
      <c r="N773" s="1">
        <v>46094.367361111108</v>
      </c>
      <c r="O773">
        <v>7</v>
      </c>
      <c r="P773" t="s">
        <v>37</v>
      </c>
      <c r="Q773" t="s">
        <v>32</v>
      </c>
      <c r="R773" t="s">
        <v>120</v>
      </c>
      <c r="S773" t="s">
        <v>34</v>
      </c>
      <c r="T773">
        <v>5000</v>
      </c>
      <c r="U773" t="s">
        <v>35</v>
      </c>
      <c r="V773" t="s">
        <v>36</v>
      </c>
      <c r="W773">
        <v>1</v>
      </c>
      <c r="X773" t="s">
        <v>37</v>
      </c>
      <c r="Y773">
        <v>4</v>
      </c>
      <c r="Z773" t="s">
        <v>102</v>
      </c>
    </row>
    <row r="774" spans="1:26" hidden="1" x14ac:dyDescent="0.2">
      <c r="A774" t="s">
        <v>1678</v>
      </c>
      <c r="B774" t="s">
        <v>1679</v>
      </c>
      <c r="C774" s="1">
        <v>46112</v>
      </c>
      <c r="D774" t="s">
        <v>181</v>
      </c>
      <c r="E774">
        <v>7</v>
      </c>
      <c r="F774">
        <v>5.6</v>
      </c>
      <c r="G774" t="s">
        <v>29</v>
      </c>
      <c r="H774" t="s">
        <v>95</v>
      </c>
      <c r="I774" s="1">
        <v>46112.290277777778</v>
      </c>
      <c r="J774" s="1">
        <v>46112.306250000001</v>
      </c>
      <c r="K774" s="1">
        <v>46112.356249999997</v>
      </c>
      <c r="L774" s="1">
        <v>46112.359722222223</v>
      </c>
      <c r="M774" s="1">
        <v>46112.381944444445</v>
      </c>
      <c r="N774" s="1">
        <v>46112.388888888891</v>
      </c>
      <c r="O774">
        <v>5</v>
      </c>
      <c r="P774" t="s">
        <v>37</v>
      </c>
      <c r="Q774" t="s">
        <v>69</v>
      </c>
      <c r="R774" t="s">
        <v>111</v>
      </c>
      <c r="S774" t="s">
        <v>71</v>
      </c>
      <c r="T774">
        <v>2000</v>
      </c>
      <c r="U774" t="s">
        <v>35</v>
      </c>
      <c r="V774" t="s">
        <v>59</v>
      </c>
      <c r="W774">
        <v>4</v>
      </c>
      <c r="X774" t="s">
        <v>85</v>
      </c>
      <c r="Y774">
        <v>3</v>
      </c>
      <c r="Z774" t="s">
        <v>102</v>
      </c>
    </row>
    <row r="775" spans="1:26" hidden="1" x14ac:dyDescent="0.2">
      <c r="A775" t="s">
        <v>1680</v>
      </c>
      <c r="B775" t="s">
        <v>1681</v>
      </c>
      <c r="C775" s="1">
        <v>46102</v>
      </c>
      <c r="D775" t="s">
        <v>149</v>
      </c>
      <c r="E775">
        <v>28</v>
      </c>
      <c r="F775">
        <v>8.1</v>
      </c>
      <c r="G775" t="s">
        <v>57</v>
      </c>
      <c r="H775" t="s">
        <v>42</v>
      </c>
      <c r="I775" s="1">
        <v>46102.285416666666</v>
      </c>
      <c r="J775" s="1">
        <v>46102.305555555555</v>
      </c>
      <c r="K775" s="1">
        <v>46102.365972222222</v>
      </c>
      <c r="L775" s="1">
        <v>46102.375</v>
      </c>
      <c r="M775" s="1">
        <v>46102.396527777775</v>
      </c>
      <c r="N775" s="1">
        <v>46102.408333333333</v>
      </c>
      <c r="O775">
        <v>3</v>
      </c>
      <c r="P775" t="s">
        <v>37</v>
      </c>
      <c r="Q775" t="s">
        <v>96</v>
      </c>
      <c r="R775" t="s">
        <v>130</v>
      </c>
      <c r="S775" t="s">
        <v>98</v>
      </c>
      <c r="T775">
        <v>3000</v>
      </c>
      <c r="U775" t="s">
        <v>35</v>
      </c>
      <c r="V775" t="s">
        <v>36</v>
      </c>
      <c r="W775">
        <v>1</v>
      </c>
      <c r="X775" t="s">
        <v>37</v>
      </c>
      <c r="Y775">
        <v>4</v>
      </c>
      <c r="Z775" t="s">
        <v>72</v>
      </c>
    </row>
    <row r="776" spans="1:26" hidden="1" x14ac:dyDescent="0.2">
      <c r="A776" t="s">
        <v>1682</v>
      </c>
      <c r="B776" t="s">
        <v>1683</v>
      </c>
      <c r="C776" s="1">
        <v>46106</v>
      </c>
      <c r="D776" t="s">
        <v>94</v>
      </c>
      <c r="E776">
        <v>18</v>
      </c>
      <c r="F776">
        <v>5.5</v>
      </c>
      <c r="G776" t="s">
        <v>29</v>
      </c>
      <c r="H776" t="s">
        <v>157</v>
      </c>
      <c r="I776" s="1">
        <v>46106.392361111109</v>
      </c>
      <c r="J776" s="1">
        <v>46106.397916666669</v>
      </c>
      <c r="K776" s="1">
        <v>46106.42291666667</v>
      </c>
      <c r="L776" s="1">
        <v>46106.430555555555</v>
      </c>
      <c r="M776" s="1">
        <v>46106.470833333333</v>
      </c>
      <c r="N776" s="1">
        <v>46106.499305555553</v>
      </c>
      <c r="O776">
        <v>6</v>
      </c>
      <c r="P776" t="s">
        <v>37</v>
      </c>
      <c r="Q776" t="s">
        <v>69</v>
      </c>
      <c r="R776" t="s">
        <v>70</v>
      </c>
      <c r="S776" t="s">
        <v>71</v>
      </c>
      <c r="T776">
        <v>2000</v>
      </c>
      <c r="U776" t="s">
        <v>35</v>
      </c>
      <c r="V776" t="s">
        <v>36</v>
      </c>
      <c r="W776">
        <v>1</v>
      </c>
      <c r="X776" t="s">
        <v>37</v>
      </c>
      <c r="Y776">
        <v>5</v>
      </c>
      <c r="Z776" t="s">
        <v>46</v>
      </c>
    </row>
    <row r="777" spans="1:26" hidden="1" x14ac:dyDescent="0.2">
      <c r="A777" t="s">
        <v>1684</v>
      </c>
      <c r="B777" t="s">
        <v>1685</v>
      </c>
      <c r="C777" s="1">
        <v>46069</v>
      </c>
      <c r="D777" t="s">
        <v>225</v>
      </c>
      <c r="E777">
        <v>21</v>
      </c>
      <c r="F777">
        <v>5.7</v>
      </c>
      <c r="G777" t="s">
        <v>29</v>
      </c>
      <c r="H777" t="s">
        <v>167</v>
      </c>
      <c r="I777" s="1">
        <v>46069.252083333333</v>
      </c>
      <c r="J777" s="1">
        <v>46069.259722222225</v>
      </c>
      <c r="K777" s="1">
        <v>46069.282638888886</v>
      </c>
      <c r="L777" s="1">
        <v>46069.293055555558</v>
      </c>
      <c r="M777" s="1">
        <v>46069.309027777781</v>
      </c>
      <c r="N777" s="1">
        <v>46069.334027777775</v>
      </c>
      <c r="O777">
        <v>6</v>
      </c>
      <c r="P777" t="s">
        <v>37</v>
      </c>
      <c r="Q777" t="s">
        <v>32</v>
      </c>
      <c r="R777" t="s">
        <v>120</v>
      </c>
      <c r="S777" t="s">
        <v>34</v>
      </c>
      <c r="T777">
        <v>5000</v>
      </c>
      <c r="U777" t="s">
        <v>35</v>
      </c>
      <c r="V777" t="s">
        <v>59</v>
      </c>
      <c r="W777">
        <v>2</v>
      </c>
      <c r="X777" t="s">
        <v>193</v>
      </c>
      <c r="Y777">
        <v>4</v>
      </c>
      <c r="Z777" t="s">
        <v>215</v>
      </c>
    </row>
    <row r="778" spans="1:26" hidden="1" x14ac:dyDescent="0.2">
      <c r="A778" t="s">
        <v>1686</v>
      </c>
      <c r="B778" t="s">
        <v>1687</v>
      </c>
      <c r="C778" s="1">
        <v>46108</v>
      </c>
      <c r="D778" t="s">
        <v>230</v>
      </c>
      <c r="E778">
        <v>11</v>
      </c>
      <c r="F778">
        <v>11.1</v>
      </c>
      <c r="G778" t="s">
        <v>29</v>
      </c>
      <c r="H778" t="s">
        <v>65</v>
      </c>
      <c r="I778" s="1">
        <v>46108.258333333331</v>
      </c>
      <c r="J778" s="1">
        <v>46108.261805555558</v>
      </c>
      <c r="K778" s="1">
        <v>46108.293055555558</v>
      </c>
      <c r="L778" s="1">
        <v>46108.296527777777</v>
      </c>
      <c r="M778" s="1">
        <v>46108.316666666666</v>
      </c>
      <c r="N778" s="1">
        <v>46108.339583333334</v>
      </c>
      <c r="O778">
        <v>4</v>
      </c>
      <c r="P778" t="s">
        <v>37</v>
      </c>
      <c r="Q778" t="s">
        <v>82</v>
      </c>
      <c r="R778" t="s">
        <v>286</v>
      </c>
      <c r="S778" t="s">
        <v>84</v>
      </c>
      <c r="T778">
        <v>4000</v>
      </c>
      <c r="U778" t="s">
        <v>91</v>
      </c>
      <c r="V778" t="s">
        <v>36</v>
      </c>
      <c r="W778">
        <v>1</v>
      </c>
      <c r="X778" t="s">
        <v>37</v>
      </c>
      <c r="Y778">
        <v>4</v>
      </c>
      <c r="Z778" t="s">
        <v>134</v>
      </c>
    </row>
    <row r="779" spans="1:26" hidden="1" x14ac:dyDescent="0.2">
      <c r="A779" t="s">
        <v>1688</v>
      </c>
      <c r="B779" t="s">
        <v>1689</v>
      </c>
      <c r="C779" s="1">
        <v>46077</v>
      </c>
      <c r="D779" t="s">
        <v>233</v>
      </c>
      <c r="E779">
        <v>22</v>
      </c>
      <c r="F779">
        <v>7.3</v>
      </c>
      <c r="G779" t="s">
        <v>29</v>
      </c>
      <c r="H779" t="s">
        <v>167</v>
      </c>
      <c r="I779" s="1">
        <v>46077.386805555558</v>
      </c>
      <c r="J779" s="1">
        <v>46077.390972222223</v>
      </c>
      <c r="K779" s="1">
        <v>46077.408333333333</v>
      </c>
      <c r="L779" s="1">
        <v>46077.418055555558</v>
      </c>
      <c r="M779" s="1">
        <v>46077.431250000001</v>
      </c>
      <c r="N779" s="1">
        <v>46077.445833333331</v>
      </c>
      <c r="O779">
        <v>4</v>
      </c>
      <c r="P779" t="s">
        <v>37</v>
      </c>
      <c r="Q779" t="s">
        <v>96</v>
      </c>
      <c r="R779" t="s">
        <v>90</v>
      </c>
      <c r="S779" t="s">
        <v>98</v>
      </c>
      <c r="T779">
        <v>3000</v>
      </c>
      <c r="U779" t="s">
        <v>35</v>
      </c>
      <c r="V779" t="s">
        <v>36</v>
      </c>
      <c r="W779">
        <v>1</v>
      </c>
      <c r="X779" t="s">
        <v>37</v>
      </c>
      <c r="Y779">
        <v>3</v>
      </c>
      <c r="Z779" t="s">
        <v>86</v>
      </c>
    </row>
    <row r="780" spans="1:26" hidden="1" x14ac:dyDescent="0.2">
      <c r="A780" t="s">
        <v>1690</v>
      </c>
      <c r="B780" t="s">
        <v>1691</v>
      </c>
      <c r="C780" s="1">
        <v>46110</v>
      </c>
      <c r="D780" t="s">
        <v>154</v>
      </c>
      <c r="E780">
        <v>16</v>
      </c>
      <c r="F780">
        <v>4.0999999999999996</v>
      </c>
      <c r="G780" t="s">
        <v>29</v>
      </c>
      <c r="H780" t="s">
        <v>30</v>
      </c>
      <c r="I780" s="1">
        <v>46110.291666666664</v>
      </c>
      <c r="J780" s="1">
        <v>46110.304861111108</v>
      </c>
      <c r="K780" s="1">
        <v>46110.363194444442</v>
      </c>
      <c r="L780" s="1">
        <v>46110.37222222222</v>
      </c>
      <c r="M780" s="1">
        <v>46110.390972222223</v>
      </c>
      <c r="N780" s="1">
        <v>46110.395138888889</v>
      </c>
      <c r="O780">
        <v>6</v>
      </c>
      <c r="P780" t="s">
        <v>37</v>
      </c>
      <c r="Q780" t="s">
        <v>32</v>
      </c>
      <c r="R780" t="s">
        <v>53</v>
      </c>
      <c r="S780" t="s">
        <v>34</v>
      </c>
      <c r="T780">
        <v>5000</v>
      </c>
      <c r="U780" t="s">
        <v>35</v>
      </c>
      <c r="V780" t="s">
        <v>36</v>
      </c>
      <c r="W780">
        <v>1</v>
      </c>
      <c r="X780" t="s">
        <v>37</v>
      </c>
      <c r="Y780">
        <v>3</v>
      </c>
      <c r="Z780" t="s">
        <v>168</v>
      </c>
    </row>
    <row r="781" spans="1:26" x14ac:dyDescent="0.2">
      <c r="A781" t="s">
        <v>1692</v>
      </c>
      <c r="B781" t="s">
        <v>1693</v>
      </c>
      <c r="C781" s="1">
        <v>46071</v>
      </c>
      <c r="D781" t="s">
        <v>178</v>
      </c>
      <c r="E781">
        <v>32</v>
      </c>
      <c r="F781">
        <v>10.6</v>
      </c>
      <c r="G781" t="s">
        <v>50</v>
      </c>
      <c r="H781" t="s">
        <v>95</v>
      </c>
      <c r="I781" s="1">
        <v>46071.252083333333</v>
      </c>
      <c r="J781" s="1">
        <v>46071.268055555556</v>
      </c>
      <c r="K781" s="1">
        <v>46071.27847222222</v>
      </c>
      <c r="L781" s="1">
        <v>46071.283333333333</v>
      </c>
      <c r="M781" s="1">
        <v>46071.324305555558</v>
      </c>
      <c r="N781" s="1">
        <v>46071.339583333334</v>
      </c>
      <c r="O781">
        <v>6</v>
      </c>
      <c r="P781" t="s">
        <v>37</v>
      </c>
      <c r="Q781" t="s">
        <v>32</v>
      </c>
      <c r="R781" t="s">
        <v>53</v>
      </c>
      <c r="S781" t="s">
        <v>34</v>
      </c>
      <c r="T781">
        <v>5000</v>
      </c>
      <c r="U781" t="s">
        <v>35</v>
      </c>
      <c r="V781" t="s">
        <v>36</v>
      </c>
      <c r="W781">
        <v>1</v>
      </c>
      <c r="X781" t="s">
        <v>37</v>
      </c>
      <c r="Y781">
        <v>1</v>
      </c>
      <c r="Z781" t="s">
        <v>161</v>
      </c>
    </row>
    <row r="782" spans="1:26" hidden="1" x14ac:dyDescent="0.2">
      <c r="A782" t="s">
        <v>1694</v>
      </c>
      <c r="B782" t="s">
        <v>1695</v>
      </c>
      <c r="C782" s="1">
        <v>46053</v>
      </c>
      <c r="D782" t="s">
        <v>114</v>
      </c>
      <c r="E782">
        <v>7</v>
      </c>
      <c r="F782">
        <v>11</v>
      </c>
      <c r="G782" t="s">
        <v>50</v>
      </c>
      <c r="H782" t="s">
        <v>65</v>
      </c>
      <c r="I782" s="1">
        <v>46053.374305555553</v>
      </c>
      <c r="J782" s="1">
        <v>46053.388194444444</v>
      </c>
      <c r="K782" s="1">
        <v>46053.415277777778</v>
      </c>
      <c r="L782" s="1">
        <v>46053.419444444444</v>
      </c>
      <c r="M782" s="1">
        <v>46053.438888888886</v>
      </c>
      <c r="N782" s="1">
        <v>46053.458333333336</v>
      </c>
      <c r="O782">
        <v>1</v>
      </c>
      <c r="P782" t="s">
        <v>37</v>
      </c>
      <c r="Q782" t="s">
        <v>43</v>
      </c>
      <c r="R782" t="s">
        <v>90</v>
      </c>
      <c r="S782" t="s">
        <v>45</v>
      </c>
      <c r="T782">
        <v>2500</v>
      </c>
      <c r="U782" t="s">
        <v>35</v>
      </c>
      <c r="V782" t="s">
        <v>36</v>
      </c>
      <c r="W782">
        <v>1</v>
      </c>
      <c r="X782" t="s">
        <v>37</v>
      </c>
      <c r="Y782">
        <v>3</v>
      </c>
      <c r="Z782" t="s">
        <v>134</v>
      </c>
    </row>
    <row r="783" spans="1:26" hidden="1" x14ac:dyDescent="0.2">
      <c r="A783" t="s">
        <v>1696</v>
      </c>
      <c r="B783" t="s">
        <v>1697</v>
      </c>
      <c r="C783" s="1">
        <v>46093</v>
      </c>
      <c r="D783" t="s">
        <v>75</v>
      </c>
      <c r="E783">
        <v>27</v>
      </c>
      <c r="F783">
        <v>7.3</v>
      </c>
      <c r="G783" t="s">
        <v>81</v>
      </c>
      <c r="H783" t="s">
        <v>157</v>
      </c>
      <c r="I783" s="1">
        <v>46093.315972222219</v>
      </c>
      <c r="J783" s="1">
        <v>46093.32916666667</v>
      </c>
      <c r="K783" s="1">
        <v>46093.366666666669</v>
      </c>
      <c r="L783" s="1">
        <v>46093.376388888886</v>
      </c>
      <c r="M783" s="1">
        <v>46093.38958333333</v>
      </c>
      <c r="N783" s="1">
        <v>46093.414583333331</v>
      </c>
      <c r="O783">
        <v>6</v>
      </c>
      <c r="P783" t="s">
        <v>37</v>
      </c>
      <c r="Q783" t="s">
        <v>82</v>
      </c>
      <c r="R783" t="s">
        <v>33</v>
      </c>
      <c r="S783" t="s">
        <v>84</v>
      </c>
      <c r="T783">
        <v>4000</v>
      </c>
      <c r="U783" t="s">
        <v>35</v>
      </c>
      <c r="V783" t="s">
        <v>36</v>
      </c>
      <c r="W783">
        <v>1</v>
      </c>
      <c r="X783" t="s">
        <v>37</v>
      </c>
      <c r="Y783">
        <v>4</v>
      </c>
      <c r="Z783" t="s">
        <v>86</v>
      </c>
    </row>
    <row r="784" spans="1:26" hidden="1" x14ac:dyDescent="0.2">
      <c r="A784" t="s">
        <v>1698</v>
      </c>
      <c r="B784" t="s">
        <v>1699</v>
      </c>
      <c r="C784" s="1">
        <v>46065</v>
      </c>
      <c r="D784" t="s">
        <v>171</v>
      </c>
      <c r="E784">
        <v>33</v>
      </c>
      <c r="F784">
        <v>10</v>
      </c>
      <c r="G784" t="s">
        <v>57</v>
      </c>
      <c r="H784" t="s">
        <v>51</v>
      </c>
      <c r="I784" s="1">
        <v>46065.310416666667</v>
      </c>
      <c r="J784" s="1">
        <v>46065.324999999997</v>
      </c>
      <c r="K784" s="1">
        <v>46065.387499999997</v>
      </c>
      <c r="L784" s="1">
        <v>46065.393750000003</v>
      </c>
      <c r="M784" s="1">
        <v>46065.427083333336</v>
      </c>
      <c r="N784" s="1">
        <v>46065.445138888892</v>
      </c>
      <c r="O784">
        <v>5</v>
      </c>
      <c r="P784" t="s">
        <v>37</v>
      </c>
      <c r="Q784" t="s">
        <v>96</v>
      </c>
      <c r="R784" t="s">
        <v>97</v>
      </c>
      <c r="S784" t="s">
        <v>98</v>
      </c>
      <c r="T784">
        <v>3000</v>
      </c>
      <c r="U784" t="s">
        <v>35</v>
      </c>
      <c r="V784" t="s">
        <v>59</v>
      </c>
      <c r="W784">
        <v>2</v>
      </c>
      <c r="X784" t="s">
        <v>85</v>
      </c>
      <c r="Y784">
        <v>5</v>
      </c>
      <c r="Z784" t="s">
        <v>168</v>
      </c>
    </row>
    <row r="785" spans="1:26" hidden="1" x14ac:dyDescent="0.2">
      <c r="A785" t="s">
        <v>1700</v>
      </c>
      <c r="B785" t="s">
        <v>1701</v>
      </c>
      <c r="C785" s="1">
        <v>46076</v>
      </c>
      <c r="D785" t="s">
        <v>145</v>
      </c>
      <c r="E785">
        <v>38</v>
      </c>
      <c r="F785">
        <v>4.8</v>
      </c>
      <c r="G785" t="s">
        <v>29</v>
      </c>
      <c r="H785" t="s">
        <v>167</v>
      </c>
      <c r="I785" s="1">
        <v>46076.415972222225</v>
      </c>
      <c r="J785" s="1">
        <v>46076.431250000001</v>
      </c>
      <c r="K785" s="1">
        <v>46076.452777777777</v>
      </c>
      <c r="L785" s="1">
        <v>46076.461111111108</v>
      </c>
      <c r="M785" s="1">
        <v>46076.497916666667</v>
      </c>
      <c r="N785" s="1">
        <v>46076.515972222223</v>
      </c>
      <c r="O785">
        <v>4</v>
      </c>
      <c r="P785" t="s">
        <v>52</v>
      </c>
      <c r="Q785" t="s">
        <v>32</v>
      </c>
      <c r="R785" t="s">
        <v>107</v>
      </c>
      <c r="S785" t="s">
        <v>34</v>
      </c>
      <c r="T785">
        <v>5000</v>
      </c>
      <c r="U785" t="s">
        <v>35</v>
      </c>
      <c r="V785" t="s">
        <v>36</v>
      </c>
      <c r="W785">
        <v>1</v>
      </c>
      <c r="X785" t="s">
        <v>37</v>
      </c>
      <c r="Y785">
        <v>5</v>
      </c>
      <c r="Z785" t="s">
        <v>131</v>
      </c>
    </row>
    <row r="786" spans="1:26" hidden="1" x14ac:dyDescent="0.2">
      <c r="A786" t="s">
        <v>1702</v>
      </c>
      <c r="B786" t="s">
        <v>1703</v>
      </c>
      <c r="C786" s="1">
        <v>46073</v>
      </c>
      <c r="D786" t="s">
        <v>41</v>
      </c>
      <c r="E786">
        <v>31</v>
      </c>
      <c r="F786">
        <v>9.5</v>
      </c>
      <c r="G786" t="s">
        <v>29</v>
      </c>
      <c r="H786" t="s">
        <v>95</v>
      </c>
      <c r="I786" s="1">
        <v>46073.363194444442</v>
      </c>
      <c r="J786" s="1">
        <v>46073.380555555559</v>
      </c>
      <c r="K786" s="1">
        <v>46073.427777777775</v>
      </c>
      <c r="L786" s="1">
        <v>46073.434027777781</v>
      </c>
      <c r="M786" s="1">
        <v>46073.47152777778</v>
      </c>
      <c r="N786" s="1">
        <v>46073.48333333333</v>
      </c>
      <c r="O786">
        <v>6</v>
      </c>
      <c r="P786" t="s">
        <v>31</v>
      </c>
      <c r="Q786" t="s">
        <v>69</v>
      </c>
      <c r="R786" t="s">
        <v>251</v>
      </c>
      <c r="S786" t="s">
        <v>71</v>
      </c>
      <c r="T786">
        <v>2000</v>
      </c>
      <c r="U786" t="s">
        <v>35</v>
      </c>
      <c r="V786" t="s">
        <v>36</v>
      </c>
      <c r="W786">
        <v>1</v>
      </c>
      <c r="X786" t="s">
        <v>37</v>
      </c>
      <c r="Y786">
        <v>5</v>
      </c>
      <c r="Z786" t="s">
        <v>38</v>
      </c>
    </row>
    <row r="787" spans="1:26" hidden="1" x14ac:dyDescent="0.2">
      <c r="A787" t="s">
        <v>1704</v>
      </c>
      <c r="B787" t="s">
        <v>1705</v>
      </c>
      <c r="C787" s="1">
        <v>46053</v>
      </c>
      <c r="D787" t="s">
        <v>137</v>
      </c>
      <c r="E787">
        <v>18</v>
      </c>
      <c r="F787">
        <v>8.3000000000000007</v>
      </c>
      <c r="G787" t="s">
        <v>29</v>
      </c>
      <c r="H787" t="s">
        <v>42</v>
      </c>
      <c r="I787" s="1">
        <v>46053.283333333333</v>
      </c>
      <c r="J787" s="1">
        <v>46053.286805555559</v>
      </c>
      <c r="K787" s="1">
        <v>46053.295138888891</v>
      </c>
      <c r="L787" s="1">
        <v>46053.298611111109</v>
      </c>
      <c r="M787" s="1">
        <v>46053.318055555559</v>
      </c>
      <c r="N787" s="1">
        <v>46053.326388888891</v>
      </c>
      <c r="O787">
        <v>2</v>
      </c>
      <c r="P787" t="s">
        <v>52</v>
      </c>
      <c r="Q787" t="s">
        <v>43</v>
      </c>
      <c r="R787" t="s">
        <v>58</v>
      </c>
      <c r="S787" t="s">
        <v>45</v>
      </c>
      <c r="T787">
        <v>2500</v>
      </c>
      <c r="U787" t="s">
        <v>35</v>
      </c>
      <c r="V787" t="s">
        <v>36</v>
      </c>
      <c r="W787">
        <v>1</v>
      </c>
      <c r="X787" t="s">
        <v>37</v>
      </c>
      <c r="Y787">
        <v>5</v>
      </c>
      <c r="Z787" t="s">
        <v>168</v>
      </c>
    </row>
    <row r="788" spans="1:26" hidden="1" x14ac:dyDescent="0.2">
      <c r="A788" t="s">
        <v>1706</v>
      </c>
      <c r="B788" t="s">
        <v>1707</v>
      </c>
      <c r="C788" s="1">
        <v>46107</v>
      </c>
      <c r="D788" t="s">
        <v>220</v>
      </c>
      <c r="E788">
        <v>26</v>
      </c>
      <c r="F788">
        <v>7.1</v>
      </c>
      <c r="G788" t="s">
        <v>57</v>
      </c>
      <c r="H788" t="s">
        <v>167</v>
      </c>
      <c r="I788" s="1">
        <v>46107.325694444444</v>
      </c>
      <c r="J788" s="1">
        <v>46107.342361111114</v>
      </c>
      <c r="K788" s="1">
        <v>46107.401388888888</v>
      </c>
      <c r="L788" s="1">
        <v>46107.415277777778</v>
      </c>
      <c r="M788" s="1">
        <v>46107.45</v>
      </c>
      <c r="N788" s="1">
        <v>46107.480555555558</v>
      </c>
      <c r="O788">
        <v>5</v>
      </c>
      <c r="P788" t="s">
        <v>115</v>
      </c>
      <c r="Q788" t="s">
        <v>32</v>
      </c>
      <c r="R788" t="s">
        <v>33</v>
      </c>
      <c r="S788" t="s">
        <v>34</v>
      </c>
      <c r="T788">
        <v>5000</v>
      </c>
      <c r="U788" t="s">
        <v>91</v>
      </c>
      <c r="V788" t="s">
        <v>36</v>
      </c>
      <c r="W788">
        <v>1</v>
      </c>
      <c r="X788" t="s">
        <v>37</v>
      </c>
      <c r="Y788">
        <v>4</v>
      </c>
      <c r="Z788" t="s">
        <v>161</v>
      </c>
    </row>
    <row r="789" spans="1:26" x14ac:dyDescent="0.2">
      <c r="A789" t="s">
        <v>1708</v>
      </c>
      <c r="B789" t="s">
        <v>1709</v>
      </c>
      <c r="C789" s="1">
        <v>46072</v>
      </c>
      <c r="D789" t="s">
        <v>137</v>
      </c>
      <c r="E789">
        <v>32</v>
      </c>
      <c r="F789">
        <v>9.5</v>
      </c>
      <c r="G789" t="s">
        <v>81</v>
      </c>
      <c r="H789" t="s">
        <v>167</v>
      </c>
      <c r="I789" s="1">
        <v>46072.371527777781</v>
      </c>
      <c r="J789" s="1">
        <v>46072.385416666664</v>
      </c>
      <c r="K789" s="1">
        <v>46072.394444444442</v>
      </c>
      <c r="L789" s="1">
        <v>46072.40625</v>
      </c>
      <c r="M789" s="1">
        <v>46072.414583333331</v>
      </c>
      <c r="N789" s="1">
        <v>46072.439583333333</v>
      </c>
      <c r="O789">
        <v>7</v>
      </c>
      <c r="P789" t="s">
        <v>37</v>
      </c>
      <c r="Q789" t="s">
        <v>69</v>
      </c>
      <c r="R789" t="s">
        <v>111</v>
      </c>
      <c r="S789" t="s">
        <v>71</v>
      </c>
      <c r="T789">
        <v>2000</v>
      </c>
      <c r="U789" t="s">
        <v>35</v>
      </c>
      <c r="V789" t="s">
        <v>36</v>
      </c>
      <c r="W789">
        <v>1</v>
      </c>
      <c r="X789" t="s">
        <v>37</v>
      </c>
      <c r="Y789">
        <v>2</v>
      </c>
      <c r="Z789" t="s">
        <v>38</v>
      </c>
    </row>
    <row r="790" spans="1:26" hidden="1" x14ac:dyDescent="0.2">
      <c r="A790" t="s">
        <v>1710</v>
      </c>
      <c r="B790" t="s">
        <v>1711</v>
      </c>
      <c r="C790" s="1">
        <v>46035</v>
      </c>
      <c r="D790" t="s">
        <v>225</v>
      </c>
      <c r="E790">
        <v>20</v>
      </c>
      <c r="F790">
        <v>8.8000000000000007</v>
      </c>
      <c r="G790" t="s">
        <v>50</v>
      </c>
      <c r="H790" t="s">
        <v>51</v>
      </c>
      <c r="I790" s="1">
        <v>46035.306944444441</v>
      </c>
      <c r="J790" s="1">
        <v>46035.316666666666</v>
      </c>
      <c r="K790" s="1">
        <v>46035.37222222222</v>
      </c>
      <c r="L790" s="1">
        <v>46035.385416666664</v>
      </c>
      <c r="M790" s="1">
        <v>46035.401388888888</v>
      </c>
      <c r="N790" s="1">
        <v>46035.431944444441</v>
      </c>
      <c r="O790">
        <v>4</v>
      </c>
      <c r="P790" t="s">
        <v>52</v>
      </c>
      <c r="Q790" t="s">
        <v>43</v>
      </c>
      <c r="R790" t="s">
        <v>58</v>
      </c>
      <c r="S790" t="s">
        <v>45</v>
      </c>
      <c r="T790">
        <v>2500</v>
      </c>
      <c r="U790" t="s">
        <v>35</v>
      </c>
      <c r="V790" t="s">
        <v>59</v>
      </c>
      <c r="W790">
        <v>1</v>
      </c>
      <c r="X790" t="s">
        <v>374</v>
      </c>
      <c r="Y790">
        <v>4</v>
      </c>
      <c r="Z790" t="s">
        <v>131</v>
      </c>
    </row>
    <row r="791" spans="1:26" hidden="1" x14ac:dyDescent="0.2">
      <c r="A791" t="s">
        <v>1712</v>
      </c>
      <c r="B791" t="s">
        <v>1713</v>
      </c>
      <c r="C791" s="1">
        <v>46082</v>
      </c>
      <c r="D791" t="s">
        <v>49</v>
      </c>
      <c r="E791">
        <v>39</v>
      </c>
      <c r="F791">
        <v>9.1999999999999993</v>
      </c>
      <c r="G791" t="s">
        <v>29</v>
      </c>
      <c r="H791" t="s">
        <v>167</v>
      </c>
      <c r="I791" s="1">
        <v>46082.353472222225</v>
      </c>
      <c r="J791" s="1">
        <v>46082.359027777777</v>
      </c>
      <c r="K791" s="1">
        <v>46082.411805555559</v>
      </c>
      <c r="L791" s="1">
        <v>46082.425694444442</v>
      </c>
      <c r="M791" s="1">
        <v>46082.44027777778</v>
      </c>
      <c r="N791" s="1">
        <v>46082.463194444441</v>
      </c>
      <c r="O791">
        <v>3</v>
      </c>
      <c r="P791" t="s">
        <v>37</v>
      </c>
      <c r="Q791" t="s">
        <v>69</v>
      </c>
      <c r="R791" t="s">
        <v>70</v>
      </c>
      <c r="S791" t="s">
        <v>71</v>
      </c>
      <c r="T791">
        <v>2000</v>
      </c>
      <c r="U791" t="s">
        <v>35</v>
      </c>
      <c r="V791" t="s">
        <v>36</v>
      </c>
      <c r="W791">
        <v>1</v>
      </c>
      <c r="X791" t="s">
        <v>37</v>
      </c>
      <c r="Y791">
        <v>4</v>
      </c>
      <c r="Z791" t="s">
        <v>134</v>
      </c>
    </row>
    <row r="792" spans="1:26" hidden="1" x14ac:dyDescent="0.2">
      <c r="A792" t="s">
        <v>1714</v>
      </c>
      <c r="B792" t="s">
        <v>1715</v>
      </c>
      <c r="C792" s="1">
        <v>46032</v>
      </c>
      <c r="D792" t="s">
        <v>267</v>
      </c>
      <c r="E792">
        <v>20</v>
      </c>
      <c r="F792">
        <v>4</v>
      </c>
      <c r="G792" t="s">
        <v>57</v>
      </c>
      <c r="H792" t="s">
        <v>42</v>
      </c>
      <c r="I792" s="1">
        <v>46032.316666666666</v>
      </c>
      <c r="J792" s="1">
        <v>46032.320833333331</v>
      </c>
      <c r="K792" s="1">
        <v>46032.354166666664</v>
      </c>
      <c r="L792" s="1">
        <v>46032.361111111109</v>
      </c>
      <c r="M792" s="1">
        <v>46032.37777777778</v>
      </c>
      <c r="N792" s="1">
        <v>46032.395833333336</v>
      </c>
      <c r="O792">
        <v>7</v>
      </c>
      <c r="P792" t="s">
        <v>37</v>
      </c>
      <c r="Q792" t="s">
        <v>43</v>
      </c>
      <c r="R792" t="s">
        <v>200</v>
      </c>
      <c r="S792" t="s">
        <v>45</v>
      </c>
      <c r="T792">
        <v>2500</v>
      </c>
      <c r="U792" t="s">
        <v>35</v>
      </c>
      <c r="V792" t="s">
        <v>36</v>
      </c>
      <c r="W792">
        <v>1</v>
      </c>
      <c r="X792" t="s">
        <v>37</v>
      </c>
      <c r="Y792">
        <v>4</v>
      </c>
      <c r="Z792" t="s">
        <v>38</v>
      </c>
    </row>
    <row r="793" spans="1:26" hidden="1" x14ac:dyDescent="0.2">
      <c r="A793" t="s">
        <v>1716</v>
      </c>
      <c r="B793" t="s">
        <v>1717</v>
      </c>
      <c r="C793" s="1">
        <v>46035</v>
      </c>
      <c r="D793" t="s">
        <v>126</v>
      </c>
      <c r="E793">
        <v>6</v>
      </c>
      <c r="F793">
        <v>7.5</v>
      </c>
      <c r="G793" t="s">
        <v>76</v>
      </c>
      <c r="H793" t="s">
        <v>42</v>
      </c>
      <c r="I793" s="1">
        <v>46035.373611111114</v>
      </c>
      <c r="J793" s="1">
        <v>46035.386111111111</v>
      </c>
      <c r="K793" s="1">
        <v>46035.394444444442</v>
      </c>
      <c r="L793" s="1">
        <v>46035.405555555553</v>
      </c>
      <c r="M793" s="1">
        <v>46035.44027777778</v>
      </c>
      <c r="N793" s="1">
        <v>46035.467361111114</v>
      </c>
      <c r="O793">
        <v>1</v>
      </c>
      <c r="P793" t="s">
        <v>37</v>
      </c>
      <c r="Q793" t="s">
        <v>82</v>
      </c>
      <c r="R793" t="s">
        <v>83</v>
      </c>
      <c r="S793" t="s">
        <v>84</v>
      </c>
      <c r="T793">
        <v>4000</v>
      </c>
      <c r="U793" t="s">
        <v>35</v>
      </c>
      <c r="V793" t="s">
        <v>36</v>
      </c>
      <c r="W793">
        <v>1</v>
      </c>
      <c r="X793" t="s">
        <v>37</v>
      </c>
      <c r="Y793">
        <v>5</v>
      </c>
      <c r="Z793" t="s">
        <v>117</v>
      </c>
    </row>
    <row r="794" spans="1:26" hidden="1" x14ac:dyDescent="0.2">
      <c r="A794" t="s">
        <v>1718</v>
      </c>
      <c r="B794" t="s">
        <v>1719</v>
      </c>
      <c r="C794" s="1">
        <v>46034</v>
      </c>
      <c r="D794" t="s">
        <v>49</v>
      </c>
      <c r="E794">
        <v>30</v>
      </c>
      <c r="F794">
        <v>8.1</v>
      </c>
      <c r="G794" t="s">
        <v>57</v>
      </c>
      <c r="H794" t="s">
        <v>95</v>
      </c>
      <c r="I794" s="1">
        <v>46034.270833333336</v>
      </c>
      <c r="J794" s="1">
        <v>46034.274305555555</v>
      </c>
      <c r="K794" s="1">
        <v>46034.295138888891</v>
      </c>
      <c r="L794" s="1">
        <v>46034.3</v>
      </c>
      <c r="M794" s="1">
        <v>46034.331944444442</v>
      </c>
      <c r="N794" s="1">
        <v>46034.343055555553</v>
      </c>
      <c r="O794">
        <v>6</v>
      </c>
      <c r="P794" t="s">
        <v>52</v>
      </c>
      <c r="Q794" t="s">
        <v>96</v>
      </c>
      <c r="R794" t="s">
        <v>97</v>
      </c>
      <c r="S794" t="s">
        <v>98</v>
      </c>
      <c r="T794">
        <v>3000</v>
      </c>
      <c r="U794" t="s">
        <v>91</v>
      </c>
      <c r="V794" t="s">
        <v>36</v>
      </c>
      <c r="W794">
        <v>1</v>
      </c>
      <c r="X794" t="s">
        <v>37</v>
      </c>
      <c r="Y794">
        <v>3</v>
      </c>
      <c r="Z794" t="s">
        <v>117</v>
      </c>
    </row>
    <row r="795" spans="1:26" hidden="1" x14ac:dyDescent="0.2">
      <c r="A795" t="s">
        <v>1720</v>
      </c>
      <c r="B795" t="s">
        <v>1721</v>
      </c>
      <c r="C795" s="1">
        <v>46046</v>
      </c>
      <c r="D795" t="s">
        <v>254</v>
      </c>
      <c r="E795">
        <v>40</v>
      </c>
      <c r="F795">
        <v>4.3</v>
      </c>
      <c r="G795" t="s">
        <v>57</v>
      </c>
      <c r="H795" t="s">
        <v>95</v>
      </c>
      <c r="I795" s="1">
        <v>46046.302777777775</v>
      </c>
      <c r="J795" s="1">
        <v>46046.309027777781</v>
      </c>
      <c r="K795" s="1">
        <v>46046.350694444445</v>
      </c>
      <c r="L795" s="1">
        <v>46046.354166666664</v>
      </c>
      <c r="M795" s="1">
        <v>46046.377083333333</v>
      </c>
      <c r="N795" s="1">
        <v>46046.382638888892</v>
      </c>
      <c r="O795">
        <v>5</v>
      </c>
      <c r="P795" t="s">
        <v>37</v>
      </c>
      <c r="Q795" t="s">
        <v>43</v>
      </c>
      <c r="R795" t="s">
        <v>90</v>
      </c>
      <c r="S795" t="s">
        <v>45</v>
      </c>
      <c r="T795">
        <v>2500</v>
      </c>
      <c r="U795" t="s">
        <v>35</v>
      </c>
      <c r="V795" t="s">
        <v>36</v>
      </c>
      <c r="W795">
        <v>1</v>
      </c>
      <c r="X795" t="s">
        <v>37</v>
      </c>
      <c r="Y795">
        <v>4</v>
      </c>
      <c r="Z795" t="s">
        <v>102</v>
      </c>
    </row>
    <row r="796" spans="1:26" hidden="1" x14ac:dyDescent="0.2">
      <c r="A796" t="s">
        <v>1722</v>
      </c>
      <c r="B796" t="s">
        <v>1723</v>
      </c>
      <c r="C796" s="1">
        <v>46040</v>
      </c>
      <c r="D796" t="s">
        <v>289</v>
      </c>
      <c r="E796">
        <v>35</v>
      </c>
      <c r="F796">
        <v>10.4</v>
      </c>
      <c r="G796" t="s">
        <v>57</v>
      </c>
      <c r="H796" t="s">
        <v>30</v>
      </c>
      <c r="I796" s="1">
        <v>46040.334027777775</v>
      </c>
      <c r="J796" s="1">
        <v>46040.347916666666</v>
      </c>
      <c r="K796" s="1">
        <v>46040.397222222222</v>
      </c>
      <c r="L796" s="1">
        <v>46040.404861111114</v>
      </c>
      <c r="M796" s="1">
        <v>46040.415972222225</v>
      </c>
      <c r="N796" s="1">
        <v>46040.427083333336</v>
      </c>
      <c r="O796">
        <v>4</v>
      </c>
      <c r="P796" t="s">
        <v>37</v>
      </c>
      <c r="Q796" t="s">
        <v>82</v>
      </c>
      <c r="R796" t="s">
        <v>239</v>
      </c>
      <c r="S796" t="s">
        <v>84</v>
      </c>
      <c r="T796">
        <v>4000</v>
      </c>
      <c r="U796" t="s">
        <v>35</v>
      </c>
      <c r="V796" t="s">
        <v>59</v>
      </c>
      <c r="W796">
        <v>1</v>
      </c>
      <c r="X796" t="s">
        <v>85</v>
      </c>
      <c r="Y796">
        <v>5</v>
      </c>
      <c r="Z796" t="s">
        <v>46</v>
      </c>
    </row>
    <row r="797" spans="1:26" x14ac:dyDescent="0.2">
      <c r="A797" t="s">
        <v>1724</v>
      </c>
      <c r="B797" t="s">
        <v>1725</v>
      </c>
      <c r="C797" s="1">
        <v>46041</v>
      </c>
      <c r="D797" t="s">
        <v>230</v>
      </c>
      <c r="E797">
        <v>37</v>
      </c>
      <c r="F797">
        <v>11.9</v>
      </c>
      <c r="G797" t="s">
        <v>29</v>
      </c>
      <c r="H797" t="s">
        <v>65</v>
      </c>
      <c r="I797" s="1">
        <v>46041.279166666667</v>
      </c>
      <c r="J797" s="1">
        <v>46041.287499999999</v>
      </c>
      <c r="K797" s="1">
        <v>46041.35</v>
      </c>
      <c r="L797" s="1">
        <v>46041.362500000003</v>
      </c>
      <c r="M797" s="1">
        <v>46041.397222222222</v>
      </c>
      <c r="N797" s="1">
        <v>46041.416666666664</v>
      </c>
      <c r="O797">
        <v>2</v>
      </c>
      <c r="P797" t="s">
        <v>37</v>
      </c>
      <c r="Q797" t="s">
        <v>32</v>
      </c>
      <c r="R797" t="s">
        <v>53</v>
      </c>
      <c r="S797" t="s">
        <v>34</v>
      </c>
      <c r="T797">
        <v>5000</v>
      </c>
      <c r="U797" t="s">
        <v>35</v>
      </c>
      <c r="V797" t="s">
        <v>36</v>
      </c>
      <c r="W797">
        <v>1</v>
      </c>
      <c r="X797" t="s">
        <v>37</v>
      </c>
      <c r="Y797">
        <v>1</v>
      </c>
      <c r="Z797" t="s">
        <v>99</v>
      </c>
    </row>
    <row r="798" spans="1:26" hidden="1" x14ac:dyDescent="0.2">
      <c r="A798" t="s">
        <v>1726</v>
      </c>
      <c r="B798" t="s">
        <v>1727</v>
      </c>
      <c r="C798" s="1">
        <v>46026</v>
      </c>
      <c r="D798" t="s">
        <v>267</v>
      </c>
      <c r="E798">
        <v>33</v>
      </c>
      <c r="F798">
        <v>8.9</v>
      </c>
      <c r="G798" t="s">
        <v>57</v>
      </c>
      <c r="H798" t="s">
        <v>30</v>
      </c>
      <c r="I798" s="1">
        <v>46026.411111111112</v>
      </c>
      <c r="J798" s="1">
        <v>46026.417361111111</v>
      </c>
      <c r="K798" s="1">
        <v>46026.466666666667</v>
      </c>
      <c r="L798" s="1">
        <v>46026.479166666664</v>
      </c>
      <c r="M798" s="1">
        <v>46026.51458333333</v>
      </c>
      <c r="N798" s="1">
        <v>46026.54583333333</v>
      </c>
      <c r="O798">
        <v>2</v>
      </c>
      <c r="P798" t="s">
        <v>31</v>
      </c>
      <c r="Q798" t="s">
        <v>96</v>
      </c>
      <c r="R798" t="s">
        <v>97</v>
      </c>
      <c r="S798" t="s">
        <v>98</v>
      </c>
      <c r="T798">
        <v>3000</v>
      </c>
      <c r="U798" t="s">
        <v>35</v>
      </c>
      <c r="V798" t="s">
        <v>36</v>
      </c>
      <c r="W798">
        <v>1</v>
      </c>
      <c r="X798" t="s">
        <v>37</v>
      </c>
      <c r="Y798">
        <v>4</v>
      </c>
      <c r="Z798" t="s">
        <v>102</v>
      </c>
    </row>
    <row r="799" spans="1:26" hidden="1" x14ac:dyDescent="0.2">
      <c r="A799" t="s">
        <v>1728</v>
      </c>
      <c r="B799" t="s">
        <v>1729</v>
      </c>
      <c r="C799" s="1">
        <v>46031</v>
      </c>
      <c r="D799" t="s">
        <v>75</v>
      </c>
      <c r="E799">
        <v>7</v>
      </c>
      <c r="F799">
        <v>7</v>
      </c>
      <c r="G799" t="s">
        <v>50</v>
      </c>
      <c r="H799" t="s">
        <v>167</v>
      </c>
      <c r="I799" s="1">
        <v>46031.331944444442</v>
      </c>
      <c r="J799" s="1">
        <v>46031.349305555559</v>
      </c>
      <c r="K799" s="1">
        <v>46031.386111111111</v>
      </c>
      <c r="L799" s="1">
        <v>46031.395833333336</v>
      </c>
      <c r="M799" s="1">
        <v>46031.426388888889</v>
      </c>
      <c r="N799" s="1">
        <v>46031.456250000003</v>
      </c>
      <c r="O799">
        <v>3</v>
      </c>
      <c r="P799" t="s">
        <v>37</v>
      </c>
      <c r="Q799" t="s">
        <v>32</v>
      </c>
      <c r="R799" t="s">
        <v>278</v>
      </c>
      <c r="S799" t="s">
        <v>34</v>
      </c>
      <c r="T799">
        <v>5000</v>
      </c>
      <c r="U799" t="s">
        <v>35</v>
      </c>
      <c r="V799" t="s">
        <v>36</v>
      </c>
      <c r="W799">
        <v>1</v>
      </c>
      <c r="X799" t="s">
        <v>37</v>
      </c>
      <c r="Y799">
        <v>4</v>
      </c>
      <c r="Z799" t="s">
        <v>61</v>
      </c>
    </row>
    <row r="800" spans="1:26" hidden="1" x14ac:dyDescent="0.2">
      <c r="A800" t="s">
        <v>1730</v>
      </c>
      <c r="B800" t="s">
        <v>1731</v>
      </c>
      <c r="C800" s="1">
        <v>46111</v>
      </c>
      <c r="D800" t="s">
        <v>75</v>
      </c>
      <c r="E800">
        <v>35</v>
      </c>
      <c r="F800">
        <v>6.7</v>
      </c>
      <c r="G800" t="s">
        <v>50</v>
      </c>
      <c r="H800" t="s">
        <v>167</v>
      </c>
      <c r="I800" s="1">
        <v>46111.344444444447</v>
      </c>
      <c r="J800" s="1">
        <v>46111.359027777777</v>
      </c>
      <c r="K800" s="1">
        <v>46111.420138888891</v>
      </c>
      <c r="L800" s="1">
        <v>46111.425000000003</v>
      </c>
      <c r="M800" s="1">
        <v>46111.443055555559</v>
      </c>
      <c r="N800" s="1">
        <v>46111.474305555559</v>
      </c>
      <c r="O800">
        <v>3</v>
      </c>
      <c r="P800" t="s">
        <v>37</v>
      </c>
      <c r="Q800" t="s">
        <v>69</v>
      </c>
      <c r="R800" t="s">
        <v>146</v>
      </c>
      <c r="S800" t="s">
        <v>71</v>
      </c>
      <c r="T800">
        <v>2000</v>
      </c>
      <c r="U800" t="s">
        <v>35</v>
      </c>
      <c r="V800" t="s">
        <v>36</v>
      </c>
      <c r="W800">
        <v>1</v>
      </c>
      <c r="X800" t="s">
        <v>37</v>
      </c>
      <c r="Y800">
        <v>3</v>
      </c>
      <c r="Z800" t="s">
        <v>86</v>
      </c>
    </row>
    <row r="801" spans="1:26" hidden="1" x14ac:dyDescent="0.2">
      <c r="A801" t="s">
        <v>1732</v>
      </c>
      <c r="B801" t="s">
        <v>1733</v>
      </c>
      <c r="C801" s="1">
        <v>46053</v>
      </c>
      <c r="D801" t="s">
        <v>254</v>
      </c>
      <c r="E801">
        <v>24</v>
      </c>
      <c r="F801">
        <v>5.5</v>
      </c>
      <c r="G801" t="s">
        <v>76</v>
      </c>
      <c r="H801" t="s">
        <v>65</v>
      </c>
      <c r="I801" s="1">
        <v>46053.370138888888</v>
      </c>
      <c r="J801" s="1">
        <v>46053.382638888892</v>
      </c>
      <c r="K801" s="1">
        <v>46053.413888888892</v>
      </c>
      <c r="L801" s="1">
        <v>46053.42291666667</v>
      </c>
      <c r="M801" s="1">
        <v>46053.456250000003</v>
      </c>
      <c r="N801" s="1">
        <v>46053.478472222225</v>
      </c>
      <c r="O801">
        <v>6</v>
      </c>
      <c r="P801" t="s">
        <v>37</v>
      </c>
      <c r="Q801" t="s">
        <v>82</v>
      </c>
      <c r="R801" t="s">
        <v>33</v>
      </c>
      <c r="S801" t="s">
        <v>84</v>
      </c>
      <c r="T801">
        <v>4000</v>
      </c>
      <c r="U801" t="s">
        <v>35</v>
      </c>
      <c r="V801" t="s">
        <v>59</v>
      </c>
      <c r="W801">
        <v>2</v>
      </c>
      <c r="X801" t="s">
        <v>60</v>
      </c>
      <c r="Y801">
        <v>4</v>
      </c>
      <c r="Z801" t="s">
        <v>134</v>
      </c>
    </row>
    <row r="802" spans="1:26" hidden="1" x14ac:dyDescent="0.2">
      <c r="A802" t="s">
        <v>1734</v>
      </c>
      <c r="B802" t="s">
        <v>1735</v>
      </c>
      <c r="C802" s="1">
        <v>46069</v>
      </c>
      <c r="D802" t="s">
        <v>114</v>
      </c>
      <c r="E802">
        <v>18</v>
      </c>
      <c r="F802">
        <v>10.4</v>
      </c>
      <c r="G802" t="s">
        <v>81</v>
      </c>
      <c r="H802" t="s">
        <v>65</v>
      </c>
      <c r="I802" s="1">
        <v>46069.280555555553</v>
      </c>
      <c r="J802" s="1">
        <v>46069.286111111112</v>
      </c>
      <c r="K802" s="1">
        <v>46069.318749999999</v>
      </c>
      <c r="L802" s="1">
        <v>46069.32708333333</v>
      </c>
      <c r="M802" s="1">
        <v>46069.343055555553</v>
      </c>
      <c r="N802" s="1">
        <v>46069.372916666667</v>
      </c>
      <c r="O802">
        <v>7</v>
      </c>
      <c r="P802" t="s">
        <v>37</v>
      </c>
      <c r="Q802" t="s">
        <v>69</v>
      </c>
      <c r="R802" t="s">
        <v>251</v>
      </c>
      <c r="S802" t="s">
        <v>71</v>
      </c>
      <c r="T802">
        <v>2000</v>
      </c>
      <c r="U802" t="s">
        <v>35</v>
      </c>
      <c r="V802" t="s">
        <v>59</v>
      </c>
      <c r="W802">
        <v>4</v>
      </c>
      <c r="X802" t="s">
        <v>353</v>
      </c>
      <c r="Y802">
        <v>3</v>
      </c>
      <c r="Z802" t="s">
        <v>72</v>
      </c>
    </row>
    <row r="803" spans="1:26" hidden="1" x14ac:dyDescent="0.2">
      <c r="A803" t="s">
        <v>1736</v>
      </c>
      <c r="B803" t="s">
        <v>1737</v>
      </c>
      <c r="C803" s="1">
        <v>46095</v>
      </c>
      <c r="D803" t="s">
        <v>225</v>
      </c>
      <c r="E803">
        <v>14</v>
      </c>
      <c r="F803">
        <v>6</v>
      </c>
      <c r="G803" t="s">
        <v>29</v>
      </c>
      <c r="H803" t="s">
        <v>167</v>
      </c>
      <c r="I803" s="1">
        <v>46095.271527777775</v>
      </c>
      <c r="J803" s="1">
        <v>46095.283333333333</v>
      </c>
      <c r="K803" s="1">
        <v>46095.338888888888</v>
      </c>
      <c r="L803" s="1">
        <v>46095.350694444445</v>
      </c>
      <c r="M803" s="1">
        <v>46095.357638888891</v>
      </c>
      <c r="N803" s="1">
        <v>46095.363888888889</v>
      </c>
      <c r="O803">
        <v>2</v>
      </c>
      <c r="P803" t="s">
        <v>37</v>
      </c>
      <c r="Q803" t="s">
        <v>69</v>
      </c>
      <c r="R803" t="s">
        <v>251</v>
      </c>
      <c r="S803" t="s">
        <v>71</v>
      </c>
      <c r="T803">
        <v>2000</v>
      </c>
      <c r="U803" t="s">
        <v>35</v>
      </c>
      <c r="V803" t="s">
        <v>36</v>
      </c>
      <c r="W803">
        <v>1</v>
      </c>
      <c r="X803" t="s">
        <v>37</v>
      </c>
      <c r="Y803">
        <v>5</v>
      </c>
      <c r="Z803" t="s">
        <v>131</v>
      </c>
    </row>
    <row r="804" spans="1:26" hidden="1" x14ac:dyDescent="0.2">
      <c r="A804" t="s">
        <v>1738</v>
      </c>
      <c r="B804" t="s">
        <v>1739</v>
      </c>
      <c r="C804" s="1">
        <v>46058</v>
      </c>
      <c r="D804" t="s">
        <v>285</v>
      </c>
      <c r="E804">
        <v>17</v>
      </c>
      <c r="F804">
        <v>6.1</v>
      </c>
      <c r="G804" t="s">
        <v>50</v>
      </c>
      <c r="H804" t="s">
        <v>30</v>
      </c>
      <c r="I804" s="1">
        <v>46058.336805555555</v>
      </c>
      <c r="J804" s="1">
        <v>46058.353472222225</v>
      </c>
      <c r="K804" s="1">
        <v>46058.369444444441</v>
      </c>
      <c r="L804" s="1">
        <v>46058.383333333331</v>
      </c>
      <c r="M804" s="1">
        <v>46058.40902777778</v>
      </c>
      <c r="N804" s="1">
        <v>46058.429166666669</v>
      </c>
      <c r="O804">
        <v>3</v>
      </c>
      <c r="P804" t="s">
        <v>106</v>
      </c>
      <c r="Q804" t="s">
        <v>69</v>
      </c>
      <c r="R804" t="s">
        <v>70</v>
      </c>
      <c r="S804" t="s">
        <v>71</v>
      </c>
      <c r="T804">
        <v>2000</v>
      </c>
      <c r="U804" t="s">
        <v>35</v>
      </c>
      <c r="V804" t="s">
        <v>36</v>
      </c>
      <c r="W804">
        <v>1</v>
      </c>
      <c r="X804" t="s">
        <v>37</v>
      </c>
      <c r="Y804">
        <v>5</v>
      </c>
      <c r="Z804" t="s">
        <v>102</v>
      </c>
    </row>
    <row r="805" spans="1:26" hidden="1" x14ac:dyDescent="0.2">
      <c r="A805" t="s">
        <v>1740</v>
      </c>
      <c r="B805" t="s">
        <v>1741</v>
      </c>
      <c r="C805" s="1">
        <v>46058</v>
      </c>
      <c r="D805" t="s">
        <v>28</v>
      </c>
      <c r="E805">
        <v>13</v>
      </c>
      <c r="F805">
        <v>10.3</v>
      </c>
      <c r="G805" t="s">
        <v>50</v>
      </c>
      <c r="H805" t="s">
        <v>95</v>
      </c>
      <c r="I805" s="1">
        <v>46058.256944444445</v>
      </c>
      <c r="J805" s="1">
        <v>46058.275000000001</v>
      </c>
      <c r="K805" s="1">
        <v>46058.331944444442</v>
      </c>
      <c r="L805" s="1">
        <v>46058.336111111108</v>
      </c>
      <c r="M805" s="1">
        <v>46058.343055555553</v>
      </c>
      <c r="N805" s="1">
        <v>46058.351388888892</v>
      </c>
      <c r="O805">
        <v>3</v>
      </c>
      <c r="P805" t="s">
        <v>37</v>
      </c>
      <c r="Q805" t="s">
        <v>69</v>
      </c>
      <c r="R805" t="s">
        <v>251</v>
      </c>
      <c r="S805" t="s">
        <v>71</v>
      </c>
      <c r="T805">
        <v>2000</v>
      </c>
      <c r="U805" t="s">
        <v>35</v>
      </c>
      <c r="V805" t="s">
        <v>36</v>
      </c>
      <c r="W805">
        <v>1</v>
      </c>
      <c r="X805" t="s">
        <v>37</v>
      </c>
      <c r="Y805">
        <v>3</v>
      </c>
      <c r="Z805" t="s">
        <v>54</v>
      </c>
    </row>
    <row r="806" spans="1:26" hidden="1" x14ac:dyDescent="0.2">
      <c r="A806" t="s">
        <v>1742</v>
      </c>
      <c r="B806" t="s">
        <v>1743</v>
      </c>
      <c r="C806" s="1">
        <v>46100</v>
      </c>
      <c r="D806" t="s">
        <v>254</v>
      </c>
      <c r="E806">
        <v>27</v>
      </c>
      <c r="F806">
        <v>10.7</v>
      </c>
      <c r="G806" t="s">
        <v>57</v>
      </c>
      <c r="H806" t="s">
        <v>51</v>
      </c>
      <c r="I806" s="1">
        <v>46100.347916666666</v>
      </c>
      <c r="J806" s="1">
        <v>46100.363888888889</v>
      </c>
      <c r="K806" s="1">
        <v>46100.398611111108</v>
      </c>
      <c r="L806" s="1">
        <v>46100.406944444447</v>
      </c>
      <c r="M806" s="1">
        <v>46100.42083333333</v>
      </c>
      <c r="N806" s="1">
        <v>46100.440972222219</v>
      </c>
      <c r="O806">
        <v>2</v>
      </c>
      <c r="P806" t="s">
        <v>37</v>
      </c>
      <c r="Q806" t="s">
        <v>96</v>
      </c>
      <c r="R806" t="s">
        <v>130</v>
      </c>
      <c r="S806" t="s">
        <v>98</v>
      </c>
      <c r="T806">
        <v>3000</v>
      </c>
      <c r="U806" t="s">
        <v>35</v>
      </c>
      <c r="V806" t="s">
        <v>36</v>
      </c>
      <c r="W806">
        <v>1</v>
      </c>
      <c r="X806" t="s">
        <v>37</v>
      </c>
      <c r="Y806">
        <v>4</v>
      </c>
      <c r="Z806" t="s">
        <v>215</v>
      </c>
    </row>
    <row r="807" spans="1:26" hidden="1" x14ac:dyDescent="0.2">
      <c r="A807" t="s">
        <v>1744</v>
      </c>
      <c r="B807" t="s">
        <v>1745</v>
      </c>
      <c r="C807" s="1">
        <v>46085</v>
      </c>
      <c r="D807" t="s">
        <v>28</v>
      </c>
      <c r="E807">
        <v>31</v>
      </c>
      <c r="F807">
        <v>5.8</v>
      </c>
      <c r="G807" t="s">
        <v>50</v>
      </c>
      <c r="H807" t="s">
        <v>65</v>
      </c>
      <c r="I807" s="1">
        <v>46085.279166666667</v>
      </c>
      <c r="J807" s="1">
        <v>46085.286111111112</v>
      </c>
      <c r="K807" s="1">
        <v>46085.3125</v>
      </c>
      <c r="L807" s="1">
        <v>46085.321527777778</v>
      </c>
      <c r="M807" s="1">
        <v>46085.332638888889</v>
      </c>
      <c r="N807" s="1">
        <v>46085.336111111108</v>
      </c>
      <c r="O807">
        <v>2</v>
      </c>
      <c r="P807" t="s">
        <v>37</v>
      </c>
      <c r="Q807" t="s">
        <v>32</v>
      </c>
      <c r="R807" t="s">
        <v>120</v>
      </c>
      <c r="S807" t="s">
        <v>34</v>
      </c>
      <c r="T807">
        <v>5000</v>
      </c>
      <c r="U807" t="s">
        <v>35</v>
      </c>
      <c r="V807" t="s">
        <v>59</v>
      </c>
      <c r="W807">
        <v>4</v>
      </c>
      <c r="X807" t="s">
        <v>193</v>
      </c>
      <c r="Y807">
        <v>3</v>
      </c>
      <c r="Z807" t="s">
        <v>117</v>
      </c>
    </row>
    <row r="808" spans="1:26" hidden="1" x14ac:dyDescent="0.2">
      <c r="A808" t="s">
        <v>1746</v>
      </c>
      <c r="B808" t="s">
        <v>1747</v>
      </c>
      <c r="C808" s="1">
        <v>46075</v>
      </c>
      <c r="D808" t="s">
        <v>114</v>
      </c>
      <c r="E808">
        <v>14</v>
      </c>
      <c r="F808">
        <v>9.9</v>
      </c>
      <c r="G808" t="s">
        <v>50</v>
      </c>
      <c r="H808" t="s">
        <v>42</v>
      </c>
      <c r="I808" s="1">
        <v>46075.359027777777</v>
      </c>
      <c r="J808" s="1">
        <v>46075.379166666666</v>
      </c>
      <c r="K808" s="1">
        <v>46075.419444444444</v>
      </c>
      <c r="L808" s="1">
        <v>46075.42291666667</v>
      </c>
      <c r="M808" s="1">
        <v>46075.453472222223</v>
      </c>
      <c r="N808" s="1">
        <v>46075.46875</v>
      </c>
      <c r="O808">
        <v>2</v>
      </c>
      <c r="P808" t="s">
        <v>37</v>
      </c>
      <c r="Q808" t="s">
        <v>43</v>
      </c>
      <c r="R808" t="s">
        <v>200</v>
      </c>
      <c r="S808" t="s">
        <v>45</v>
      </c>
      <c r="T808">
        <v>2500</v>
      </c>
      <c r="U808" t="s">
        <v>35</v>
      </c>
      <c r="V808" t="s">
        <v>36</v>
      </c>
      <c r="W808">
        <v>1</v>
      </c>
      <c r="X808" t="s">
        <v>37</v>
      </c>
      <c r="Y808">
        <v>4</v>
      </c>
      <c r="Z808" t="s">
        <v>99</v>
      </c>
    </row>
    <row r="809" spans="1:26" hidden="1" x14ac:dyDescent="0.2">
      <c r="A809" t="s">
        <v>1748</v>
      </c>
      <c r="B809" t="s">
        <v>1749</v>
      </c>
      <c r="C809" s="1">
        <v>46086</v>
      </c>
      <c r="D809" t="s">
        <v>285</v>
      </c>
      <c r="E809">
        <v>33</v>
      </c>
      <c r="F809">
        <v>8.9</v>
      </c>
      <c r="G809" t="s">
        <v>76</v>
      </c>
      <c r="H809" t="s">
        <v>95</v>
      </c>
      <c r="I809" s="1">
        <v>46086.375</v>
      </c>
      <c r="J809" s="1">
        <v>46086.379861111112</v>
      </c>
      <c r="K809" s="1">
        <v>46086.439583333333</v>
      </c>
      <c r="L809" s="1">
        <v>46086.451388888891</v>
      </c>
      <c r="M809" s="1">
        <v>46086.465277777781</v>
      </c>
      <c r="N809" s="1">
        <v>46086.486111111109</v>
      </c>
      <c r="O809">
        <v>2</v>
      </c>
      <c r="P809" t="s">
        <v>129</v>
      </c>
      <c r="Q809" t="s">
        <v>69</v>
      </c>
      <c r="R809" t="s">
        <v>70</v>
      </c>
      <c r="S809" t="s">
        <v>71</v>
      </c>
      <c r="T809">
        <v>2000</v>
      </c>
      <c r="U809" t="s">
        <v>35</v>
      </c>
      <c r="V809" t="s">
        <v>36</v>
      </c>
      <c r="W809">
        <v>1</v>
      </c>
      <c r="X809" t="s">
        <v>37</v>
      </c>
      <c r="Y809">
        <v>4</v>
      </c>
      <c r="Z809" t="s">
        <v>54</v>
      </c>
    </row>
    <row r="810" spans="1:26" hidden="1" x14ac:dyDescent="0.2">
      <c r="A810" t="s">
        <v>1750</v>
      </c>
      <c r="B810" t="s">
        <v>1751</v>
      </c>
      <c r="C810" s="1">
        <v>46099</v>
      </c>
      <c r="D810" t="s">
        <v>145</v>
      </c>
      <c r="E810">
        <v>20</v>
      </c>
      <c r="F810">
        <v>9.1999999999999993</v>
      </c>
      <c r="G810" t="s">
        <v>29</v>
      </c>
      <c r="H810" t="s">
        <v>157</v>
      </c>
      <c r="I810" s="1">
        <v>46099.376388888886</v>
      </c>
      <c r="J810" s="1">
        <v>46099.397222222222</v>
      </c>
      <c r="K810" s="1">
        <v>46099.405555555553</v>
      </c>
      <c r="L810" s="1">
        <v>46099.417361111111</v>
      </c>
      <c r="M810" s="1">
        <v>46099.449305555558</v>
      </c>
      <c r="N810" s="1">
        <v>46099.468055555553</v>
      </c>
      <c r="O810">
        <v>3</v>
      </c>
      <c r="P810" t="s">
        <v>37</v>
      </c>
      <c r="Q810" t="s">
        <v>43</v>
      </c>
      <c r="R810" t="s">
        <v>90</v>
      </c>
      <c r="S810" t="s">
        <v>45</v>
      </c>
      <c r="T810">
        <v>2500</v>
      </c>
      <c r="U810" t="s">
        <v>35</v>
      </c>
      <c r="V810" t="s">
        <v>36</v>
      </c>
      <c r="W810">
        <v>1</v>
      </c>
      <c r="X810" t="s">
        <v>37</v>
      </c>
      <c r="Y810">
        <v>5</v>
      </c>
      <c r="Z810" t="s">
        <v>117</v>
      </c>
    </row>
    <row r="811" spans="1:26" hidden="1" x14ac:dyDescent="0.2">
      <c r="A811" t="s">
        <v>1752</v>
      </c>
      <c r="B811" t="s">
        <v>1753</v>
      </c>
      <c r="C811" s="1">
        <v>46055</v>
      </c>
      <c r="D811" t="s">
        <v>242</v>
      </c>
      <c r="E811">
        <v>28</v>
      </c>
      <c r="F811">
        <v>11.3</v>
      </c>
      <c r="G811" t="s">
        <v>76</v>
      </c>
      <c r="H811" t="s">
        <v>157</v>
      </c>
      <c r="I811" s="1">
        <v>46055.277777777781</v>
      </c>
      <c r="J811" s="1">
        <v>46055.284722222219</v>
      </c>
      <c r="K811" s="1">
        <v>46055.311111111114</v>
      </c>
      <c r="L811" s="1">
        <v>46055.318749999999</v>
      </c>
      <c r="M811" s="1">
        <v>46055.32708333333</v>
      </c>
      <c r="N811" s="1">
        <v>46055.347222222219</v>
      </c>
      <c r="O811">
        <v>3</v>
      </c>
      <c r="P811" t="s">
        <v>106</v>
      </c>
      <c r="Q811" t="s">
        <v>82</v>
      </c>
      <c r="R811" t="s">
        <v>33</v>
      </c>
      <c r="S811" t="s">
        <v>84</v>
      </c>
      <c r="T811">
        <v>4000</v>
      </c>
      <c r="U811" t="s">
        <v>35</v>
      </c>
      <c r="V811" t="s">
        <v>59</v>
      </c>
      <c r="W811">
        <v>1</v>
      </c>
      <c r="X811" t="s">
        <v>374</v>
      </c>
      <c r="Y811">
        <v>5</v>
      </c>
      <c r="Z811" t="s">
        <v>102</v>
      </c>
    </row>
    <row r="812" spans="1:26" hidden="1" x14ac:dyDescent="0.2">
      <c r="A812" t="s">
        <v>1754</v>
      </c>
      <c r="B812" t="s">
        <v>1755</v>
      </c>
      <c r="C812" s="1">
        <v>46033</v>
      </c>
      <c r="D812" t="s">
        <v>285</v>
      </c>
      <c r="E812">
        <v>14</v>
      </c>
      <c r="F812">
        <v>6.3</v>
      </c>
      <c r="G812" t="s">
        <v>50</v>
      </c>
      <c r="H812" t="s">
        <v>167</v>
      </c>
      <c r="I812" s="1">
        <v>46033.404166666667</v>
      </c>
      <c r="J812" s="1">
        <v>46033.411111111112</v>
      </c>
      <c r="K812" s="1">
        <v>46033.438194444447</v>
      </c>
      <c r="L812" s="1">
        <v>46033.450694444444</v>
      </c>
      <c r="M812" s="1">
        <v>46033.470833333333</v>
      </c>
      <c r="N812" s="1">
        <v>46033.481249999997</v>
      </c>
      <c r="O812">
        <v>5</v>
      </c>
      <c r="P812" t="s">
        <v>238</v>
      </c>
      <c r="Q812" t="s">
        <v>96</v>
      </c>
      <c r="R812" t="s">
        <v>97</v>
      </c>
      <c r="S812" t="s">
        <v>98</v>
      </c>
      <c r="T812">
        <v>3000</v>
      </c>
      <c r="U812" t="s">
        <v>35</v>
      </c>
      <c r="V812" t="s">
        <v>36</v>
      </c>
      <c r="W812">
        <v>1</v>
      </c>
      <c r="X812" t="s">
        <v>37</v>
      </c>
      <c r="Y812">
        <v>5</v>
      </c>
      <c r="Z812" t="s">
        <v>46</v>
      </c>
    </row>
    <row r="813" spans="1:26" hidden="1" x14ac:dyDescent="0.2">
      <c r="A813" t="s">
        <v>1756</v>
      </c>
      <c r="B813" t="s">
        <v>1757</v>
      </c>
      <c r="C813" s="1">
        <v>46059</v>
      </c>
      <c r="D813" t="s">
        <v>75</v>
      </c>
      <c r="E813">
        <v>15</v>
      </c>
      <c r="F813">
        <v>5.9</v>
      </c>
      <c r="G813" t="s">
        <v>57</v>
      </c>
      <c r="H813" t="s">
        <v>65</v>
      </c>
      <c r="I813" s="1">
        <v>46059.376388888886</v>
      </c>
      <c r="J813" s="1">
        <v>46059.381249999999</v>
      </c>
      <c r="K813" s="1">
        <v>46059.393750000003</v>
      </c>
      <c r="L813" s="1">
        <v>46059.399305555555</v>
      </c>
      <c r="M813" s="1">
        <v>46059.418055555558</v>
      </c>
      <c r="N813" s="1">
        <v>46059.429166666669</v>
      </c>
      <c r="O813">
        <v>5</v>
      </c>
      <c r="P813" t="s">
        <v>115</v>
      </c>
      <c r="Q813" t="s">
        <v>43</v>
      </c>
      <c r="R813" t="s">
        <v>200</v>
      </c>
      <c r="S813" t="s">
        <v>45</v>
      </c>
      <c r="T813">
        <v>2500</v>
      </c>
      <c r="U813" t="s">
        <v>35</v>
      </c>
      <c r="V813" t="s">
        <v>36</v>
      </c>
      <c r="W813">
        <v>1</v>
      </c>
      <c r="X813" t="s">
        <v>37</v>
      </c>
      <c r="Y813">
        <v>3</v>
      </c>
      <c r="Z813" t="s">
        <v>131</v>
      </c>
    </row>
    <row r="814" spans="1:26" hidden="1" x14ac:dyDescent="0.2">
      <c r="A814" t="s">
        <v>1758</v>
      </c>
      <c r="B814" t="s">
        <v>1759</v>
      </c>
      <c r="C814" s="1">
        <v>46054</v>
      </c>
      <c r="D814" t="s">
        <v>154</v>
      </c>
      <c r="E814">
        <v>15</v>
      </c>
      <c r="F814">
        <v>10.1</v>
      </c>
      <c r="G814" t="s">
        <v>81</v>
      </c>
      <c r="H814" t="s">
        <v>42</v>
      </c>
      <c r="I814" s="1">
        <v>46054.253472222219</v>
      </c>
      <c r="J814" s="1">
        <v>46054.268055555556</v>
      </c>
      <c r="K814" s="1">
        <v>46054.319444444445</v>
      </c>
      <c r="L814" s="1">
        <v>46054.323611111111</v>
      </c>
      <c r="M814" s="1">
        <v>46054.347916666666</v>
      </c>
      <c r="N814" s="1">
        <v>46054.356944444444</v>
      </c>
      <c r="O814">
        <v>2</v>
      </c>
      <c r="P814" t="s">
        <v>106</v>
      </c>
      <c r="Q814" t="s">
        <v>32</v>
      </c>
      <c r="R814" t="s">
        <v>66</v>
      </c>
      <c r="S814" t="s">
        <v>34</v>
      </c>
      <c r="T814">
        <v>5000</v>
      </c>
      <c r="U814" t="s">
        <v>35</v>
      </c>
      <c r="V814" t="s">
        <v>36</v>
      </c>
      <c r="W814">
        <v>1</v>
      </c>
      <c r="X814" t="s">
        <v>37</v>
      </c>
      <c r="Y814">
        <v>4</v>
      </c>
      <c r="Z814" t="s">
        <v>99</v>
      </c>
    </row>
    <row r="815" spans="1:26" hidden="1" x14ac:dyDescent="0.2">
      <c r="A815" t="s">
        <v>1760</v>
      </c>
      <c r="B815" t="s">
        <v>1761</v>
      </c>
      <c r="C815" s="1">
        <v>46058</v>
      </c>
      <c r="D815" t="s">
        <v>225</v>
      </c>
      <c r="E815">
        <v>16</v>
      </c>
      <c r="F815">
        <v>9.6999999999999993</v>
      </c>
      <c r="G815" t="s">
        <v>57</v>
      </c>
      <c r="H815" t="s">
        <v>95</v>
      </c>
      <c r="I815" s="1">
        <v>46058.363194444442</v>
      </c>
      <c r="J815" s="1">
        <v>46058.379861111112</v>
      </c>
      <c r="K815" s="1">
        <v>46058.390277777777</v>
      </c>
      <c r="L815" s="1">
        <v>46058.395138888889</v>
      </c>
      <c r="M815" s="1">
        <v>46058.418749999997</v>
      </c>
      <c r="N815" s="1">
        <v>46058.427777777775</v>
      </c>
      <c r="O815">
        <v>1</v>
      </c>
      <c r="P815" t="s">
        <v>37</v>
      </c>
      <c r="Q815" t="s">
        <v>82</v>
      </c>
      <c r="R815" t="s">
        <v>214</v>
      </c>
      <c r="S815" t="s">
        <v>84</v>
      </c>
      <c r="T815">
        <v>4000</v>
      </c>
      <c r="U815" t="s">
        <v>35</v>
      </c>
      <c r="V815" t="s">
        <v>36</v>
      </c>
      <c r="W815">
        <v>1</v>
      </c>
      <c r="X815" t="s">
        <v>37</v>
      </c>
      <c r="Y815">
        <v>5</v>
      </c>
      <c r="Z815" t="s">
        <v>131</v>
      </c>
    </row>
    <row r="816" spans="1:26" hidden="1" x14ac:dyDescent="0.2">
      <c r="A816" t="s">
        <v>1762</v>
      </c>
      <c r="B816" t="s">
        <v>1763</v>
      </c>
      <c r="C816" s="1">
        <v>46074</v>
      </c>
      <c r="D816" t="s">
        <v>145</v>
      </c>
      <c r="E816">
        <v>38</v>
      </c>
      <c r="F816">
        <v>6.8</v>
      </c>
      <c r="G816" t="s">
        <v>81</v>
      </c>
      <c r="H816" t="s">
        <v>65</v>
      </c>
      <c r="I816" s="1">
        <v>46074.377083333333</v>
      </c>
      <c r="J816" s="1">
        <v>46074.396527777775</v>
      </c>
      <c r="K816" s="1">
        <v>46074.438888888886</v>
      </c>
      <c r="L816" s="1">
        <v>46074.447916666664</v>
      </c>
      <c r="M816" s="1">
        <v>46074.477777777778</v>
      </c>
      <c r="N816" s="1">
        <v>46074.499305555553</v>
      </c>
      <c r="O816">
        <v>2</v>
      </c>
      <c r="P816" t="s">
        <v>37</v>
      </c>
      <c r="Q816" t="s">
        <v>69</v>
      </c>
      <c r="R816" t="s">
        <v>70</v>
      </c>
      <c r="S816" t="s">
        <v>71</v>
      </c>
      <c r="T816">
        <v>2000</v>
      </c>
      <c r="U816" t="s">
        <v>35</v>
      </c>
      <c r="V816" t="s">
        <v>36</v>
      </c>
      <c r="W816">
        <v>1</v>
      </c>
      <c r="X816" t="s">
        <v>37</v>
      </c>
      <c r="Y816">
        <v>3</v>
      </c>
      <c r="Z816" t="s">
        <v>215</v>
      </c>
    </row>
    <row r="817" spans="1:26" hidden="1" x14ac:dyDescent="0.2">
      <c r="A817" t="s">
        <v>1764</v>
      </c>
      <c r="B817" t="s">
        <v>1765</v>
      </c>
      <c r="C817" s="1">
        <v>46061</v>
      </c>
      <c r="D817" t="s">
        <v>28</v>
      </c>
      <c r="E817">
        <v>29</v>
      </c>
      <c r="F817">
        <v>7</v>
      </c>
      <c r="G817" t="s">
        <v>76</v>
      </c>
      <c r="H817" t="s">
        <v>51</v>
      </c>
      <c r="I817" s="1">
        <v>46061.305555555555</v>
      </c>
      <c r="J817" s="1">
        <v>46061.319444444445</v>
      </c>
      <c r="K817" s="1">
        <v>46061.34375</v>
      </c>
      <c r="L817" s="1">
        <v>46061.347222222219</v>
      </c>
      <c r="M817" s="1">
        <v>46061.363194444442</v>
      </c>
      <c r="N817" s="1">
        <v>46061.385416666664</v>
      </c>
      <c r="O817">
        <v>7</v>
      </c>
      <c r="P817" t="s">
        <v>37</v>
      </c>
      <c r="Q817" t="s">
        <v>69</v>
      </c>
      <c r="R817" t="s">
        <v>70</v>
      </c>
      <c r="S817" t="s">
        <v>71</v>
      </c>
      <c r="T817">
        <v>2000</v>
      </c>
      <c r="U817" t="s">
        <v>35</v>
      </c>
      <c r="V817" t="s">
        <v>59</v>
      </c>
      <c r="W817">
        <v>2</v>
      </c>
      <c r="X817" t="s">
        <v>60</v>
      </c>
      <c r="Y817">
        <v>5</v>
      </c>
      <c r="Z817" t="s">
        <v>168</v>
      </c>
    </row>
    <row r="818" spans="1:26" x14ac:dyDescent="0.2">
      <c r="A818" t="s">
        <v>1766</v>
      </c>
      <c r="B818" t="s">
        <v>1767</v>
      </c>
      <c r="C818" s="1">
        <v>46041</v>
      </c>
      <c r="D818" t="s">
        <v>178</v>
      </c>
      <c r="E818">
        <v>21</v>
      </c>
      <c r="F818">
        <v>7.9</v>
      </c>
      <c r="G818" t="s">
        <v>50</v>
      </c>
      <c r="H818" t="s">
        <v>30</v>
      </c>
      <c r="I818" s="1">
        <v>46041.332638888889</v>
      </c>
      <c r="J818" s="1">
        <v>46041.34375</v>
      </c>
      <c r="K818" s="1">
        <v>46041.368750000001</v>
      </c>
      <c r="L818" s="1">
        <v>46041.381944444445</v>
      </c>
      <c r="M818" s="1">
        <v>46041.394444444442</v>
      </c>
      <c r="N818" s="1">
        <v>46041.415972222225</v>
      </c>
      <c r="O818">
        <v>1</v>
      </c>
      <c r="P818" t="s">
        <v>106</v>
      </c>
      <c r="Q818" t="s">
        <v>82</v>
      </c>
      <c r="R818" t="s">
        <v>214</v>
      </c>
      <c r="S818" t="s">
        <v>84</v>
      </c>
      <c r="T818">
        <v>4000</v>
      </c>
      <c r="U818" t="s">
        <v>35</v>
      </c>
      <c r="V818" t="s">
        <v>59</v>
      </c>
      <c r="W818">
        <v>3</v>
      </c>
      <c r="X818" t="s">
        <v>353</v>
      </c>
      <c r="Y818">
        <v>2</v>
      </c>
      <c r="Z818" t="s">
        <v>72</v>
      </c>
    </row>
    <row r="819" spans="1:26" x14ac:dyDescent="0.2">
      <c r="A819" t="s">
        <v>1768</v>
      </c>
      <c r="B819" t="s">
        <v>1769</v>
      </c>
      <c r="C819" s="1">
        <v>46106</v>
      </c>
      <c r="D819" t="s">
        <v>230</v>
      </c>
      <c r="E819">
        <v>23</v>
      </c>
      <c r="F819">
        <v>6.8</v>
      </c>
      <c r="G819" t="s">
        <v>81</v>
      </c>
      <c r="H819" t="s">
        <v>65</v>
      </c>
      <c r="I819" s="1">
        <v>46106.334722222222</v>
      </c>
      <c r="J819" s="1">
        <v>46106.338888888888</v>
      </c>
      <c r="K819" s="1">
        <v>46106.388194444444</v>
      </c>
      <c r="L819" s="1">
        <v>46106.393055555556</v>
      </c>
      <c r="M819" s="1">
        <v>46106.415277777778</v>
      </c>
      <c r="N819" s="1">
        <v>46106.433333333334</v>
      </c>
      <c r="O819">
        <v>2</v>
      </c>
      <c r="P819" t="s">
        <v>37</v>
      </c>
      <c r="Q819" t="s">
        <v>43</v>
      </c>
      <c r="R819" t="s">
        <v>90</v>
      </c>
      <c r="S819" t="s">
        <v>45</v>
      </c>
      <c r="T819">
        <v>2500</v>
      </c>
      <c r="U819" t="s">
        <v>35</v>
      </c>
      <c r="V819" t="s">
        <v>36</v>
      </c>
      <c r="W819">
        <v>1</v>
      </c>
      <c r="X819" t="s">
        <v>37</v>
      </c>
      <c r="Y819">
        <v>2</v>
      </c>
      <c r="Z819" t="s">
        <v>38</v>
      </c>
    </row>
    <row r="820" spans="1:26" x14ac:dyDescent="0.2">
      <c r="A820" t="s">
        <v>1770</v>
      </c>
      <c r="B820" t="s">
        <v>1771</v>
      </c>
      <c r="C820" s="1">
        <v>46057</v>
      </c>
      <c r="D820" t="s">
        <v>110</v>
      </c>
      <c r="E820">
        <v>38</v>
      </c>
      <c r="F820">
        <v>7</v>
      </c>
      <c r="G820" t="s">
        <v>50</v>
      </c>
      <c r="H820" t="s">
        <v>157</v>
      </c>
      <c r="I820" s="1">
        <v>46057.309027777781</v>
      </c>
      <c r="J820" s="1">
        <v>46057.329861111109</v>
      </c>
      <c r="K820" s="1">
        <v>46057.390972222223</v>
      </c>
      <c r="L820" s="1">
        <v>46057.404166666667</v>
      </c>
      <c r="M820" s="1">
        <v>46057.426388888889</v>
      </c>
      <c r="N820" s="1">
        <v>46057.456944444442</v>
      </c>
      <c r="O820">
        <v>3</v>
      </c>
      <c r="P820" t="s">
        <v>37</v>
      </c>
      <c r="Q820" t="s">
        <v>32</v>
      </c>
      <c r="R820" t="s">
        <v>120</v>
      </c>
      <c r="S820" t="s">
        <v>34</v>
      </c>
      <c r="T820">
        <v>5000</v>
      </c>
      <c r="U820" t="s">
        <v>35</v>
      </c>
      <c r="V820" t="s">
        <v>36</v>
      </c>
      <c r="W820">
        <v>1</v>
      </c>
      <c r="X820" t="s">
        <v>37</v>
      </c>
      <c r="Y820">
        <v>2</v>
      </c>
      <c r="Z820" t="s">
        <v>72</v>
      </c>
    </row>
    <row r="821" spans="1:26" hidden="1" x14ac:dyDescent="0.2">
      <c r="A821" t="s">
        <v>1772</v>
      </c>
      <c r="B821" t="s">
        <v>1773</v>
      </c>
      <c r="C821" s="1">
        <v>46078</v>
      </c>
      <c r="D821" t="s">
        <v>137</v>
      </c>
      <c r="E821">
        <v>40</v>
      </c>
      <c r="F821">
        <v>9.8000000000000007</v>
      </c>
      <c r="G821" t="s">
        <v>81</v>
      </c>
      <c r="H821" t="s">
        <v>65</v>
      </c>
      <c r="I821" s="1">
        <v>46078.261805555558</v>
      </c>
      <c r="J821" s="1">
        <v>46078.268055555556</v>
      </c>
      <c r="K821" s="1">
        <v>46078.308333333334</v>
      </c>
      <c r="L821" s="1">
        <v>46078.318749999999</v>
      </c>
      <c r="M821" s="1">
        <v>46078.354861111111</v>
      </c>
      <c r="N821" s="1">
        <v>46078.37777777778</v>
      </c>
      <c r="O821">
        <v>6</v>
      </c>
      <c r="P821" t="s">
        <v>37</v>
      </c>
      <c r="Q821" t="s">
        <v>69</v>
      </c>
      <c r="R821" t="s">
        <v>111</v>
      </c>
      <c r="S821" t="s">
        <v>71</v>
      </c>
      <c r="T821">
        <v>2000</v>
      </c>
      <c r="U821" t="s">
        <v>35</v>
      </c>
      <c r="V821" t="s">
        <v>36</v>
      </c>
      <c r="W821">
        <v>1</v>
      </c>
      <c r="X821" t="s">
        <v>37</v>
      </c>
      <c r="Y821">
        <v>5</v>
      </c>
      <c r="Z821" t="s">
        <v>117</v>
      </c>
    </row>
    <row r="822" spans="1:26" hidden="1" x14ac:dyDescent="0.2">
      <c r="A822" t="s">
        <v>1774</v>
      </c>
      <c r="B822" t="s">
        <v>1775</v>
      </c>
      <c r="C822" s="1">
        <v>46072</v>
      </c>
      <c r="D822" t="s">
        <v>49</v>
      </c>
      <c r="E822">
        <v>7</v>
      </c>
      <c r="F822">
        <v>4.4000000000000004</v>
      </c>
      <c r="G822" t="s">
        <v>29</v>
      </c>
      <c r="H822" t="s">
        <v>95</v>
      </c>
      <c r="I822" s="1">
        <v>46072.28402777778</v>
      </c>
      <c r="J822" s="1">
        <v>46072.296527777777</v>
      </c>
      <c r="K822" s="1">
        <v>46072.353472222225</v>
      </c>
      <c r="L822" s="1">
        <v>46072.361111111109</v>
      </c>
      <c r="M822" s="1">
        <v>46072.386111111111</v>
      </c>
      <c r="N822" s="1">
        <v>46072.395833333336</v>
      </c>
      <c r="O822">
        <v>4</v>
      </c>
      <c r="P822" t="s">
        <v>37</v>
      </c>
      <c r="Q822" t="s">
        <v>43</v>
      </c>
      <c r="R822" t="s">
        <v>158</v>
      </c>
      <c r="S822" t="s">
        <v>45</v>
      </c>
      <c r="T822">
        <v>2500</v>
      </c>
      <c r="U822" t="s">
        <v>35</v>
      </c>
      <c r="V822" t="s">
        <v>59</v>
      </c>
      <c r="W822">
        <v>1</v>
      </c>
      <c r="X822" t="s">
        <v>116</v>
      </c>
      <c r="Y822">
        <v>3</v>
      </c>
      <c r="Z822" t="s">
        <v>102</v>
      </c>
    </row>
    <row r="823" spans="1:26" hidden="1" x14ac:dyDescent="0.2">
      <c r="A823" t="s">
        <v>1776</v>
      </c>
      <c r="B823" t="s">
        <v>1777</v>
      </c>
      <c r="C823" s="1">
        <v>46084</v>
      </c>
      <c r="D823" t="s">
        <v>154</v>
      </c>
      <c r="E823">
        <v>34</v>
      </c>
      <c r="F823">
        <v>11.3</v>
      </c>
      <c r="G823" t="s">
        <v>57</v>
      </c>
      <c r="H823" t="s">
        <v>30</v>
      </c>
      <c r="I823" s="1">
        <v>46084.337500000001</v>
      </c>
      <c r="J823" s="1">
        <v>46084.343055555553</v>
      </c>
      <c r="K823" s="1">
        <v>46084.356944444444</v>
      </c>
      <c r="L823" s="1">
        <v>46084.370138888888</v>
      </c>
      <c r="M823" s="1">
        <v>46084.39166666667</v>
      </c>
      <c r="N823" s="1">
        <v>46084.422222222223</v>
      </c>
      <c r="O823">
        <v>6</v>
      </c>
      <c r="P823" t="s">
        <v>37</v>
      </c>
      <c r="Q823" t="s">
        <v>32</v>
      </c>
      <c r="R823" t="s">
        <v>120</v>
      </c>
      <c r="S823" t="s">
        <v>34</v>
      </c>
      <c r="T823">
        <v>5000</v>
      </c>
      <c r="U823" t="s">
        <v>35</v>
      </c>
      <c r="V823" t="s">
        <v>59</v>
      </c>
      <c r="W823">
        <v>3</v>
      </c>
      <c r="X823" t="s">
        <v>374</v>
      </c>
      <c r="Y823">
        <v>4</v>
      </c>
      <c r="Z823" t="s">
        <v>86</v>
      </c>
    </row>
    <row r="824" spans="1:26" hidden="1" x14ac:dyDescent="0.2">
      <c r="A824" t="s">
        <v>1778</v>
      </c>
      <c r="B824" t="s">
        <v>1779</v>
      </c>
      <c r="C824" s="1">
        <v>46103</v>
      </c>
      <c r="D824" t="s">
        <v>94</v>
      </c>
      <c r="E824">
        <v>14</v>
      </c>
      <c r="F824">
        <v>9.3000000000000007</v>
      </c>
      <c r="G824" t="s">
        <v>81</v>
      </c>
      <c r="H824" t="s">
        <v>65</v>
      </c>
      <c r="I824" s="1">
        <v>46103.370833333334</v>
      </c>
      <c r="J824" s="1">
        <v>46103.379861111112</v>
      </c>
      <c r="K824" s="1">
        <v>46103.439583333333</v>
      </c>
      <c r="L824" s="1">
        <v>46103.447916666664</v>
      </c>
      <c r="M824" s="1">
        <v>46103.464583333334</v>
      </c>
      <c r="N824" s="1">
        <v>46103.46875</v>
      </c>
      <c r="O824">
        <v>4</v>
      </c>
      <c r="P824" t="s">
        <v>37</v>
      </c>
      <c r="Q824" t="s">
        <v>96</v>
      </c>
      <c r="R824" t="s">
        <v>130</v>
      </c>
      <c r="S824" t="s">
        <v>98</v>
      </c>
      <c r="T824">
        <v>3000</v>
      </c>
      <c r="U824" t="s">
        <v>35</v>
      </c>
      <c r="V824" t="s">
        <v>36</v>
      </c>
      <c r="W824">
        <v>1</v>
      </c>
      <c r="X824" t="s">
        <v>37</v>
      </c>
      <c r="Y824">
        <v>4</v>
      </c>
      <c r="Z824" t="s">
        <v>38</v>
      </c>
    </row>
    <row r="825" spans="1:26" hidden="1" x14ac:dyDescent="0.2">
      <c r="A825" t="s">
        <v>1780</v>
      </c>
      <c r="B825" t="s">
        <v>1781</v>
      </c>
      <c r="C825" s="1">
        <v>46029</v>
      </c>
      <c r="D825" t="s">
        <v>254</v>
      </c>
      <c r="E825">
        <v>11</v>
      </c>
      <c r="F825">
        <v>10.6</v>
      </c>
      <c r="G825" t="s">
        <v>81</v>
      </c>
      <c r="H825" t="s">
        <v>95</v>
      </c>
      <c r="I825" s="1">
        <v>46029.4</v>
      </c>
      <c r="J825" s="1">
        <v>46029.42083333333</v>
      </c>
      <c r="K825" s="1">
        <v>46029.447222222225</v>
      </c>
      <c r="L825" s="1">
        <v>46029.455555555556</v>
      </c>
      <c r="M825" s="1">
        <v>46029.482638888891</v>
      </c>
      <c r="N825" s="1">
        <v>46029.492361111108</v>
      </c>
      <c r="O825">
        <v>1</v>
      </c>
      <c r="P825" t="s">
        <v>37</v>
      </c>
      <c r="Q825" t="s">
        <v>96</v>
      </c>
      <c r="R825" t="s">
        <v>214</v>
      </c>
      <c r="S825" t="s">
        <v>98</v>
      </c>
      <c r="T825">
        <v>3000</v>
      </c>
      <c r="U825" t="s">
        <v>35</v>
      </c>
      <c r="V825" t="s">
        <v>36</v>
      </c>
      <c r="W825">
        <v>1</v>
      </c>
      <c r="X825" t="s">
        <v>37</v>
      </c>
      <c r="Y825">
        <v>4</v>
      </c>
      <c r="Z825" t="s">
        <v>215</v>
      </c>
    </row>
    <row r="826" spans="1:26" hidden="1" x14ac:dyDescent="0.2">
      <c r="A826" t="s">
        <v>1782</v>
      </c>
      <c r="B826" t="s">
        <v>1783</v>
      </c>
      <c r="C826" s="1">
        <v>46061</v>
      </c>
      <c r="D826" t="s">
        <v>89</v>
      </c>
      <c r="E826">
        <v>35</v>
      </c>
      <c r="F826">
        <v>11.6</v>
      </c>
      <c r="G826" t="s">
        <v>29</v>
      </c>
      <c r="H826" t="s">
        <v>42</v>
      </c>
      <c r="I826" s="1">
        <v>46061.305555555555</v>
      </c>
      <c r="J826" s="1">
        <v>46061.30972222222</v>
      </c>
      <c r="K826" s="1">
        <v>46061.354861111111</v>
      </c>
      <c r="L826" s="1">
        <v>46061.366666666669</v>
      </c>
      <c r="M826" s="1">
        <v>46061.392361111109</v>
      </c>
      <c r="N826" s="1">
        <v>46061.402083333334</v>
      </c>
      <c r="O826">
        <v>4</v>
      </c>
      <c r="P826" t="s">
        <v>37</v>
      </c>
      <c r="Q826" t="s">
        <v>82</v>
      </c>
      <c r="R826" t="s">
        <v>83</v>
      </c>
      <c r="S826" t="s">
        <v>84</v>
      </c>
      <c r="T826">
        <v>4000</v>
      </c>
      <c r="U826" t="s">
        <v>35</v>
      </c>
      <c r="V826" t="s">
        <v>59</v>
      </c>
      <c r="W826">
        <v>1</v>
      </c>
      <c r="X826" t="s">
        <v>353</v>
      </c>
      <c r="Y826">
        <v>3</v>
      </c>
      <c r="Z826" t="s">
        <v>86</v>
      </c>
    </row>
    <row r="827" spans="1:26" x14ac:dyDescent="0.2">
      <c r="A827" t="s">
        <v>1784</v>
      </c>
      <c r="B827" t="s">
        <v>1785</v>
      </c>
      <c r="C827" s="1">
        <v>46073</v>
      </c>
      <c r="D827" t="s">
        <v>254</v>
      </c>
      <c r="E827">
        <v>32</v>
      </c>
      <c r="F827">
        <v>10.8</v>
      </c>
      <c r="G827" t="s">
        <v>76</v>
      </c>
      <c r="H827" t="s">
        <v>95</v>
      </c>
      <c r="I827" s="1">
        <v>46073.35833333333</v>
      </c>
      <c r="J827" s="1">
        <v>46073.379166666666</v>
      </c>
      <c r="K827" s="1">
        <v>46073.400694444441</v>
      </c>
      <c r="L827" s="1">
        <v>46073.411111111112</v>
      </c>
      <c r="M827" s="1">
        <v>46073.425000000003</v>
      </c>
      <c r="N827" s="1">
        <v>46073.454861111109</v>
      </c>
      <c r="O827">
        <v>3</v>
      </c>
      <c r="P827" t="s">
        <v>37</v>
      </c>
      <c r="Q827" t="s">
        <v>82</v>
      </c>
      <c r="R827" t="s">
        <v>214</v>
      </c>
      <c r="S827" t="s">
        <v>84</v>
      </c>
      <c r="T827">
        <v>4000</v>
      </c>
      <c r="U827" t="s">
        <v>35</v>
      </c>
      <c r="V827" t="s">
        <v>36</v>
      </c>
      <c r="W827">
        <v>1</v>
      </c>
      <c r="X827" t="s">
        <v>37</v>
      </c>
      <c r="Y827">
        <v>2</v>
      </c>
      <c r="Z827" t="s">
        <v>38</v>
      </c>
    </row>
    <row r="828" spans="1:26" hidden="1" x14ac:dyDescent="0.2">
      <c r="A828" t="s">
        <v>1786</v>
      </c>
      <c r="B828" t="s">
        <v>1787</v>
      </c>
      <c r="C828" s="1">
        <v>46042</v>
      </c>
      <c r="D828" t="s">
        <v>75</v>
      </c>
      <c r="E828">
        <v>10</v>
      </c>
      <c r="F828">
        <v>11.5</v>
      </c>
      <c r="G828" t="s">
        <v>57</v>
      </c>
      <c r="H828" t="s">
        <v>51</v>
      </c>
      <c r="I828" s="1">
        <v>46042.25</v>
      </c>
      <c r="J828" s="1">
        <v>46042.263888888891</v>
      </c>
      <c r="K828" s="1">
        <v>46042.286111111112</v>
      </c>
      <c r="L828" s="1">
        <v>46042.290277777778</v>
      </c>
      <c r="M828" s="1">
        <v>46042.302777777775</v>
      </c>
      <c r="N828" s="1">
        <v>46042.318749999999</v>
      </c>
      <c r="O828">
        <v>7</v>
      </c>
      <c r="P828" t="s">
        <v>37</v>
      </c>
      <c r="Q828" t="s">
        <v>43</v>
      </c>
      <c r="R828" t="s">
        <v>200</v>
      </c>
      <c r="S828" t="s">
        <v>45</v>
      </c>
      <c r="T828">
        <v>2500</v>
      </c>
      <c r="U828" t="s">
        <v>35</v>
      </c>
      <c r="V828" t="s">
        <v>59</v>
      </c>
      <c r="W828">
        <v>3</v>
      </c>
      <c r="X828" t="s">
        <v>60</v>
      </c>
      <c r="Y828">
        <v>4</v>
      </c>
      <c r="Z828" t="s">
        <v>102</v>
      </c>
    </row>
    <row r="829" spans="1:26" hidden="1" x14ac:dyDescent="0.2">
      <c r="A829" t="s">
        <v>1788</v>
      </c>
      <c r="B829" t="s">
        <v>1789</v>
      </c>
      <c r="C829" s="1">
        <v>46062</v>
      </c>
      <c r="D829" t="s">
        <v>289</v>
      </c>
      <c r="E829">
        <v>10</v>
      </c>
      <c r="F829">
        <v>11.9</v>
      </c>
      <c r="G829" t="s">
        <v>81</v>
      </c>
      <c r="H829" t="s">
        <v>51</v>
      </c>
      <c r="I829" s="1">
        <v>46062.395833333336</v>
      </c>
      <c r="J829" s="1">
        <v>46062.40347222222</v>
      </c>
      <c r="K829" s="1">
        <v>46062.425000000003</v>
      </c>
      <c r="L829" s="1">
        <v>46062.436805555553</v>
      </c>
      <c r="M829" s="1">
        <v>46062.465277777781</v>
      </c>
      <c r="N829" s="1">
        <v>46062.472916666666</v>
      </c>
      <c r="O829">
        <v>3</v>
      </c>
      <c r="P829" t="s">
        <v>37</v>
      </c>
      <c r="Q829" t="s">
        <v>32</v>
      </c>
      <c r="R829" t="s">
        <v>107</v>
      </c>
      <c r="S829" t="s">
        <v>34</v>
      </c>
      <c r="T829">
        <v>5000</v>
      </c>
      <c r="U829" t="s">
        <v>35</v>
      </c>
      <c r="V829" t="s">
        <v>36</v>
      </c>
      <c r="W829">
        <v>1</v>
      </c>
      <c r="X829" t="s">
        <v>37</v>
      </c>
      <c r="Y829">
        <v>5</v>
      </c>
      <c r="Z829" t="s">
        <v>161</v>
      </c>
    </row>
    <row r="830" spans="1:26" hidden="1" x14ac:dyDescent="0.2">
      <c r="A830" t="s">
        <v>1790</v>
      </c>
      <c r="B830" t="s">
        <v>1791</v>
      </c>
      <c r="C830" s="1">
        <v>46031</v>
      </c>
      <c r="D830" t="s">
        <v>225</v>
      </c>
      <c r="E830">
        <v>15</v>
      </c>
      <c r="F830">
        <v>9.1</v>
      </c>
      <c r="G830" t="s">
        <v>81</v>
      </c>
      <c r="H830" t="s">
        <v>51</v>
      </c>
      <c r="I830" s="1">
        <v>46031.338194444441</v>
      </c>
      <c r="J830" s="1">
        <v>46031.354861111111</v>
      </c>
      <c r="K830" s="1">
        <v>46031.381249999999</v>
      </c>
      <c r="L830" s="1">
        <v>46031.390972222223</v>
      </c>
      <c r="M830" s="1">
        <v>46031.399305555555</v>
      </c>
      <c r="N830" s="1">
        <v>46031.420138888891</v>
      </c>
      <c r="O830">
        <v>7</v>
      </c>
      <c r="P830" t="s">
        <v>37</v>
      </c>
      <c r="Q830" t="s">
        <v>69</v>
      </c>
      <c r="R830" t="s">
        <v>251</v>
      </c>
      <c r="S830" t="s">
        <v>71</v>
      </c>
      <c r="T830">
        <v>2000</v>
      </c>
      <c r="U830" t="s">
        <v>35</v>
      </c>
      <c r="V830" t="s">
        <v>36</v>
      </c>
      <c r="W830">
        <v>1</v>
      </c>
      <c r="X830" t="s">
        <v>37</v>
      </c>
      <c r="Y830">
        <v>4</v>
      </c>
      <c r="Z830" t="s">
        <v>131</v>
      </c>
    </row>
    <row r="831" spans="1:26" hidden="1" x14ac:dyDescent="0.2">
      <c r="A831" t="s">
        <v>1792</v>
      </c>
      <c r="B831" t="s">
        <v>1793</v>
      </c>
      <c r="C831" s="1">
        <v>46060</v>
      </c>
      <c r="D831" t="s">
        <v>105</v>
      </c>
      <c r="E831">
        <v>20</v>
      </c>
      <c r="F831">
        <v>10.4</v>
      </c>
      <c r="G831" t="s">
        <v>76</v>
      </c>
      <c r="H831" t="s">
        <v>30</v>
      </c>
      <c r="I831" s="1">
        <v>46060.307638888888</v>
      </c>
      <c r="J831" s="1">
        <v>46060.31527777778</v>
      </c>
      <c r="K831" s="1">
        <v>46060.343055555553</v>
      </c>
      <c r="L831" s="1">
        <v>46060.356249999997</v>
      </c>
      <c r="M831" s="1">
        <v>46060.369444444441</v>
      </c>
      <c r="N831" s="1">
        <v>46060.379166666666</v>
      </c>
      <c r="O831">
        <v>1</v>
      </c>
      <c r="P831" t="s">
        <v>31</v>
      </c>
      <c r="Q831" t="s">
        <v>43</v>
      </c>
      <c r="R831" t="s">
        <v>200</v>
      </c>
      <c r="S831" t="s">
        <v>45</v>
      </c>
      <c r="T831">
        <v>2500</v>
      </c>
      <c r="U831" t="s">
        <v>35</v>
      </c>
      <c r="V831" t="s">
        <v>36</v>
      </c>
      <c r="W831">
        <v>1</v>
      </c>
      <c r="X831" t="s">
        <v>37</v>
      </c>
      <c r="Y831">
        <v>5</v>
      </c>
      <c r="Z831" t="s">
        <v>296</v>
      </c>
    </row>
    <row r="832" spans="1:26" hidden="1" x14ac:dyDescent="0.2">
      <c r="A832" t="s">
        <v>1794</v>
      </c>
      <c r="B832" t="s">
        <v>1795</v>
      </c>
      <c r="C832" s="1">
        <v>46032</v>
      </c>
      <c r="D832" t="s">
        <v>149</v>
      </c>
      <c r="E832">
        <v>20</v>
      </c>
      <c r="F832">
        <v>9.6999999999999993</v>
      </c>
      <c r="G832" t="s">
        <v>50</v>
      </c>
      <c r="H832" t="s">
        <v>157</v>
      </c>
      <c r="I832" s="1">
        <v>46032.271527777775</v>
      </c>
      <c r="J832" s="1">
        <v>46032.288888888892</v>
      </c>
      <c r="K832" s="1">
        <v>46032.344444444447</v>
      </c>
      <c r="L832" s="1">
        <v>46032.354166666664</v>
      </c>
      <c r="M832" s="1">
        <v>46032.392361111109</v>
      </c>
      <c r="N832" s="1">
        <v>46032.404861111114</v>
      </c>
      <c r="O832">
        <v>4</v>
      </c>
      <c r="P832" t="s">
        <v>37</v>
      </c>
      <c r="Q832" t="s">
        <v>96</v>
      </c>
      <c r="R832" t="s">
        <v>214</v>
      </c>
      <c r="S832" t="s">
        <v>98</v>
      </c>
      <c r="T832">
        <v>3000</v>
      </c>
      <c r="U832" t="s">
        <v>35</v>
      </c>
      <c r="V832" t="s">
        <v>36</v>
      </c>
      <c r="W832">
        <v>1</v>
      </c>
      <c r="X832" t="s">
        <v>37</v>
      </c>
      <c r="Y832">
        <v>4</v>
      </c>
      <c r="Z832" t="s">
        <v>102</v>
      </c>
    </row>
    <row r="833" spans="1:26" hidden="1" x14ac:dyDescent="0.2">
      <c r="A833" t="s">
        <v>1796</v>
      </c>
      <c r="B833" t="s">
        <v>1797</v>
      </c>
      <c r="C833" s="1">
        <v>46055</v>
      </c>
      <c r="D833" t="s">
        <v>220</v>
      </c>
      <c r="E833">
        <v>36</v>
      </c>
      <c r="F833">
        <v>7.7</v>
      </c>
      <c r="G833" t="s">
        <v>50</v>
      </c>
      <c r="H833" t="s">
        <v>42</v>
      </c>
      <c r="I833" s="1">
        <v>46055.375694444447</v>
      </c>
      <c r="J833" s="1">
        <v>46055.386111111111</v>
      </c>
      <c r="K833" s="1">
        <v>46055.432638888888</v>
      </c>
      <c r="L833" s="1">
        <v>46055.438888888886</v>
      </c>
      <c r="M833" s="1">
        <v>46055.459722222222</v>
      </c>
      <c r="N833" s="1">
        <v>46055.481944444444</v>
      </c>
      <c r="O833">
        <v>6</v>
      </c>
      <c r="P833" t="s">
        <v>37</v>
      </c>
      <c r="Q833" t="s">
        <v>82</v>
      </c>
      <c r="R833" t="s">
        <v>239</v>
      </c>
      <c r="S833" t="s">
        <v>84</v>
      </c>
      <c r="T833">
        <v>4000</v>
      </c>
      <c r="U833" t="s">
        <v>35</v>
      </c>
      <c r="V833" t="s">
        <v>36</v>
      </c>
      <c r="W833">
        <v>1</v>
      </c>
      <c r="X833" t="s">
        <v>37</v>
      </c>
      <c r="Y833">
        <v>5</v>
      </c>
      <c r="Z833" t="s">
        <v>102</v>
      </c>
    </row>
    <row r="834" spans="1:26" hidden="1" x14ac:dyDescent="0.2">
      <c r="A834" t="s">
        <v>1798</v>
      </c>
      <c r="B834" t="s">
        <v>1799</v>
      </c>
      <c r="C834" s="1">
        <v>46055</v>
      </c>
      <c r="D834" t="s">
        <v>181</v>
      </c>
      <c r="E834">
        <v>26</v>
      </c>
      <c r="F834">
        <v>5.2</v>
      </c>
      <c r="G834" t="s">
        <v>57</v>
      </c>
      <c r="H834" t="s">
        <v>95</v>
      </c>
      <c r="I834" s="1">
        <v>46055.34097222222</v>
      </c>
      <c r="J834" s="1">
        <v>46055.357638888891</v>
      </c>
      <c r="K834" s="1">
        <v>46055.408333333333</v>
      </c>
      <c r="L834" s="1">
        <v>46055.417361111111</v>
      </c>
      <c r="M834" s="1">
        <v>46055.432638888888</v>
      </c>
      <c r="N834" s="1">
        <v>46055.443749999999</v>
      </c>
      <c r="O834">
        <v>4</v>
      </c>
      <c r="P834" t="s">
        <v>238</v>
      </c>
      <c r="Q834" t="s">
        <v>32</v>
      </c>
      <c r="R834" t="s">
        <v>53</v>
      </c>
      <c r="S834" t="s">
        <v>34</v>
      </c>
      <c r="T834">
        <v>5000</v>
      </c>
      <c r="U834" t="s">
        <v>35</v>
      </c>
      <c r="V834" t="s">
        <v>36</v>
      </c>
      <c r="W834">
        <v>1</v>
      </c>
      <c r="X834" t="s">
        <v>37</v>
      </c>
      <c r="Y834">
        <v>5</v>
      </c>
      <c r="Z834" t="s">
        <v>99</v>
      </c>
    </row>
    <row r="835" spans="1:26" hidden="1" x14ac:dyDescent="0.2">
      <c r="A835" t="s">
        <v>1800</v>
      </c>
      <c r="B835" t="s">
        <v>1801</v>
      </c>
      <c r="C835" s="1">
        <v>46023</v>
      </c>
      <c r="D835" t="s">
        <v>28</v>
      </c>
      <c r="E835">
        <v>17</v>
      </c>
      <c r="F835">
        <v>5.7</v>
      </c>
      <c r="G835" t="s">
        <v>76</v>
      </c>
      <c r="H835" t="s">
        <v>30</v>
      </c>
      <c r="I835" s="1">
        <v>46023.366666666669</v>
      </c>
      <c r="J835" s="1">
        <v>46023.386111111111</v>
      </c>
      <c r="K835" s="1">
        <v>46023.4375</v>
      </c>
      <c r="L835" s="1">
        <v>46023.446527777778</v>
      </c>
      <c r="M835" s="1">
        <v>46023.476388888892</v>
      </c>
      <c r="N835" s="1">
        <v>46023.49722222222</v>
      </c>
      <c r="O835">
        <v>5</v>
      </c>
      <c r="P835" t="s">
        <v>37</v>
      </c>
      <c r="Q835" t="s">
        <v>43</v>
      </c>
      <c r="R835" t="s">
        <v>44</v>
      </c>
      <c r="S835" t="s">
        <v>45</v>
      </c>
      <c r="T835">
        <v>2500</v>
      </c>
      <c r="U835" t="s">
        <v>35</v>
      </c>
      <c r="V835" t="s">
        <v>36</v>
      </c>
      <c r="W835">
        <v>1</v>
      </c>
      <c r="X835" t="s">
        <v>37</v>
      </c>
      <c r="Y835">
        <v>4</v>
      </c>
      <c r="Z835" t="s">
        <v>38</v>
      </c>
    </row>
    <row r="836" spans="1:26" hidden="1" x14ac:dyDescent="0.2">
      <c r="A836" t="s">
        <v>1802</v>
      </c>
      <c r="B836" t="s">
        <v>1803</v>
      </c>
      <c r="C836" s="1">
        <v>46081</v>
      </c>
      <c r="D836" t="s">
        <v>233</v>
      </c>
      <c r="E836">
        <v>39</v>
      </c>
      <c r="F836">
        <v>12</v>
      </c>
      <c r="G836" t="s">
        <v>50</v>
      </c>
      <c r="H836" t="s">
        <v>51</v>
      </c>
      <c r="I836" s="1">
        <v>46081.3</v>
      </c>
      <c r="J836" s="1">
        <v>46081.310416666667</v>
      </c>
      <c r="K836" s="1">
        <v>46081.318749999999</v>
      </c>
      <c r="L836" s="1">
        <v>46081.331250000003</v>
      </c>
      <c r="M836" s="1">
        <v>46081.363888888889</v>
      </c>
      <c r="N836" s="1">
        <v>46081.395138888889</v>
      </c>
      <c r="O836">
        <v>7</v>
      </c>
      <c r="P836" t="s">
        <v>115</v>
      </c>
      <c r="Q836" t="s">
        <v>69</v>
      </c>
      <c r="R836" t="s">
        <v>251</v>
      </c>
      <c r="S836" t="s">
        <v>71</v>
      </c>
      <c r="T836">
        <v>2000</v>
      </c>
      <c r="U836" t="s">
        <v>91</v>
      </c>
      <c r="V836" t="s">
        <v>59</v>
      </c>
      <c r="W836">
        <v>2</v>
      </c>
      <c r="X836" t="s">
        <v>353</v>
      </c>
      <c r="Y836">
        <v>5</v>
      </c>
      <c r="Z836" t="s">
        <v>54</v>
      </c>
    </row>
    <row r="837" spans="1:26" hidden="1" x14ac:dyDescent="0.2">
      <c r="A837" t="s">
        <v>1804</v>
      </c>
      <c r="B837" t="s">
        <v>1805</v>
      </c>
      <c r="C837" s="1">
        <v>46056</v>
      </c>
      <c r="D837" t="s">
        <v>149</v>
      </c>
      <c r="E837">
        <v>21</v>
      </c>
      <c r="F837">
        <v>7.2</v>
      </c>
      <c r="G837" t="s">
        <v>29</v>
      </c>
      <c r="H837" t="s">
        <v>65</v>
      </c>
      <c r="I837" s="1">
        <v>46056.290277777778</v>
      </c>
      <c r="J837" s="1">
        <v>46056.294444444444</v>
      </c>
      <c r="K837" s="1">
        <v>46056.320833333331</v>
      </c>
      <c r="L837" s="1">
        <v>46056.334027777775</v>
      </c>
      <c r="M837" s="1">
        <v>46056.351388888892</v>
      </c>
      <c r="N837" s="1">
        <v>46056.37222222222</v>
      </c>
      <c r="O837">
        <v>1</v>
      </c>
      <c r="P837" t="s">
        <v>37</v>
      </c>
      <c r="Q837" t="s">
        <v>32</v>
      </c>
      <c r="R837" t="s">
        <v>120</v>
      </c>
      <c r="S837" t="s">
        <v>34</v>
      </c>
      <c r="T837">
        <v>5000</v>
      </c>
      <c r="U837" t="s">
        <v>91</v>
      </c>
      <c r="V837" t="s">
        <v>36</v>
      </c>
      <c r="W837">
        <v>1</v>
      </c>
      <c r="X837" t="s">
        <v>37</v>
      </c>
      <c r="Y837">
        <v>3</v>
      </c>
      <c r="Z837" t="s">
        <v>46</v>
      </c>
    </row>
    <row r="838" spans="1:26" hidden="1" x14ac:dyDescent="0.2">
      <c r="A838" t="s">
        <v>1806</v>
      </c>
      <c r="B838" t="s">
        <v>1807</v>
      </c>
      <c r="C838" s="1">
        <v>46076</v>
      </c>
      <c r="D838" t="s">
        <v>178</v>
      </c>
      <c r="E838">
        <v>8</v>
      </c>
      <c r="F838">
        <v>8</v>
      </c>
      <c r="G838" t="s">
        <v>81</v>
      </c>
      <c r="H838" t="s">
        <v>95</v>
      </c>
      <c r="I838" s="1">
        <v>46076.344444444447</v>
      </c>
      <c r="J838" s="1">
        <v>46076.362500000003</v>
      </c>
      <c r="K838" s="1">
        <v>46076.418055555558</v>
      </c>
      <c r="L838" s="1">
        <v>46076.427777777775</v>
      </c>
      <c r="M838" s="1">
        <v>46076.46875</v>
      </c>
      <c r="N838" s="1">
        <v>46076.477083333331</v>
      </c>
      <c r="O838">
        <v>7</v>
      </c>
      <c r="P838" t="s">
        <v>115</v>
      </c>
      <c r="Q838" t="s">
        <v>69</v>
      </c>
      <c r="R838" t="s">
        <v>251</v>
      </c>
      <c r="S838" t="s">
        <v>71</v>
      </c>
      <c r="T838">
        <v>2000</v>
      </c>
      <c r="U838" t="s">
        <v>35</v>
      </c>
      <c r="V838" t="s">
        <v>36</v>
      </c>
      <c r="W838">
        <v>1</v>
      </c>
      <c r="X838" t="s">
        <v>37</v>
      </c>
      <c r="Y838">
        <v>4</v>
      </c>
      <c r="Z838" t="s">
        <v>54</v>
      </c>
    </row>
    <row r="839" spans="1:26" hidden="1" x14ac:dyDescent="0.2">
      <c r="A839" t="s">
        <v>1808</v>
      </c>
      <c r="B839" t="s">
        <v>1809</v>
      </c>
      <c r="C839" s="1">
        <v>46110</v>
      </c>
      <c r="D839" t="s">
        <v>181</v>
      </c>
      <c r="E839">
        <v>20</v>
      </c>
      <c r="F839">
        <v>11.6</v>
      </c>
      <c r="G839" t="s">
        <v>29</v>
      </c>
      <c r="H839" t="s">
        <v>51</v>
      </c>
      <c r="I839" s="1">
        <v>46110.272916666669</v>
      </c>
      <c r="J839" s="1">
        <v>46110.292361111111</v>
      </c>
      <c r="K839" s="1">
        <v>46110.322222222225</v>
      </c>
      <c r="L839" s="1">
        <v>46110.32916666667</v>
      </c>
      <c r="M839" s="1">
        <v>46110.365277777775</v>
      </c>
      <c r="N839" s="1">
        <v>46110.381249999999</v>
      </c>
      <c r="O839">
        <v>6</v>
      </c>
      <c r="P839" t="s">
        <v>106</v>
      </c>
      <c r="Q839" t="s">
        <v>32</v>
      </c>
      <c r="R839" t="s">
        <v>66</v>
      </c>
      <c r="S839" t="s">
        <v>34</v>
      </c>
      <c r="T839">
        <v>5000</v>
      </c>
      <c r="U839" t="s">
        <v>35</v>
      </c>
      <c r="V839" t="s">
        <v>36</v>
      </c>
      <c r="W839">
        <v>1</v>
      </c>
      <c r="X839" t="s">
        <v>37</v>
      </c>
      <c r="Y839">
        <v>3</v>
      </c>
      <c r="Z839" t="s">
        <v>117</v>
      </c>
    </row>
    <row r="840" spans="1:26" hidden="1" x14ac:dyDescent="0.2">
      <c r="A840" t="s">
        <v>1810</v>
      </c>
      <c r="B840" t="s">
        <v>1811</v>
      </c>
      <c r="C840" s="1">
        <v>46062</v>
      </c>
      <c r="D840" t="s">
        <v>75</v>
      </c>
      <c r="E840">
        <v>9</v>
      </c>
      <c r="F840">
        <v>11.9</v>
      </c>
      <c r="G840" t="s">
        <v>29</v>
      </c>
      <c r="H840" t="s">
        <v>42</v>
      </c>
      <c r="I840" s="1">
        <v>46062.415972222225</v>
      </c>
      <c r="J840" s="1">
        <v>46062.419444444444</v>
      </c>
      <c r="K840" s="1">
        <v>46062.447222222225</v>
      </c>
      <c r="L840" s="1">
        <v>46062.45208333333</v>
      </c>
      <c r="M840" s="1">
        <v>46062.493055555555</v>
      </c>
      <c r="N840" s="1">
        <v>46062.508333333331</v>
      </c>
      <c r="O840">
        <v>2</v>
      </c>
      <c r="P840" t="s">
        <v>115</v>
      </c>
      <c r="Q840" t="s">
        <v>69</v>
      </c>
      <c r="R840" t="s">
        <v>111</v>
      </c>
      <c r="S840" t="s">
        <v>71</v>
      </c>
      <c r="T840">
        <v>2000</v>
      </c>
      <c r="U840" t="s">
        <v>35</v>
      </c>
      <c r="V840" t="s">
        <v>36</v>
      </c>
      <c r="W840">
        <v>1</v>
      </c>
      <c r="X840" t="s">
        <v>37</v>
      </c>
      <c r="Y840">
        <v>5</v>
      </c>
      <c r="Z840" t="s">
        <v>131</v>
      </c>
    </row>
    <row r="841" spans="1:26" hidden="1" x14ac:dyDescent="0.2">
      <c r="A841" t="s">
        <v>1812</v>
      </c>
      <c r="B841" t="s">
        <v>1813</v>
      </c>
      <c r="C841" s="1">
        <v>46088</v>
      </c>
      <c r="D841" t="s">
        <v>28</v>
      </c>
      <c r="E841">
        <v>22</v>
      </c>
      <c r="F841">
        <v>10.3</v>
      </c>
      <c r="G841" t="s">
        <v>76</v>
      </c>
      <c r="H841" t="s">
        <v>42</v>
      </c>
      <c r="I841" s="1">
        <v>46088.265972222223</v>
      </c>
      <c r="J841" s="1">
        <v>46088.277083333334</v>
      </c>
      <c r="K841" s="1">
        <v>46088.299305555556</v>
      </c>
      <c r="L841" s="1">
        <v>46088.311111111114</v>
      </c>
      <c r="M841" s="1">
        <v>46088.326388888891</v>
      </c>
      <c r="N841" s="1">
        <v>46088.353472222225</v>
      </c>
      <c r="O841">
        <v>3</v>
      </c>
      <c r="P841" t="s">
        <v>37</v>
      </c>
      <c r="Q841" t="s">
        <v>43</v>
      </c>
      <c r="R841" t="s">
        <v>44</v>
      </c>
      <c r="S841" t="s">
        <v>45</v>
      </c>
      <c r="T841">
        <v>2500</v>
      </c>
      <c r="U841" t="s">
        <v>35</v>
      </c>
      <c r="V841" t="s">
        <v>36</v>
      </c>
      <c r="W841">
        <v>1</v>
      </c>
      <c r="X841" t="s">
        <v>37</v>
      </c>
      <c r="Y841">
        <v>5</v>
      </c>
      <c r="Z841" t="s">
        <v>61</v>
      </c>
    </row>
    <row r="842" spans="1:26" hidden="1" x14ac:dyDescent="0.2">
      <c r="A842" t="s">
        <v>1814</v>
      </c>
      <c r="B842" t="s">
        <v>1815</v>
      </c>
      <c r="C842" s="1">
        <v>46031</v>
      </c>
      <c r="D842" t="s">
        <v>126</v>
      </c>
      <c r="E842">
        <v>15</v>
      </c>
      <c r="F842">
        <v>8.1999999999999993</v>
      </c>
      <c r="G842" t="s">
        <v>81</v>
      </c>
      <c r="H842" t="s">
        <v>95</v>
      </c>
      <c r="I842" s="1">
        <v>46031.334722222222</v>
      </c>
      <c r="J842" s="1">
        <v>46031.354861111111</v>
      </c>
      <c r="K842" s="1">
        <v>46031.417361111111</v>
      </c>
      <c r="L842" s="1">
        <v>46031.428472222222</v>
      </c>
      <c r="M842" s="1">
        <v>46031.436111111114</v>
      </c>
      <c r="N842" s="1">
        <v>46031.45416666667</v>
      </c>
      <c r="O842">
        <v>7</v>
      </c>
      <c r="P842" t="s">
        <v>37</v>
      </c>
      <c r="Q842" t="s">
        <v>82</v>
      </c>
      <c r="R842" t="s">
        <v>33</v>
      </c>
      <c r="S842" t="s">
        <v>84</v>
      </c>
      <c r="T842">
        <v>4000</v>
      </c>
      <c r="U842" t="s">
        <v>35</v>
      </c>
      <c r="V842" t="s">
        <v>36</v>
      </c>
      <c r="W842">
        <v>1</v>
      </c>
      <c r="X842" t="s">
        <v>37</v>
      </c>
      <c r="Y842">
        <v>4</v>
      </c>
      <c r="Z842" t="s">
        <v>61</v>
      </c>
    </row>
    <row r="843" spans="1:26" hidden="1" x14ac:dyDescent="0.2">
      <c r="A843" t="s">
        <v>1816</v>
      </c>
      <c r="B843" t="s">
        <v>1817</v>
      </c>
      <c r="C843" s="1">
        <v>46050</v>
      </c>
      <c r="D843" t="s">
        <v>126</v>
      </c>
      <c r="E843">
        <v>35</v>
      </c>
      <c r="F843">
        <v>10.199999999999999</v>
      </c>
      <c r="G843" t="s">
        <v>29</v>
      </c>
      <c r="H843" t="s">
        <v>30</v>
      </c>
      <c r="I843" s="1">
        <v>46050.290277777778</v>
      </c>
      <c r="J843" s="1">
        <v>46050.308333333334</v>
      </c>
      <c r="K843" s="1">
        <v>46050.359027777777</v>
      </c>
      <c r="L843" s="1">
        <v>46050.37222222222</v>
      </c>
      <c r="M843" s="1">
        <v>46050.395833333336</v>
      </c>
      <c r="N843" s="1">
        <v>46050.413194444445</v>
      </c>
      <c r="O843">
        <v>6</v>
      </c>
      <c r="P843" t="s">
        <v>37</v>
      </c>
      <c r="Q843" t="s">
        <v>82</v>
      </c>
      <c r="R843" t="s">
        <v>77</v>
      </c>
      <c r="S843" t="s">
        <v>84</v>
      </c>
      <c r="T843">
        <v>4000</v>
      </c>
      <c r="U843" t="s">
        <v>35</v>
      </c>
      <c r="V843" t="s">
        <v>36</v>
      </c>
      <c r="W843">
        <v>1</v>
      </c>
      <c r="X843" t="s">
        <v>37</v>
      </c>
      <c r="Y843">
        <v>3</v>
      </c>
      <c r="Z843" t="s">
        <v>215</v>
      </c>
    </row>
    <row r="844" spans="1:26" hidden="1" x14ac:dyDescent="0.2">
      <c r="A844" t="s">
        <v>1818</v>
      </c>
      <c r="B844" t="s">
        <v>1819</v>
      </c>
      <c r="C844" s="1">
        <v>46025</v>
      </c>
      <c r="D844" t="s">
        <v>94</v>
      </c>
      <c r="E844">
        <v>31</v>
      </c>
      <c r="F844">
        <v>10</v>
      </c>
      <c r="G844" t="s">
        <v>29</v>
      </c>
      <c r="H844" t="s">
        <v>167</v>
      </c>
      <c r="I844" s="1">
        <v>46025.402777777781</v>
      </c>
      <c r="J844" s="1">
        <v>46025.415972222225</v>
      </c>
      <c r="K844" s="1">
        <v>46025.429861111108</v>
      </c>
      <c r="L844" s="1">
        <v>46025.436111111114</v>
      </c>
      <c r="M844" s="1">
        <v>46025.447222222225</v>
      </c>
      <c r="N844" s="1">
        <v>46025.477083333331</v>
      </c>
      <c r="O844">
        <v>5</v>
      </c>
      <c r="P844" t="s">
        <v>37</v>
      </c>
      <c r="Q844" t="s">
        <v>96</v>
      </c>
      <c r="R844" t="s">
        <v>214</v>
      </c>
      <c r="S844" t="s">
        <v>98</v>
      </c>
      <c r="T844">
        <v>3000</v>
      </c>
      <c r="U844" t="s">
        <v>35</v>
      </c>
      <c r="V844" t="s">
        <v>36</v>
      </c>
      <c r="W844">
        <v>1</v>
      </c>
      <c r="X844" t="s">
        <v>37</v>
      </c>
      <c r="Y844">
        <v>4</v>
      </c>
      <c r="Z844" t="s">
        <v>131</v>
      </c>
    </row>
    <row r="845" spans="1:26" hidden="1" x14ac:dyDescent="0.2">
      <c r="A845" t="s">
        <v>1820</v>
      </c>
      <c r="B845" t="s">
        <v>1821</v>
      </c>
      <c r="C845" s="1">
        <v>46038</v>
      </c>
      <c r="D845" t="s">
        <v>80</v>
      </c>
      <c r="E845">
        <v>20</v>
      </c>
      <c r="F845">
        <v>6.5</v>
      </c>
      <c r="G845" t="s">
        <v>50</v>
      </c>
      <c r="H845" t="s">
        <v>167</v>
      </c>
      <c r="I845" s="1">
        <v>46038.256249999999</v>
      </c>
      <c r="J845" s="1">
        <v>46038.261805555558</v>
      </c>
      <c r="K845" s="1">
        <v>46038.273611111108</v>
      </c>
      <c r="L845" s="1">
        <v>46038.283333333333</v>
      </c>
      <c r="M845" s="1">
        <v>46038.319444444445</v>
      </c>
      <c r="N845" s="1">
        <v>46038.328472222223</v>
      </c>
      <c r="O845">
        <v>6</v>
      </c>
      <c r="P845" t="s">
        <v>115</v>
      </c>
      <c r="Q845" t="s">
        <v>32</v>
      </c>
      <c r="R845" t="s">
        <v>66</v>
      </c>
      <c r="S845" t="s">
        <v>34</v>
      </c>
      <c r="T845">
        <v>5000</v>
      </c>
      <c r="U845" t="s">
        <v>91</v>
      </c>
      <c r="V845" t="s">
        <v>36</v>
      </c>
      <c r="W845">
        <v>1</v>
      </c>
      <c r="X845" t="s">
        <v>37</v>
      </c>
      <c r="Y845">
        <v>5</v>
      </c>
      <c r="Z845" t="s">
        <v>117</v>
      </c>
    </row>
    <row r="846" spans="1:26" hidden="1" x14ac:dyDescent="0.2">
      <c r="A846" t="s">
        <v>1822</v>
      </c>
      <c r="B846" t="s">
        <v>1823</v>
      </c>
      <c r="C846" s="1">
        <v>46069</v>
      </c>
      <c r="D846" t="s">
        <v>89</v>
      </c>
      <c r="E846">
        <v>24</v>
      </c>
      <c r="F846">
        <v>7.3</v>
      </c>
      <c r="G846" t="s">
        <v>29</v>
      </c>
      <c r="H846" t="s">
        <v>167</v>
      </c>
      <c r="I846" s="1">
        <v>46069.307638888888</v>
      </c>
      <c r="J846" s="1">
        <v>46069.314583333333</v>
      </c>
      <c r="K846" s="1">
        <v>46069.32916666667</v>
      </c>
      <c r="L846" s="1">
        <v>46069.335416666669</v>
      </c>
      <c r="M846" s="1">
        <v>46069.365277777775</v>
      </c>
      <c r="N846" s="1">
        <v>46069.395138888889</v>
      </c>
      <c r="O846">
        <v>5</v>
      </c>
      <c r="P846" t="s">
        <v>37</v>
      </c>
      <c r="Q846" t="s">
        <v>43</v>
      </c>
      <c r="R846" t="s">
        <v>58</v>
      </c>
      <c r="S846" t="s">
        <v>45</v>
      </c>
      <c r="T846">
        <v>2500</v>
      </c>
      <c r="U846" t="s">
        <v>35</v>
      </c>
      <c r="V846" t="s">
        <v>36</v>
      </c>
      <c r="W846">
        <v>1</v>
      </c>
      <c r="X846" t="s">
        <v>37</v>
      </c>
      <c r="Y846">
        <v>3</v>
      </c>
      <c r="Z846" t="s">
        <v>99</v>
      </c>
    </row>
    <row r="847" spans="1:26" hidden="1" x14ac:dyDescent="0.2">
      <c r="A847" t="s">
        <v>1824</v>
      </c>
      <c r="B847" t="s">
        <v>1825</v>
      </c>
      <c r="C847" s="1">
        <v>46038</v>
      </c>
      <c r="D847" t="s">
        <v>126</v>
      </c>
      <c r="E847">
        <v>10</v>
      </c>
      <c r="F847">
        <v>5.9</v>
      </c>
      <c r="G847" t="s">
        <v>76</v>
      </c>
      <c r="H847" t="s">
        <v>167</v>
      </c>
      <c r="I847" s="1">
        <v>46038.399305555555</v>
      </c>
      <c r="J847" s="1">
        <v>46038.419444444444</v>
      </c>
      <c r="K847" s="1">
        <v>46038.474999999999</v>
      </c>
      <c r="L847" s="1">
        <v>46038.479861111111</v>
      </c>
      <c r="M847" s="1">
        <v>46038.518055555556</v>
      </c>
      <c r="N847" s="1">
        <v>46038.54583333333</v>
      </c>
      <c r="O847">
        <v>5</v>
      </c>
      <c r="P847" t="s">
        <v>37</v>
      </c>
      <c r="Q847" t="s">
        <v>69</v>
      </c>
      <c r="R847" t="s">
        <v>146</v>
      </c>
      <c r="S847" t="s">
        <v>71</v>
      </c>
      <c r="T847">
        <v>2000</v>
      </c>
      <c r="U847" t="s">
        <v>35</v>
      </c>
      <c r="V847" t="s">
        <v>59</v>
      </c>
      <c r="W847">
        <v>3</v>
      </c>
      <c r="X847" t="s">
        <v>116</v>
      </c>
      <c r="Y847">
        <v>5</v>
      </c>
      <c r="Z847" t="s">
        <v>61</v>
      </c>
    </row>
    <row r="848" spans="1:26" hidden="1" x14ac:dyDescent="0.2">
      <c r="A848" t="s">
        <v>1826</v>
      </c>
      <c r="B848" t="s">
        <v>1827</v>
      </c>
      <c r="C848" s="1">
        <v>46062</v>
      </c>
      <c r="D848" t="s">
        <v>171</v>
      </c>
      <c r="E848">
        <v>26</v>
      </c>
      <c r="F848">
        <v>6.2</v>
      </c>
      <c r="G848" t="s">
        <v>29</v>
      </c>
      <c r="H848" t="s">
        <v>95</v>
      </c>
      <c r="I848" s="1">
        <v>46062.261805555558</v>
      </c>
      <c r="J848" s="1">
        <v>46062.267361111109</v>
      </c>
      <c r="K848" s="1">
        <v>46062.326388888891</v>
      </c>
      <c r="L848" s="1">
        <v>46062.329861111109</v>
      </c>
      <c r="M848" s="1">
        <v>46062.34097222222</v>
      </c>
      <c r="N848" s="1">
        <v>46062.365277777775</v>
      </c>
      <c r="O848">
        <v>1</v>
      </c>
      <c r="P848" t="s">
        <v>37</v>
      </c>
      <c r="Q848" t="s">
        <v>43</v>
      </c>
      <c r="R848" t="s">
        <v>90</v>
      </c>
      <c r="S848" t="s">
        <v>45</v>
      </c>
      <c r="T848">
        <v>2500</v>
      </c>
      <c r="U848" t="s">
        <v>35</v>
      </c>
      <c r="V848" t="s">
        <v>36</v>
      </c>
      <c r="W848">
        <v>1</v>
      </c>
      <c r="X848" t="s">
        <v>37</v>
      </c>
      <c r="Y848">
        <v>3</v>
      </c>
      <c r="Z848" t="s">
        <v>215</v>
      </c>
    </row>
    <row r="849" spans="1:26" x14ac:dyDescent="0.2">
      <c r="A849" t="s">
        <v>1828</v>
      </c>
      <c r="B849" t="s">
        <v>1829</v>
      </c>
      <c r="C849" s="1">
        <v>46054</v>
      </c>
      <c r="D849" t="s">
        <v>89</v>
      </c>
      <c r="E849">
        <v>16</v>
      </c>
      <c r="F849">
        <v>9.1999999999999993</v>
      </c>
      <c r="G849" t="s">
        <v>81</v>
      </c>
      <c r="H849" t="s">
        <v>30</v>
      </c>
      <c r="I849" s="1">
        <v>46054.40347222222</v>
      </c>
      <c r="J849" s="1">
        <v>46054.40902777778</v>
      </c>
      <c r="K849" s="1">
        <v>46054.47152777778</v>
      </c>
      <c r="L849" s="1">
        <v>46054.474999999999</v>
      </c>
      <c r="M849" s="1">
        <v>46054.50277777778</v>
      </c>
      <c r="N849" s="1">
        <v>46054.515277777777</v>
      </c>
      <c r="O849">
        <v>6</v>
      </c>
      <c r="P849" t="s">
        <v>37</v>
      </c>
      <c r="Q849" t="s">
        <v>96</v>
      </c>
      <c r="R849" t="s">
        <v>164</v>
      </c>
      <c r="S849" t="s">
        <v>98</v>
      </c>
      <c r="T849">
        <v>3000</v>
      </c>
      <c r="U849" t="s">
        <v>35</v>
      </c>
      <c r="V849" t="s">
        <v>59</v>
      </c>
      <c r="W849">
        <v>2</v>
      </c>
      <c r="X849" t="s">
        <v>193</v>
      </c>
      <c r="Y849">
        <v>1</v>
      </c>
      <c r="Z849" t="s">
        <v>131</v>
      </c>
    </row>
    <row r="850" spans="1:26" hidden="1" x14ac:dyDescent="0.2">
      <c r="A850" t="s">
        <v>1830</v>
      </c>
      <c r="B850" t="s">
        <v>1831</v>
      </c>
      <c r="C850" s="1">
        <v>46096</v>
      </c>
      <c r="D850" t="s">
        <v>154</v>
      </c>
      <c r="E850">
        <v>40</v>
      </c>
      <c r="F850">
        <v>5.9</v>
      </c>
      <c r="G850" t="s">
        <v>50</v>
      </c>
      <c r="H850" t="s">
        <v>95</v>
      </c>
      <c r="I850" s="1">
        <v>46096.35833333333</v>
      </c>
      <c r="J850" s="1">
        <v>46096.376388888886</v>
      </c>
      <c r="K850" s="1">
        <v>46096.417361111111</v>
      </c>
      <c r="L850" s="1">
        <v>46096.425000000003</v>
      </c>
      <c r="M850" s="1">
        <v>46096.454861111109</v>
      </c>
      <c r="N850" s="1">
        <v>46096.470833333333</v>
      </c>
      <c r="O850">
        <v>3</v>
      </c>
      <c r="P850" t="s">
        <v>31</v>
      </c>
      <c r="Q850" t="s">
        <v>82</v>
      </c>
      <c r="R850" t="s">
        <v>214</v>
      </c>
      <c r="S850" t="s">
        <v>84</v>
      </c>
      <c r="T850">
        <v>4000</v>
      </c>
      <c r="U850" t="s">
        <v>35</v>
      </c>
      <c r="V850" t="s">
        <v>36</v>
      </c>
      <c r="W850">
        <v>1</v>
      </c>
      <c r="X850" t="s">
        <v>37</v>
      </c>
      <c r="Y850">
        <v>3</v>
      </c>
      <c r="Z850" t="s">
        <v>215</v>
      </c>
    </row>
    <row r="851" spans="1:26" hidden="1" x14ac:dyDescent="0.2">
      <c r="A851" t="s">
        <v>1832</v>
      </c>
      <c r="B851" t="s">
        <v>1833</v>
      </c>
      <c r="C851" s="1">
        <v>46076</v>
      </c>
      <c r="D851" t="s">
        <v>49</v>
      </c>
      <c r="E851">
        <v>5</v>
      </c>
      <c r="F851">
        <v>11.8</v>
      </c>
      <c r="G851" t="s">
        <v>50</v>
      </c>
      <c r="H851" t="s">
        <v>65</v>
      </c>
      <c r="I851" s="1">
        <v>46076.283333333333</v>
      </c>
      <c r="J851" s="1">
        <v>46076.302777777775</v>
      </c>
      <c r="K851" s="1">
        <v>46076.331944444442</v>
      </c>
      <c r="L851" s="1">
        <v>46076.338194444441</v>
      </c>
      <c r="M851" s="1">
        <v>46076.370138888888</v>
      </c>
      <c r="N851" s="1">
        <v>46076.381249999999</v>
      </c>
      <c r="O851">
        <v>7</v>
      </c>
      <c r="P851" t="s">
        <v>37</v>
      </c>
      <c r="Q851" t="s">
        <v>69</v>
      </c>
      <c r="R851" t="s">
        <v>70</v>
      </c>
      <c r="S851" t="s">
        <v>71</v>
      </c>
      <c r="T851">
        <v>2000</v>
      </c>
      <c r="U851" t="s">
        <v>35</v>
      </c>
      <c r="V851" t="s">
        <v>36</v>
      </c>
      <c r="W851">
        <v>1</v>
      </c>
      <c r="X851" t="s">
        <v>37</v>
      </c>
      <c r="Y851">
        <v>3</v>
      </c>
      <c r="Z851" t="s">
        <v>102</v>
      </c>
    </row>
    <row r="852" spans="1:26" hidden="1" x14ac:dyDescent="0.2">
      <c r="A852" t="s">
        <v>1834</v>
      </c>
      <c r="B852" t="s">
        <v>1835</v>
      </c>
      <c r="C852" s="1">
        <v>46054</v>
      </c>
      <c r="D852" t="s">
        <v>233</v>
      </c>
      <c r="E852">
        <v>30</v>
      </c>
      <c r="F852">
        <v>5.0999999999999996</v>
      </c>
      <c r="G852" t="s">
        <v>57</v>
      </c>
      <c r="H852" t="s">
        <v>167</v>
      </c>
      <c r="I852" s="1">
        <v>46054.269444444442</v>
      </c>
      <c r="J852" s="1">
        <v>46054.285416666666</v>
      </c>
      <c r="K852" s="1">
        <v>46054.292361111111</v>
      </c>
      <c r="L852" s="1">
        <v>46054.3</v>
      </c>
      <c r="M852" s="1">
        <v>46054.338194444441</v>
      </c>
      <c r="N852" s="1">
        <v>46054.34652777778</v>
      </c>
      <c r="O852">
        <v>7</v>
      </c>
      <c r="P852" t="s">
        <v>37</v>
      </c>
      <c r="Q852" t="s">
        <v>32</v>
      </c>
      <c r="R852" t="s">
        <v>77</v>
      </c>
      <c r="S852" t="s">
        <v>34</v>
      </c>
      <c r="T852">
        <v>5000</v>
      </c>
      <c r="U852" t="s">
        <v>35</v>
      </c>
      <c r="V852" t="s">
        <v>36</v>
      </c>
      <c r="W852">
        <v>1</v>
      </c>
      <c r="X852" t="s">
        <v>37</v>
      </c>
      <c r="Y852">
        <v>4</v>
      </c>
      <c r="Z852" t="s">
        <v>296</v>
      </c>
    </row>
    <row r="853" spans="1:26" hidden="1" x14ac:dyDescent="0.2">
      <c r="A853" t="s">
        <v>1836</v>
      </c>
      <c r="B853" t="s">
        <v>1837</v>
      </c>
      <c r="C853" s="1">
        <v>46038</v>
      </c>
      <c r="D853" t="s">
        <v>230</v>
      </c>
      <c r="E853">
        <v>31</v>
      </c>
      <c r="F853">
        <v>7</v>
      </c>
      <c r="G853" t="s">
        <v>81</v>
      </c>
      <c r="H853" t="s">
        <v>30</v>
      </c>
      <c r="I853" s="1">
        <v>46038.298611111109</v>
      </c>
      <c r="J853" s="1">
        <v>46038.311805555553</v>
      </c>
      <c r="K853" s="1">
        <v>46038.336111111108</v>
      </c>
      <c r="L853" s="1">
        <v>46038.342361111114</v>
      </c>
      <c r="M853" s="1">
        <v>46038.35833333333</v>
      </c>
      <c r="N853" s="1">
        <v>46038.378472222219</v>
      </c>
      <c r="O853">
        <v>3</v>
      </c>
      <c r="P853" t="s">
        <v>52</v>
      </c>
      <c r="Q853" t="s">
        <v>96</v>
      </c>
      <c r="R853" t="s">
        <v>214</v>
      </c>
      <c r="S853" t="s">
        <v>98</v>
      </c>
      <c r="T853">
        <v>3000</v>
      </c>
      <c r="U853" t="s">
        <v>35</v>
      </c>
      <c r="V853" t="s">
        <v>36</v>
      </c>
      <c r="W853">
        <v>1</v>
      </c>
      <c r="X853" t="s">
        <v>37</v>
      </c>
      <c r="Y853">
        <v>4</v>
      </c>
      <c r="Z853" t="s">
        <v>161</v>
      </c>
    </row>
    <row r="854" spans="1:26" hidden="1" x14ac:dyDescent="0.2">
      <c r="A854" t="s">
        <v>1838</v>
      </c>
      <c r="B854" t="s">
        <v>1839</v>
      </c>
      <c r="C854" s="1">
        <v>46029</v>
      </c>
      <c r="D854" t="s">
        <v>49</v>
      </c>
      <c r="E854">
        <v>34</v>
      </c>
      <c r="F854">
        <v>5.3</v>
      </c>
      <c r="G854" t="s">
        <v>29</v>
      </c>
      <c r="H854" t="s">
        <v>30</v>
      </c>
      <c r="I854" s="1">
        <v>46029.331250000003</v>
      </c>
      <c r="J854" s="1">
        <v>46029.345833333333</v>
      </c>
      <c r="K854" s="1">
        <v>46029.378472222219</v>
      </c>
      <c r="L854" s="1">
        <v>46029.386111111111</v>
      </c>
      <c r="M854" s="1">
        <v>46029.411111111112</v>
      </c>
      <c r="N854" s="1">
        <v>46029.419444444444</v>
      </c>
      <c r="O854">
        <v>3</v>
      </c>
      <c r="P854" t="s">
        <v>129</v>
      </c>
      <c r="Q854" t="s">
        <v>32</v>
      </c>
      <c r="R854" t="s">
        <v>140</v>
      </c>
      <c r="S854" t="s">
        <v>34</v>
      </c>
      <c r="T854">
        <v>5000</v>
      </c>
      <c r="U854" t="s">
        <v>35</v>
      </c>
      <c r="V854" t="s">
        <v>36</v>
      </c>
      <c r="W854">
        <v>1</v>
      </c>
      <c r="X854" t="s">
        <v>37</v>
      </c>
      <c r="Y854">
        <v>4</v>
      </c>
      <c r="Z854" t="s">
        <v>61</v>
      </c>
    </row>
    <row r="855" spans="1:26" hidden="1" x14ac:dyDescent="0.2">
      <c r="A855" t="s">
        <v>1840</v>
      </c>
      <c r="B855" t="s">
        <v>1841</v>
      </c>
      <c r="C855" s="1">
        <v>46031</v>
      </c>
      <c r="D855" t="s">
        <v>254</v>
      </c>
      <c r="E855">
        <v>24</v>
      </c>
      <c r="F855">
        <v>9.1999999999999993</v>
      </c>
      <c r="G855" t="s">
        <v>50</v>
      </c>
      <c r="H855" t="s">
        <v>95</v>
      </c>
      <c r="I855" s="1">
        <v>46031.37222222222</v>
      </c>
      <c r="J855" s="1">
        <v>46031.381249999999</v>
      </c>
      <c r="K855" s="1">
        <v>46031.430555555555</v>
      </c>
      <c r="L855" s="1">
        <v>46031.442361111112</v>
      </c>
      <c r="M855" s="1">
        <v>46031.461111111108</v>
      </c>
      <c r="N855" s="1">
        <v>46031.47152777778</v>
      </c>
      <c r="O855">
        <v>4</v>
      </c>
      <c r="P855" t="s">
        <v>106</v>
      </c>
      <c r="Q855" t="s">
        <v>43</v>
      </c>
      <c r="R855" t="s">
        <v>58</v>
      </c>
      <c r="S855" t="s">
        <v>45</v>
      </c>
      <c r="T855">
        <v>2500</v>
      </c>
      <c r="U855" t="s">
        <v>35</v>
      </c>
      <c r="V855" t="s">
        <v>36</v>
      </c>
      <c r="W855">
        <v>1</v>
      </c>
      <c r="X855" t="s">
        <v>37</v>
      </c>
      <c r="Y855">
        <v>4</v>
      </c>
      <c r="Z855" t="s">
        <v>54</v>
      </c>
    </row>
    <row r="856" spans="1:26" hidden="1" x14ac:dyDescent="0.2">
      <c r="A856" t="s">
        <v>1842</v>
      </c>
      <c r="B856" t="s">
        <v>1843</v>
      </c>
      <c r="C856" s="1">
        <v>46088</v>
      </c>
      <c r="D856" t="s">
        <v>105</v>
      </c>
      <c r="E856">
        <v>22</v>
      </c>
      <c r="F856">
        <v>9.8000000000000007</v>
      </c>
      <c r="G856" t="s">
        <v>81</v>
      </c>
      <c r="H856" t="s">
        <v>167</v>
      </c>
      <c r="I856" s="1">
        <v>46088.37222222222</v>
      </c>
      <c r="J856" s="1">
        <v>46088.37777777778</v>
      </c>
      <c r="K856" s="1">
        <v>46088.408333333333</v>
      </c>
      <c r="L856" s="1">
        <v>46088.418055555558</v>
      </c>
      <c r="M856" s="1">
        <v>46088.457638888889</v>
      </c>
      <c r="N856" s="1">
        <v>46088.478472222225</v>
      </c>
      <c r="O856">
        <v>1</v>
      </c>
      <c r="P856" t="s">
        <v>238</v>
      </c>
      <c r="Q856" t="s">
        <v>82</v>
      </c>
      <c r="R856" t="s">
        <v>286</v>
      </c>
      <c r="S856" t="s">
        <v>84</v>
      </c>
      <c r="T856">
        <v>4000</v>
      </c>
      <c r="U856" t="s">
        <v>35</v>
      </c>
      <c r="V856" t="s">
        <v>36</v>
      </c>
      <c r="W856">
        <v>1</v>
      </c>
      <c r="X856" t="s">
        <v>37</v>
      </c>
      <c r="Y856">
        <v>5</v>
      </c>
      <c r="Z856" t="s">
        <v>61</v>
      </c>
    </row>
    <row r="857" spans="1:26" hidden="1" x14ac:dyDescent="0.2">
      <c r="A857" t="s">
        <v>1844</v>
      </c>
      <c r="B857" t="s">
        <v>1845</v>
      </c>
      <c r="C857" s="1">
        <v>46094</v>
      </c>
      <c r="D857" t="s">
        <v>230</v>
      </c>
      <c r="E857">
        <v>36</v>
      </c>
      <c r="F857">
        <v>11.8</v>
      </c>
      <c r="G857" t="s">
        <v>29</v>
      </c>
      <c r="H857" t="s">
        <v>95</v>
      </c>
      <c r="I857" s="1">
        <v>46094.253472222219</v>
      </c>
      <c r="J857" s="1">
        <v>46094.263888888891</v>
      </c>
      <c r="K857" s="1">
        <v>46094.319444444445</v>
      </c>
      <c r="L857" s="1">
        <v>46094.331944444442</v>
      </c>
      <c r="M857" s="1">
        <v>46094.363888888889</v>
      </c>
      <c r="N857" s="1">
        <v>46094.381944444445</v>
      </c>
      <c r="O857">
        <v>1</v>
      </c>
      <c r="P857" t="s">
        <v>37</v>
      </c>
      <c r="Q857" t="s">
        <v>69</v>
      </c>
      <c r="R857" t="s">
        <v>146</v>
      </c>
      <c r="S857" t="s">
        <v>71</v>
      </c>
      <c r="T857">
        <v>2000</v>
      </c>
      <c r="U857" t="s">
        <v>35</v>
      </c>
      <c r="V857" t="s">
        <v>36</v>
      </c>
      <c r="W857">
        <v>1</v>
      </c>
      <c r="X857" t="s">
        <v>37</v>
      </c>
      <c r="Y857">
        <v>5</v>
      </c>
      <c r="Z857" t="s">
        <v>168</v>
      </c>
    </row>
    <row r="858" spans="1:26" hidden="1" x14ac:dyDescent="0.2">
      <c r="A858" t="s">
        <v>1846</v>
      </c>
      <c r="B858" t="s">
        <v>1847</v>
      </c>
      <c r="C858" s="1">
        <v>46112</v>
      </c>
      <c r="D858" t="s">
        <v>154</v>
      </c>
      <c r="E858">
        <v>17</v>
      </c>
      <c r="F858">
        <v>9</v>
      </c>
      <c r="G858" t="s">
        <v>81</v>
      </c>
      <c r="H858" t="s">
        <v>65</v>
      </c>
      <c r="I858" s="1">
        <v>46112.35</v>
      </c>
      <c r="J858" s="1">
        <v>46112.361111111109</v>
      </c>
      <c r="K858" s="1">
        <v>46112.376388888886</v>
      </c>
      <c r="L858" s="1">
        <v>46112.388194444444</v>
      </c>
      <c r="M858" s="1">
        <v>46112.415972222225</v>
      </c>
      <c r="N858" s="1">
        <v>46112.446527777778</v>
      </c>
      <c r="O858">
        <v>2</v>
      </c>
      <c r="P858" t="s">
        <v>37</v>
      </c>
      <c r="Q858" t="s">
        <v>96</v>
      </c>
      <c r="R858" t="s">
        <v>130</v>
      </c>
      <c r="S858" t="s">
        <v>98</v>
      </c>
      <c r="T858">
        <v>3000</v>
      </c>
      <c r="U858" t="s">
        <v>35</v>
      </c>
      <c r="V858" t="s">
        <v>59</v>
      </c>
      <c r="W858">
        <v>3</v>
      </c>
      <c r="X858" t="s">
        <v>193</v>
      </c>
      <c r="Y858">
        <v>5</v>
      </c>
      <c r="Z858" t="s">
        <v>131</v>
      </c>
    </row>
    <row r="859" spans="1:26" hidden="1" x14ac:dyDescent="0.2">
      <c r="A859" t="s">
        <v>1848</v>
      </c>
      <c r="B859" t="s">
        <v>1849</v>
      </c>
      <c r="C859" s="1">
        <v>46086</v>
      </c>
      <c r="D859" t="s">
        <v>41</v>
      </c>
      <c r="E859">
        <v>6</v>
      </c>
      <c r="F859">
        <v>9.5</v>
      </c>
      <c r="G859" t="s">
        <v>29</v>
      </c>
      <c r="H859" t="s">
        <v>65</v>
      </c>
      <c r="I859" s="1">
        <v>46086.40902777778</v>
      </c>
      <c r="J859" s="1">
        <v>46086.415277777778</v>
      </c>
      <c r="K859" s="1">
        <v>46086.442361111112</v>
      </c>
      <c r="L859" s="1">
        <v>46086.454861111109</v>
      </c>
      <c r="M859" s="1">
        <v>46086.463194444441</v>
      </c>
      <c r="N859" s="1">
        <v>46086.475694444445</v>
      </c>
      <c r="O859">
        <v>4</v>
      </c>
      <c r="P859" t="s">
        <v>37</v>
      </c>
      <c r="Q859" t="s">
        <v>43</v>
      </c>
      <c r="R859" t="s">
        <v>44</v>
      </c>
      <c r="S859" t="s">
        <v>45</v>
      </c>
      <c r="T859">
        <v>2500</v>
      </c>
      <c r="U859" t="s">
        <v>91</v>
      </c>
      <c r="V859" t="s">
        <v>36</v>
      </c>
      <c r="W859">
        <v>1</v>
      </c>
      <c r="X859" t="s">
        <v>37</v>
      </c>
      <c r="Y859">
        <v>5</v>
      </c>
      <c r="Z859" t="s">
        <v>131</v>
      </c>
    </row>
    <row r="860" spans="1:26" hidden="1" x14ac:dyDescent="0.2">
      <c r="A860" t="s">
        <v>1850</v>
      </c>
      <c r="B860" t="s">
        <v>1851</v>
      </c>
      <c r="C860" s="1">
        <v>46040</v>
      </c>
      <c r="D860" t="s">
        <v>41</v>
      </c>
      <c r="E860">
        <v>28</v>
      </c>
      <c r="F860">
        <v>4.8</v>
      </c>
      <c r="G860" t="s">
        <v>76</v>
      </c>
      <c r="H860" t="s">
        <v>51</v>
      </c>
      <c r="I860" s="1">
        <v>46040.413194444445</v>
      </c>
      <c r="J860" s="1">
        <v>46040.429166666669</v>
      </c>
      <c r="K860" s="1">
        <v>46040.472222222219</v>
      </c>
      <c r="L860" s="1">
        <v>46040.477777777778</v>
      </c>
      <c r="M860" s="1">
        <v>46040.496527777781</v>
      </c>
      <c r="N860" s="1">
        <v>46040.525694444441</v>
      </c>
      <c r="O860">
        <v>4</v>
      </c>
      <c r="P860" t="s">
        <v>37</v>
      </c>
      <c r="Q860" t="s">
        <v>82</v>
      </c>
      <c r="R860" t="s">
        <v>83</v>
      </c>
      <c r="S860" t="s">
        <v>84</v>
      </c>
      <c r="T860">
        <v>4000</v>
      </c>
      <c r="U860" t="s">
        <v>35</v>
      </c>
      <c r="V860" t="s">
        <v>59</v>
      </c>
      <c r="W860">
        <v>1</v>
      </c>
      <c r="X860" t="s">
        <v>116</v>
      </c>
      <c r="Y860">
        <v>5</v>
      </c>
      <c r="Z860" t="s">
        <v>61</v>
      </c>
    </row>
    <row r="861" spans="1:26" hidden="1" x14ac:dyDescent="0.2">
      <c r="A861" t="s">
        <v>1852</v>
      </c>
      <c r="B861" t="s">
        <v>1853</v>
      </c>
      <c r="C861" s="1">
        <v>46091</v>
      </c>
      <c r="D861" t="s">
        <v>233</v>
      </c>
      <c r="E861">
        <v>35</v>
      </c>
      <c r="F861">
        <v>9.5</v>
      </c>
      <c r="G861" t="s">
        <v>81</v>
      </c>
      <c r="H861" t="s">
        <v>95</v>
      </c>
      <c r="I861" s="1">
        <v>46091.366666666669</v>
      </c>
      <c r="J861" s="1">
        <v>46091.386805555558</v>
      </c>
      <c r="K861" s="1">
        <v>46091.393750000003</v>
      </c>
      <c r="L861" s="1">
        <v>46091.407638888886</v>
      </c>
      <c r="M861" s="1">
        <v>46091.423611111109</v>
      </c>
      <c r="N861" s="1">
        <v>46091.445138888892</v>
      </c>
      <c r="O861">
        <v>3</v>
      </c>
      <c r="P861" t="s">
        <v>31</v>
      </c>
      <c r="Q861" t="s">
        <v>82</v>
      </c>
      <c r="R861" t="s">
        <v>286</v>
      </c>
      <c r="S861" t="s">
        <v>84</v>
      </c>
      <c r="T861">
        <v>4000</v>
      </c>
      <c r="U861" t="s">
        <v>35</v>
      </c>
      <c r="V861" t="s">
        <v>59</v>
      </c>
      <c r="W861">
        <v>3</v>
      </c>
      <c r="X861" t="s">
        <v>116</v>
      </c>
      <c r="Y861">
        <v>4</v>
      </c>
      <c r="Z861" t="s">
        <v>99</v>
      </c>
    </row>
    <row r="862" spans="1:26" hidden="1" x14ac:dyDescent="0.2">
      <c r="A862" t="s">
        <v>1854</v>
      </c>
      <c r="B862" t="s">
        <v>1855</v>
      </c>
      <c r="C862" s="1">
        <v>46080</v>
      </c>
      <c r="D862" t="s">
        <v>75</v>
      </c>
      <c r="E862">
        <v>11</v>
      </c>
      <c r="F862">
        <v>11.8</v>
      </c>
      <c r="G862" t="s">
        <v>81</v>
      </c>
      <c r="H862" t="s">
        <v>51</v>
      </c>
      <c r="I862" s="1">
        <v>46080.368055555555</v>
      </c>
      <c r="J862" s="1">
        <v>46080.377083333333</v>
      </c>
      <c r="K862" s="1">
        <v>46080.400694444441</v>
      </c>
      <c r="L862" s="1">
        <v>46080.407638888886</v>
      </c>
      <c r="M862" s="1">
        <v>46080.421527777777</v>
      </c>
      <c r="N862" s="1">
        <v>46080.43472222222</v>
      </c>
      <c r="O862">
        <v>6</v>
      </c>
      <c r="P862" t="s">
        <v>106</v>
      </c>
      <c r="Q862" t="s">
        <v>82</v>
      </c>
      <c r="R862" t="s">
        <v>286</v>
      </c>
      <c r="S862" t="s">
        <v>84</v>
      </c>
      <c r="T862">
        <v>4000</v>
      </c>
      <c r="U862" t="s">
        <v>35</v>
      </c>
      <c r="V862" t="s">
        <v>36</v>
      </c>
      <c r="W862">
        <v>1</v>
      </c>
      <c r="X862" t="s">
        <v>37</v>
      </c>
      <c r="Y862">
        <v>3</v>
      </c>
      <c r="Z862" t="s">
        <v>72</v>
      </c>
    </row>
    <row r="863" spans="1:26" hidden="1" x14ac:dyDescent="0.2">
      <c r="A863" t="s">
        <v>1856</v>
      </c>
      <c r="B863" t="s">
        <v>1857</v>
      </c>
      <c r="C863" s="1">
        <v>46107</v>
      </c>
      <c r="D863" t="s">
        <v>225</v>
      </c>
      <c r="E863">
        <v>13</v>
      </c>
      <c r="F863">
        <v>4.3</v>
      </c>
      <c r="G863" t="s">
        <v>57</v>
      </c>
      <c r="H863" t="s">
        <v>167</v>
      </c>
      <c r="I863" s="1">
        <v>46107.361111111109</v>
      </c>
      <c r="J863" s="1">
        <v>46107.381249999999</v>
      </c>
      <c r="K863" s="1">
        <v>46107.414583333331</v>
      </c>
      <c r="L863" s="1">
        <v>46107.427083333336</v>
      </c>
      <c r="M863" s="1">
        <v>46107.44027777778</v>
      </c>
      <c r="N863" s="1">
        <v>46107.446527777778</v>
      </c>
      <c r="O863">
        <v>7</v>
      </c>
      <c r="P863" t="s">
        <v>37</v>
      </c>
      <c r="Q863" t="s">
        <v>82</v>
      </c>
      <c r="R863" t="s">
        <v>77</v>
      </c>
      <c r="S863" t="s">
        <v>84</v>
      </c>
      <c r="T863">
        <v>4000</v>
      </c>
      <c r="U863" t="s">
        <v>35</v>
      </c>
      <c r="V863" t="s">
        <v>36</v>
      </c>
      <c r="W863">
        <v>1</v>
      </c>
      <c r="X863" t="s">
        <v>37</v>
      </c>
      <c r="Y863">
        <v>4</v>
      </c>
      <c r="Z863" t="s">
        <v>131</v>
      </c>
    </row>
    <row r="864" spans="1:26" hidden="1" x14ac:dyDescent="0.2">
      <c r="A864" t="s">
        <v>1858</v>
      </c>
      <c r="B864" t="s">
        <v>1859</v>
      </c>
      <c r="C864" s="1">
        <v>46110</v>
      </c>
      <c r="D864" t="s">
        <v>64</v>
      </c>
      <c r="E864">
        <v>10</v>
      </c>
      <c r="F864">
        <v>10.1</v>
      </c>
      <c r="G864" t="s">
        <v>57</v>
      </c>
      <c r="H864" t="s">
        <v>51</v>
      </c>
      <c r="I864" s="1">
        <v>46110.277083333334</v>
      </c>
      <c r="J864" s="1">
        <v>46110.289583333331</v>
      </c>
      <c r="K864" s="1">
        <v>46110.305555555555</v>
      </c>
      <c r="L864" s="1">
        <v>46110.318055555559</v>
      </c>
      <c r="M864" s="1">
        <v>46110.334722222222</v>
      </c>
      <c r="N864" s="1">
        <v>46110.345138888886</v>
      </c>
      <c r="O864">
        <v>3</v>
      </c>
      <c r="P864" t="s">
        <v>37</v>
      </c>
      <c r="Q864" t="s">
        <v>43</v>
      </c>
      <c r="R864" t="s">
        <v>90</v>
      </c>
      <c r="S864" t="s">
        <v>45</v>
      </c>
      <c r="T864">
        <v>2500</v>
      </c>
      <c r="U864" t="s">
        <v>35</v>
      </c>
      <c r="V864" t="s">
        <v>59</v>
      </c>
      <c r="W864">
        <v>3</v>
      </c>
      <c r="X864" t="s">
        <v>193</v>
      </c>
      <c r="Y864">
        <v>3</v>
      </c>
      <c r="Z864" t="s">
        <v>215</v>
      </c>
    </row>
    <row r="865" spans="1:26" hidden="1" x14ac:dyDescent="0.2">
      <c r="A865" t="s">
        <v>1860</v>
      </c>
      <c r="B865" t="s">
        <v>1861</v>
      </c>
      <c r="C865" s="1">
        <v>46107</v>
      </c>
      <c r="D865" t="s">
        <v>254</v>
      </c>
      <c r="E865">
        <v>32</v>
      </c>
      <c r="F865">
        <v>5.4</v>
      </c>
      <c r="G865" t="s">
        <v>50</v>
      </c>
      <c r="H865" t="s">
        <v>167</v>
      </c>
      <c r="I865" s="1">
        <v>46107.305555555555</v>
      </c>
      <c r="J865" s="1">
        <v>46107.314583333333</v>
      </c>
      <c r="K865" s="1">
        <v>46107.375</v>
      </c>
      <c r="L865" s="1">
        <v>46107.382638888892</v>
      </c>
      <c r="M865" s="1">
        <v>46107.421527777777</v>
      </c>
      <c r="N865" s="1">
        <v>46107.425694444442</v>
      </c>
      <c r="O865">
        <v>2</v>
      </c>
      <c r="P865" t="s">
        <v>37</v>
      </c>
      <c r="Q865" t="s">
        <v>82</v>
      </c>
      <c r="R865" t="s">
        <v>214</v>
      </c>
      <c r="S865" t="s">
        <v>84</v>
      </c>
      <c r="T865">
        <v>4000</v>
      </c>
      <c r="U865" t="s">
        <v>35</v>
      </c>
      <c r="V865" t="s">
        <v>36</v>
      </c>
      <c r="W865">
        <v>1</v>
      </c>
      <c r="X865" t="s">
        <v>37</v>
      </c>
      <c r="Y865">
        <v>5</v>
      </c>
      <c r="Z865" t="s">
        <v>46</v>
      </c>
    </row>
    <row r="866" spans="1:26" hidden="1" x14ac:dyDescent="0.2">
      <c r="A866" t="s">
        <v>1862</v>
      </c>
      <c r="B866" t="s">
        <v>1863</v>
      </c>
      <c r="C866" s="1">
        <v>46037</v>
      </c>
      <c r="D866" t="s">
        <v>154</v>
      </c>
      <c r="E866">
        <v>19</v>
      </c>
      <c r="F866">
        <v>9.9</v>
      </c>
      <c r="G866" t="s">
        <v>81</v>
      </c>
      <c r="H866" t="s">
        <v>42</v>
      </c>
      <c r="I866" s="1">
        <v>46037.269444444442</v>
      </c>
      <c r="J866" s="1">
        <v>46037.284722222219</v>
      </c>
      <c r="K866" s="1">
        <v>46037.334027777775</v>
      </c>
      <c r="L866" s="1">
        <v>46037.345833333333</v>
      </c>
      <c r="M866" s="1">
        <v>46037.381249999999</v>
      </c>
      <c r="N866" s="1">
        <v>46037.410416666666</v>
      </c>
      <c r="O866">
        <v>6</v>
      </c>
      <c r="P866" t="s">
        <v>37</v>
      </c>
      <c r="Q866" t="s">
        <v>82</v>
      </c>
      <c r="R866" t="s">
        <v>286</v>
      </c>
      <c r="S866" t="s">
        <v>84</v>
      </c>
      <c r="T866">
        <v>4000</v>
      </c>
      <c r="U866" t="s">
        <v>35</v>
      </c>
      <c r="V866" t="s">
        <v>36</v>
      </c>
      <c r="W866">
        <v>1</v>
      </c>
      <c r="X866" t="s">
        <v>37</v>
      </c>
      <c r="Y866">
        <v>4</v>
      </c>
      <c r="Z866" t="s">
        <v>54</v>
      </c>
    </row>
    <row r="867" spans="1:26" hidden="1" x14ac:dyDescent="0.2">
      <c r="A867" t="s">
        <v>1864</v>
      </c>
      <c r="B867" t="s">
        <v>1865</v>
      </c>
      <c r="C867" s="1">
        <v>46053</v>
      </c>
      <c r="D867" t="s">
        <v>171</v>
      </c>
      <c r="E867">
        <v>20</v>
      </c>
      <c r="F867">
        <v>8.3000000000000007</v>
      </c>
      <c r="G867" t="s">
        <v>29</v>
      </c>
      <c r="H867" t="s">
        <v>167</v>
      </c>
      <c r="I867" s="1">
        <v>46053.343055555553</v>
      </c>
      <c r="J867" s="1">
        <v>46053.35833333333</v>
      </c>
      <c r="K867" s="1">
        <v>46053.372916666667</v>
      </c>
      <c r="L867" s="1">
        <v>46053.381944444445</v>
      </c>
      <c r="M867" s="1">
        <v>46053.4</v>
      </c>
      <c r="N867" s="1">
        <v>46053.418055555558</v>
      </c>
      <c r="O867">
        <v>5</v>
      </c>
      <c r="P867" t="s">
        <v>106</v>
      </c>
      <c r="Q867" t="s">
        <v>32</v>
      </c>
      <c r="R867" t="s">
        <v>77</v>
      </c>
      <c r="S867" t="s">
        <v>34</v>
      </c>
      <c r="T867">
        <v>5000</v>
      </c>
      <c r="U867" t="s">
        <v>35</v>
      </c>
      <c r="V867" t="s">
        <v>36</v>
      </c>
      <c r="W867">
        <v>1</v>
      </c>
      <c r="X867" t="s">
        <v>37</v>
      </c>
      <c r="Y867">
        <v>5</v>
      </c>
      <c r="Z867" t="s">
        <v>296</v>
      </c>
    </row>
    <row r="868" spans="1:26" x14ac:dyDescent="0.2">
      <c r="A868" t="s">
        <v>1866</v>
      </c>
      <c r="B868" t="s">
        <v>1867</v>
      </c>
      <c r="C868" s="1">
        <v>46112</v>
      </c>
      <c r="D868" t="s">
        <v>105</v>
      </c>
      <c r="E868">
        <v>33</v>
      </c>
      <c r="F868">
        <v>4.5999999999999996</v>
      </c>
      <c r="G868" t="s">
        <v>81</v>
      </c>
      <c r="H868" t="s">
        <v>51</v>
      </c>
      <c r="I868" s="1">
        <v>46112.380555555559</v>
      </c>
      <c r="J868" s="1">
        <v>46112.400694444441</v>
      </c>
      <c r="K868" s="1">
        <v>46112.436111111114</v>
      </c>
      <c r="L868" s="1">
        <v>46112.449305555558</v>
      </c>
      <c r="M868" s="1">
        <v>46112.463194444441</v>
      </c>
      <c r="N868" s="1">
        <v>46112.478472222225</v>
      </c>
      <c r="O868">
        <v>7</v>
      </c>
      <c r="P868" t="s">
        <v>37</v>
      </c>
      <c r="Q868" t="s">
        <v>32</v>
      </c>
      <c r="R868" t="s">
        <v>278</v>
      </c>
      <c r="S868" t="s">
        <v>34</v>
      </c>
      <c r="T868">
        <v>5000</v>
      </c>
      <c r="U868" t="s">
        <v>35</v>
      </c>
      <c r="V868" t="s">
        <v>36</v>
      </c>
      <c r="W868">
        <v>1</v>
      </c>
      <c r="X868" t="s">
        <v>37</v>
      </c>
      <c r="Y868">
        <v>1</v>
      </c>
      <c r="Z868" t="s">
        <v>134</v>
      </c>
    </row>
    <row r="869" spans="1:26" hidden="1" x14ac:dyDescent="0.2">
      <c r="A869" t="s">
        <v>1868</v>
      </c>
      <c r="B869" t="s">
        <v>1869</v>
      </c>
      <c r="C869" s="1">
        <v>46026</v>
      </c>
      <c r="D869" t="s">
        <v>89</v>
      </c>
      <c r="E869">
        <v>10</v>
      </c>
      <c r="F869">
        <v>4.7</v>
      </c>
      <c r="G869" t="s">
        <v>57</v>
      </c>
      <c r="H869" t="s">
        <v>157</v>
      </c>
      <c r="I869" s="1">
        <v>46026.393055555556</v>
      </c>
      <c r="J869" s="1">
        <v>46026.398611111108</v>
      </c>
      <c r="K869" s="1">
        <v>46026.444444444445</v>
      </c>
      <c r="L869" s="1">
        <v>46026.455555555556</v>
      </c>
      <c r="M869" s="1">
        <v>46026.464583333334</v>
      </c>
      <c r="N869" s="1">
        <v>46026.495833333334</v>
      </c>
      <c r="O869">
        <v>6</v>
      </c>
      <c r="P869" t="s">
        <v>37</v>
      </c>
      <c r="Q869" t="s">
        <v>96</v>
      </c>
      <c r="R869" t="s">
        <v>164</v>
      </c>
      <c r="S869" t="s">
        <v>98</v>
      </c>
      <c r="T869">
        <v>3000</v>
      </c>
      <c r="U869" t="s">
        <v>35</v>
      </c>
      <c r="V869" t="s">
        <v>36</v>
      </c>
      <c r="W869">
        <v>1</v>
      </c>
      <c r="X869" t="s">
        <v>37</v>
      </c>
      <c r="Y869">
        <v>4</v>
      </c>
      <c r="Z869" t="s">
        <v>168</v>
      </c>
    </row>
    <row r="870" spans="1:26" hidden="1" x14ac:dyDescent="0.2">
      <c r="A870" t="s">
        <v>1870</v>
      </c>
      <c r="B870" t="s">
        <v>1871</v>
      </c>
      <c r="C870" s="1">
        <v>46037</v>
      </c>
      <c r="D870" t="s">
        <v>154</v>
      </c>
      <c r="E870">
        <v>23</v>
      </c>
      <c r="F870">
        <v>6.1</v>
      </c>
      <c r="G870" t="s">
        <v>29</v>
      </c>
      <c r="H870" t="s">
        <v>65</v>
      </c>
      <c r="I870" s="1">
        <v>46037.394444444442</v>
      </c>
      <c r="J870" s="1">
        <v>46037.400694444441</v>
      </c>
      <c r="K870" s="1">
        <v>46037.460416666669</v>
      </c>
      <c r="L870" s="1">
        <v>46037.474305555559</v>
      </c>
      <c r="M870" s="1">
        <v>46037.493750000001</v>
      </c>
      <c r="N870" s="1">
        <v>46037.518750000003</v>
      </c>
      <c r="O870">
        <v>5</v>
      </c>
      <c r="P870" t="s">
        <v>37</v>
      </c>
      <c r="Q870" t="s">
        <v>69</v>
      </c>
      <c r="R870" t="s">
        <v>251</v>
      </c>
      <c r="S870" t="s">
        <v>71</v>
      </c>
      <c r="T870">
        <v>2000</v>
      </c>
      <c r="U870" t="s">
        <v>35</v>
      </c>
      <c r="V870" t="s">
        <v>36</v>
      </c>
      <c r="W870">
        <v>1</v>
      </c>
      <c r="X870" t="s">
        <v>37</v>
      </c>
      <c r="Y870">
        <v>5</v>
      </c>
      <c r="Z870" t="s">
        <v>131</v>
      </c>
    </row>
    <row r="871" spans="1:26" hidden="1" x14ac:dyDescent="0.2">
      <c r="A871" t="s">
        <v>1872</v>
      </c>
      <c r="B871" t="s">
        <v>1873</v>
      </c>
      <c r="C871" s="1">
        <v>46028</v>
      </c>
      <c r="D871" t="s">
        <v>289</v>
      </c>
      <c r="E871">
        <v>7</v>
      </c>
      <c r="F871">
        <v>8.1</v>
      </c>
      <c r="G871" t="s">
        <v>50</v>
      </c>
      <c r="H871" t="s">
        <v>51</v>
      </c>
      <c r="I871" s="1">
        <v>46028.257638888892</v>
      </c>
      <c r="J871" s="1">
        <v>46028.274305555555</v>
      </c>
      <c r="K871" s="1">
        <v>46028.285416666666</v>
      </c>
      <c r="L871" s="1">
        <v>46028.288888888892</v>
      </c>
      <c r="M871" s="1">
        <v>46028.324999999997</v>
      </c>
      <c r="N871" s="1">
        <v>46028.339583333334</v>
      </c>
      <c r="O871">
        <v>2</v>
      </c>
      <c r="P871" t="s">
        <v>37</v>
      </c>
      <c r="Q871" t="s">
        <v>43</v>
      </c>
      <c r="R871" t="s">
        <v>200</v>
      </c>
      <c r="S871" t="s">
        <v>45</v>
      </c>
      <c r="T871">
        <v>2500</v>
      </c>
      <c r="U871" t="s">
        <v>35</v>
      </c>
      <c r="V871" t="s">
        <v>36</v>
      </c>
      <c r="W871">
        <v>1</v>
      </c>
      <c r="X871" t="s">
        <v>37</v>
      </c>
      <c r="Y871">
        <v>5</v>
      </c>
      <c r="Z871" t="s">
        <v>161</v>
      </c>
    </row>
    <row r="872" spans="1:26" hidden="1" x14ac:dyDescent="0.2">
      <c r="A872" t="s">
        <v>1874</v>
      </c>
      <c r="B872" t="s">
        <v>1875</v>
      </c>
      <c r="C872" s="1">
        <v>46042</v>
      </c>
      <c r="D872" t="s">
        <v>220</v>
      </c>
      <c r="E872">
        <v>12</v>
      </c>
      <c r="F872">
        <v>5.9</v>
      </c>
      <c r="G872" t="s">
        <v>57</v>
      </c>
      <c r="H872" t="s">
        <v>42</v>
      </c>
      <c r="I872" s="1">
        <v>46042.297222222223</v>
      </c>
      <c r="J872" s="1">
        <v>46042.311805555553</v>
      </c>
      <c r="K872" s="1">
        <v>46042.338888888888</v>
      </c>
      <c r="L872" s="1">
        <v>46042.349305555559</v>
      </c>
      <c r="M872" s="1">
        <v>46042.37222222222</v>
      </c>
      <c r="N872" s="1">
        <v>46042.37777777778</v>
      </c>
      <c r="O872">
        <v>3</v>
      </c>
      <c r="P872" t="s">
        <v>37</v>
      </c>
      <c r="Q872" t="s">
        <v>43</v>
      </c>
      <c r="R872" t="s">
        <v>44</v>
      </c>
      <c r="S872" t="s">
        <v>45</v>
      </c>
      <c r="T872">
        <v>2500</v>
      </c>
      <c r="U872" t="s">
        <v>35</v>
      </c>
      <c r="V872" t="s">
        <v>36</v>
      </c>
      <c r="W872">
        <v>1</v>
      </c>
      <c r="X872" t="s">
        <v>37</v>
      </c>
      <c r="Y872">
        <v>5</v>
      </c>
      <c r="Z872" t="s">
        <v>131</v>
      </c>
    </row>
    <row r="873" spans="1:26" x14ac:dyDescent="0.2">
      <c r="A873" t="s">
        <v>1876</v>
      </c>
      <c r="B873" t="s">
        <v>1877</v>
      </c>
      <c r="C873" s="1">
        <v>46103</v>
      </c>
      <c r="D873" t="s">
        <v>186</v>
      </c>
      <c r="E873">
        <v>18</v>
      </c>
      <c r="F873">
        <v>5.9</v>
      </c>
      <c r="G873" t="s">
        <v>81</v>
      </c>
      <c r="H873" t="s">
        <v>42</v>
      </c>
      <c r="I873" s="1">
        <v>46103.359027777777</v>
      </c>
      <c r="J873" s="1">
        <v>46103.374305555553</v>
      </c>
      <c r="K873" s="1">
        <v>46103.421527777777</v>
      </c>
      <c r="L873" s="1">
        <v>46103.432638888888</v>
      </c>
      <c r="M873" s="1">
        <v>46103.474305555559</v>
      </c>
      <c r="N873" s="1">
        <v>46103.478472222225</v>
      </c>
      <c r="O873">
        <v>7</v>
      </c>
      <c r="P873" t="s">
        <v>37</v>
      </c>
      <c r="Q873" t="s">
        <v>32</v>
      </c>
      <c r="R873" t="s">
        <v>140</v>
      </c>
      <c r="S873" t="s">
        <v>34</v>
      </c>
      <c r="T873">
        <v>5000</v>
      </c>
      <c r="U873" t="s">
        <v>35</v>
      </c>
      <c r="V873" t="s">
        <v>59</v>
      </c>
      <c r="W873">
        <v>2</v>
      </c>
      <c r="X873" t="s">
        <v>85</v>
      </c>
      <c r="Y873">
        <v>2</v>
      </c>
      <c r="Z873" t="s">
        <v>161</v>
      </c>
    </row>
    <row r="874" spans="1:26" hidden="1" x14ac:dyDescent="0.2">
      <c r="A874" t="s">
        <v>1878</v>
      </c>
      <c r="B874" t="s">
        <v>1879</v>
      </c>
      <c r="C874" s="1">
        <v>46038</v>
      </c>
      <c r="D874" t="s">
        <v>230</v>
      </c>
      <c r="E874">
        <v>38</v>
      </c>
      <c r="F874">
        <v>5</v>
      </c>
      <c r="G874" t="s">
        <v>81</v>
      </c>
      <c r="H874" t="s">
        <v>65</v>
      </c>
      <c r="I874" s="1">
        <v>46038.381249999999</v>
      </c>
      <c r="J874" s="1">
        <v>46038.384722222225</v>
      </c>
      <c r="K874" s="1">
        <v>46038.414583333331</v>
      </c>
      <c r="L874" s="1">
        <v>46038.423611111109</v>
      </c>
      <c r="M874" s="1">
        <v>46038.459027777775</v>
      </c>
      <c r="N874" s="1">
        <v>46038.470138888886</v>
      </c>
      <c r="O874">
        <v>5</v>
      </c>
      <c r="P874" t="s">
        <v>37</v>
      </c>
      <c r="Q874" t="s">
        <v>43</v>
      </c>
      <c r="R874" t="s">
        <v>58</v>
      </c>
      <c r="S874" t="s">
        <v>45</v>
      </c>
      <c r="T874">
        <v>2500</v>
      </c>
      <c r="U874" t="s">
        <v>35</v>
      </c>
      <c r="V874" t="s">
        <v>59</v>
      </c>
      <c r="W874">
        <v>2</v>
      </c>
      <c r="X874" t="s">
        <v>193</v>
      </c>
      <c r="Y874">
        <v>5</v>
      </c>
      <c r="Z874" t="s">
        <v>54</v>
      </c>
    </row>
    <row r="875" spans="1:26" hidden="1" x14ac:dyDescent="0.2">
      <c r="A875" t="s">
        <v>1880</v>
      </c>
      <c r="B875" t="s">
        <v>1881</v>
      </c>
      <c r="C875" s="1">
        <v>46105</v>
      </c>
      <c r="D875" t="s">
        <v>89</v>
      </c>
      <c r="E875">
        <v>20</v>
      </c>
      <c r="F875">
        <v>5.2</v>
      </c>
      <c r="G875" t="s">
        <v>29</v>
      </c>
      <c r="H875" t="s">
        <v>95</v>
      </c>
      <c r="I875" s="1">
        <v>46105.373611111114</v>
      </c>
      <c r="J875" s="1">
        <v>46105.385416666664</v>
      </c>
      <c r="K875" s="1">
        <v>46105.447222222225</v>
      </c>
      <c r="L875" s="1">
        <v>46105.456944444442</v>
      </c>
      <c r="M875" s="1">
        <v>46105.495833333334</v>
      </c>
      <c r="N875" s="1">
        <v>46105.506249999999</v>
      </c>
      <c r="O875">
        <v>5</v>
      </c>
      <c r="P875" t="s">
        <v>37</v>
      </c>
      <c r="Q875" t="s">
        <v>43</v>
      </c>
      <c r="R875" t="s">
        <v>58</v>
      </c>
      <c r="S875" t="s">
        <v>45</v>
      </c>
      <c r="T875">
        <v>2500</v>
      </c>
      <c r="U875" t="s">
        <v>35</v>
      </c>
      <c r="V875" t="s">
        <v>36</v>
      </c>
      <c r="W875">
        <v>1</v>
      </c>
      <c r="X875" t="s">
        <v>37</v>
      </c>
      <c r="Y875">
        <v>4</v>
      </c>
      <c r="Z875" t="s">
        <v>296</v>
      </c>
    </row>
    <row r="876" spans="1:26" hidden="1" x14ac:dyDescent="0.2">
      <c r="A876" t="s">
        <v>1882</v>
      </c>
      <c r="B876" t="s">
        <v>1883</v>
      </c>
      <c r="C876" s="1">
        <v>46054</v>
      </c>
      <c r="D876" t="s">
        <v>145</v>
      </c>
      <c r="E876">
        <v>28</v>
      </c>
      <c r="F876">
        <v>9.8000000000000007</v>
      </c>
      <c r="G876" t="s">
        <v>81</v>
      </c>
      <c r="H876" t="s">
        <v>157</v>
      </c>
      <c r="I876" s="1">
        <v>46054.287499999999</v>
      </c>
      <c r="J876" s="1">
        <v>46054.293055555558</v>
      </c>
      <c r="K876" s="1">
        <v>46054.32708333333</v>
      </c>
      <c r="L876" s="1">
        <v>46054.336111111108</v>
      </c>
      <c r="M876" s="1">
        <v>46054.34652777778</v>
      </c>
      <c r="N876" s="1">
        <v>46054.370138888888</v>
      </c>
      <c r="O876">
        <v>7</v>
      </c>
      <c r="P876" t="s">
        <v>115</v>
      </c>
      <c r="Q876" t="s">
        <v>43</v>
      </c>
      <c r="R876" t="s">
        <v>158</v>
      </c>
      <c r="S876" t="s">
        <v>45</v>
      </c>
      <c r="T876">
        <v>2500</v>
      </c>
      <c r="U876" t="s">
        <v>35</v>
      </c>
      <c r="V876" t="s">
        <v>59</v>
      </c>
      <c r="W876">
        <v>4</v>
      </c>
      <c r="X876" t="s">
        <v>85</v>
      </c>
      <c r="Y876">
        <v>4</v>
      </c>
      <c r="Z876" t="s">
        <v>61</v>
      </c>
    </row>
    <row r="877" spans="1:26" hidden="1" x14ac:dyDescent="0.2">
      <c r="A877" t="s">
        <v>1884</v>
      </c>
      <c r="B877" t="s">
        <v>1885</v>
      </c>
      <c r="C877" s="1">
        <v>46060</v>
      </c>
      <c r="D877" t="s">
        <v>230</v>
      </c>
      <c r="E877">
        <v>30</v>
      </c>
      <c r="F877">
        <v>10.3</v>
      </c>
      <c r="G877" t="s">
        <v>76</v>
      </c>
      <c r="H877" t="s">
        <v>167</v>
      </c>
      <c r="I877" s="1">
        <v>46060.34652777778</v>
      </c>
      <c r="J877" s="1">
        <v>46060.364583333336</v>
      </c>
      <c r="K877" s="1">
        <v>46060.387499999997</v>
      </c>
      <c r="L877" s="1">
        <v>46060.397222222222</v>
      </c>
      <c r="M877" s="1">
        <v>46060.412499999999</v>
      </c>
      <c r="N877" s="1">
        <v>46060.416666666664</v>
      </c>
      <c r="O877">
        <v>6</v>
      </c>
      <c r="P877" t="s">
        <v>115</v>
      </c>
      <c r="Q877" t="s">
        <v>32</v>
      </c>
      <c r="R877" t="s">
        <v>278</v>
      </c>
      <c r="S877" t="s">
        <v>34</v>
      </c>
      <c r="T877">
        <v>5000</v>
      </c>
      <c r="U877" t="s">
        <v>35</v>
      </c>
      <c r="V877" t="s">
        <v>36</v>
      </c>
      <c r="W877">
        <v>1</v>
      </c>
      <c r="X877" t="s">
        <v>37</v>
      </c>
      <c r="Y877">
        <v>5</v>
      </c>
      <c r="Z877" t="s">
        <v>131</v>
      </c>
    </row>
    <row r="878" spans="1:26" hidden="1" x14ac:dyDescent="0.2">
      <c r="A878" t="s">
        <v>1886</v>
      </c>
      <c r="B878" t="s">
        <v>1887</v>
      </c>
      <c r="C878" s="1">
        <v>46090</v>
      </c>
      <c r="D878" t="s">
        <v>285</v>
      </c>
      <c r="E878">
        <v>11</v>
      </c>
      <c r="F878">
        <v>6.9</v>
      </c>
      <c r="G878" t="s">
        <v>81</v>
      </c>
      <c r="H878" t="s">
        <v>30</v>
      </c>
      <c r="I878" s="1">
        <v>46090.338888888888</v>
      </c>
      <c r="J878" s="1">
        <v>46090.353472222225</v>
      </c>
      <c r="K878" s="1">
        <v>46090.375694444447</v>
      </c>
      <c r="L878" s="1">
        <v>46090.384722222225</v>
      </c>
      <c r="M878" s="1">
        <v>46090.40625</v>
      </c>
      <c r="N878" s="1">
        <v>46090.415277777778</v>
      </c>
      <c r="O878">
        <v>4</v>
      </c>
      <c r="P878" t="s">
        <v>37</v>
      </c>
      <c r="Q878" t="s">
        <v>32</v>
      </c>
      <c r="R878" t="s">
        <v>120</v>
      </c>
      <c r="S878" t="s">
        <v>34</v>
      </c>
      <c r="T878">
        <v>5000</v>
      </c>
      <c r="U878" t="s">
        <v>35</v>
      </c>
      <c r="V878" t="s">
        <v>36</v>
      </c>
      <c r="W878">
        <v>1</v>
      </c>
      <c r="X878" t="s">
        <v>37</v>
      </c>
      <c r="Y878">
        <v>4</v>
      </c>
      <c r="Z878" t="s">
        <v>161</v>
      </c>
    </row>
    <row r="879" spans="1:26" x14ac:dyDescent="0.2">
      <c r="A879" t="s">
        <v>1888</v>
      </c>
      <c r="B879" t="s">
        <v>1889</v>
      </c>
      <c r="C879" s="1">
        <v>46030</v>
      </c>
      <c r="D879" t="s">
        <v>230</v>
      </c>
      <c r="E879">
        <v>18</v>
      </c>
      <c r="F879">
        <v>11.3</v>
      </c>
      <c r="G879" t="s">
        <v>57</v>
      </c>
      <c r="H879" t="s">
        <v>42</v>
      </c>
      <c r="I879" s="1">
        <v>46030.395833333336</v>
      </c>
      <c r="J879" s="1">
        <v>46030.406944444447</v>
      </c>
      <c r="K879" s="1">
        <v>46030.430555555555</v>
      </c>
      <c r="L879" s="1">
        <v>46030.439583333333</v>
      </c>
      <c r="M879" s="1">
        <v>46030.472222222219</v>
      </c>
      <c r="N879" s="1">
        <v>46030.489583333336</v>
      </c>
      <c r="O879">
        <v>6</v>
      </c>
      <c r="P879" t="s">
        <v>52</v>
      </c>
      <c r="Q879" t="s">
        <v>96</v>
      </c>
      <c r="R879" t="s">
        <v>164</v>
      </c>
      <c r="S879" t="s">
        <v>98</v>
      </c>
      <c r="T879">
        <v>3000</v>
      </c>
      <c r="U879" t="s">
        <v>35</v>
      </c>
      <c r="V879" t="s">
        <v>36</v>
      </c>
      <c r="W879">
        <v>1</v>
      </c>
      <c r="X879" t="s">
        <v>37</v>
      </c>
      <c r="Y879">
        <v>2</v>
      </c>
      <c r="Z879" t="s">
        <v>117</v>
      </c>
    </row>
    <row r="880" spans="1:26" hidden="1" x14ac:dyDescent="0.2">
      <c r="A880" t="s">
        <v>1890</v>
      </c>
      <c r="B880" t="s">
        <v>1891</v>
      </c>
      <c r="C880" s="1">
        <v>46081</v>
      </c>
      <c r="D880" t="s">
        <v>285</v>
      </c>
      <c r="E880">
        <v>39</v>
      </c>
      <c r="F880">
        <v>4.4000000000000004</v>
      </c>
      <c r="G880" t="s">
        <v>57</v>
      </c>
      <c r="H880" t="s">
        <v>95</v>
      </c>
      <c r="I880" s="1">
        <v>46081.354861111111</v>
      </c>
      <c r="J880" s="1">
        <v>46081.359722222223</v>
      </c>
      <c r="K880" s="1">
        <v>46081.422222222223</v>
      </c>
      <c r="L880" s="1">
        <v>46081.429861111108</v>
      </c>
      <c r="M880" s="1">
        <v>46081.458333333336</v>
      </c>
      <c r="N880" s="1">
        <v>46081.470833333333</v>
      </c>
      <c r="O880">
        <v>2</v>
      </c>
      <c r="P880" t="s">
        <v>37</v>
      </c>
      <c r="Q880" t="s">
        <v>43</v>
      </c>
      <c r="R880" t="s">
        <v>90</v>
      </c>
      <c r="S880" t="s">
        <v>45</v>
      </c>
      <c r="T880">
        <v>2500</v>
      </c>
      <c r="U880" t="s">
        <v>35</v>
      </c>
      <c r="V880" t="s">
        <v>36</v>
      </c>
      <c r="W880">
        <v>1</v>
      </c>
      <c r="X880" t="s">
        <v>37</v>
      </c>
      <c r="Y880">
        <v>5</v>
      </c>
      <c r="Z880" t="s">
        <v>46</v>
      </c>
    </row>
    <row r="881" spans="1:26" x14ac:dyDescent="0.2">
      <c r="A881" t="s">
        <v>1892</v>
      </c>
      <c r="B881" t="s">
        <v>1893</v>
      </c>
      <c r="C881" s="1">
        <v>46032</v>
      </c>
      <c r="D881" t="s">
        <v>89</v>
      </c>
      <c r="E881">
        <v>25</v>
      </c>
      <c r="F881">
        <v>11.9</v>
      </c>
      <c r="G881" t="s">
        <v>29</v>
      </c>
      <c r="H881" t="s">
        <v>157</v>
      </c>
      <c r="I881" s="1">
        <v>46032.338888888888</v>
      </c>
      <c r="J881" s="1">
        <v>46032.351388888892</v>
      </c>
      <c r="K881" s="1">
        <v>46032.406944444447</v>
      </c>
      <c r="L881" s="1">
        <v>46032.410416666666</v>
      </c>
      <c r="M881" s="1">
        <v>46032.417361111111</v>
      </c>
      <c r="N881" s="1">
        <v>46032.428472222222</v>
      </c>
      <c r="O881">
        <v>2</v>
      </c>
      <c r="P881" t="s">
        <v>37</v>
      </c>
      <c r="Q881" t="s">
        <v>69</v>
      </c>
      <c r="R881" t="s">
        <v>70</v>
      </c>
      <c r="S881" t="s">
        <v>71</v>
      </c>
      <c r="T881">
        <v>2000</v>
      </c>
      <c r="U881" t="s">
        <v>91</v>
      </c>
      <c r="V881" t="s">
        <v>36</v>
      </c>
      <c r="W881">
        <v>1</v>
      </c>
      <c r="X881" t="s">
        <v>37</v>
      </c>
      <c r="Y881">
        <v>2</v>
      </c>
      <c r="Z881" t="s">
        <v>61</v>
      </c>
    </row>
    <row r="882" spans="1:26" hidden="1" x14ac:dyDescent="0.2">
      <c r="A882" t="s">
        <v>1894</v>
      </c>
      <c r="B882" t="s">
        <v>1895</v>
      </c>
      <c r="C882" s="1">
        <v>46037</v>
      </c>
      <c r="D882" t="s">
        <v>75</v>
      </c>
      <c r="E882">
        <v>38</v>
      </c>
      <c r="F882">
        <v>11.4</v>
      </c>
      <c r="G882" t="s">
        <v>57</v>
      </c>
      <c r="H882" t="s">
        <v>30</v>
      </c>
      <c r="I882" s="1">
        <v>46037.316666666666</v>
      </c>
      <c r="J882" s="1">
        <v>46037.32708333333</v>
      </c>
      <c r="K882" s="1">
        <v>46037.375694444447</v>
      </c>
      <c r="L882" s="1">
        <v>46037.38958333333</v>
      </c>
      <c r="M882" s="1">
        <v>46037.407638888886</v>
      </c>
      <c r="N882" s="1">
        <v>46037.423611111109</v>
      </c>
      <c r="O882">
        <v>7</v>
      </c>
      <c r="P882" t="s">
        <v>37</v>
      </c>
      <c r="Q882" t="s">
        <v>82</v>
      </c>
      <c r="R882" t="s">
        <v>239</v>
      </c>
      <c r="S882" t="s">
        <v>84</v>
      </c>
      <c r="T882">
        <v>4000</v>
      </c>
      <c r="U882" t="s">
        <v>35</v>
      </c>
      <c r="V882" t="s">
        <v>36</v>
      </c>
      <c r="W882">
        <v>1</v>
      </c>
      <c r="X882" t="s">
        <v>37</v>
      </c>
      <c r="Y882">
        <v>4</v>
      </c>
      <c r="Z882" t="s">
        <v>102</v>
      </c>
    </row>
    <row r="883" spans="1:26" hidden="1" x14ac:dyDescent="0.2">
      <c r="A883" t="s">
        <v>1896</v>
      </c>
      <c r="B883" t="s">
        <v>1897</v>
      </c>
      <c r="C883" s="1">
        <v>46110</v>
      </c>
      <c r="D883" t="s">
        <v>267</v>
      </c>
      <c r="E883">
        <v>27</v>
      </c>
      <c r="F883">
        <v>5.0999999999999996</v>
      </c>
      <c r="G883" t="s">
        <v>29</v>
      </c>
      <c r="H883" t="s">
        <v>51</v>
      </c>
      <c r="I883" s="1">
        <v>46110.304861111108</v>
      </c>
      <c r="J883" s="1">
        <v>46110.321527777778</v>
      </c>
      <c r="K883" s="1">
        <v>46110.334722222222</v>
      </c>
      <c r="L883" s="1">
        <v>46110.340277777781</v>
      </c>
      <c r="M883" s="1">
        <v>46110.370138888888</v>
      </c>
      <c r="N883" s="1">
        <v>46110.401388888888</v>
      </c>
      <c r="O883">
        <v>7</v>
      </c>
      <c r="P883" t="s">
        <v>37</v>
      </c>
      <c r="Q883" t="s">
        <v>43</v>
      </c>
      <c r="R883" t="s">
        <v>58</v>
      </c>
      <c r="S883" t="s">
        <v>45</v>
      </c>
      <c r="T883">
        <v>2500</v>
      </c>
      <c r="U883" t="s">
        <v>35</v>
      </c>
      <c r="V883" t="s">
        <v>36</v>
      </c>
      <c r="W883">
        <v>1</v>
      </c>
      <c r="X883" t="s">
        <v>37</v>
      </c>
      <c r="Y883">
        <v>3</v>
      </c>
      <c r="Z883" t="s">
        <v>131</v>
      </c>
    </row>
    <row r="884" spans="1:26" hidden="1" x14ac:dyDescent="0.2">
      <c r="A884" t="s">
        <v>1898</v>
      </c>
      <c r="B884" t="s">
        <v>1899</v>
      </c>
      <c r="C884" s="1">
        <v>46066</v>
      </c>
      <c r="D884" t="s">
        <v>64</v>
      </c>
      <c r="E884">
        <v>31</v>
      </c>
      <c r="F884">
        <v>5.6</v>
      </c>
      <c r="G884" t="s">
        <v>57</v>
      </c>
      <c r="H884" t="s">
        <v>95</v>
      </c>
      <c r="I884" s="1">
        <v>46066.357638888891</v>
      </c>
      <c r="J884" s="1">
        <v>46066.374305555553</v>
      </c>
      <c r="K884" s="1">
        <v>46066.425694444442</v>
      </c>
      <c r="L884" s="1">
        <v>46066.431944444441</v>
      </c>
      <c r="M884" s="1">
        <v>46066.441666666666</v>
      </c>
      <c r="N884" s="1">
        <v>46066.455555555556</v>
      </c>
      <c r="O884">
        <v>4</v>
      </c>
      <c r="P884" t="s">
        <v>129</v>
      </c>
      <c r="Q884" t="s">
        <v>32</v>
      </c>
      <c r="R884" t="s">
        <v>278</v>
      </c>
      <c r="S884" t="s">
        <v>34</v>
      </c>
      <c r="T884">
        <v>5000</v>
      </c>
      <c r="U884" t="s">
        <v>35</v>
      </c>
      <c r="V884" t="s">
        <v>36</v>
      </c>
      <c r="W884">
        <v>1</v>
      </c>
      <c r="X884" t="s">
        <v>37</v>
      </c>
      <c r="Y884">
        <v>5</v>
      </c>
      <c r="Z884" t="s">
        <v>38</v>
      </c>
    </row>
    <row r="885" spans="1:26" x14ac:dyDescent="0.2">
      <c r="A885" t="s">
        <v>1900</v>
      </c>
      <c r="B885" t="s">
        <v>1901</v>
      </c>
      <c r="C885" s="1">
        <v>46039</v>
      </c>
      <c r="D885" t="s">
        <v>285</v>
      </c>
      <c r="E885">
        <v>7</v>
      </c>
      <c r="F885">
        <v>10.6</v>
      </c>
      <c r="G885" t="s">
        <v>29</v>
      </c>
      <c r="H885" t="s">
        <v>42</v>
      </c>
      <c r="I885" s="1">
        <v>46039.390277777777</v>
      </c>
      <c r="J885" s="1">
        <v>46039.400694444441</v>
      </c>
      <c r="K885" s="1">
        <v>46039.428472222222</v>
      </c>
      <c r="L885" s="1">
        <v>46039.442361111112</v>
      </c>
      <c r="M885" s="1">
        <v>46039.466666666667</v>
      </c>
      <c r="N885" s="1">
        <v>46039.488888888889</v>
      </c>
      <c r="O885">
        <v>4</v>
      </c>
      <c r="P885" t="s">
        <v>37</v>
      </c>
      <c r="Q885" t="s">
        <v>69</v>
      </c>
      <c r="R885" t="s">
        <v>70</v>
      </c>
      <c r="S885" t="s">
        <v>71</v>
      </c>
      <c r="T885">
        <v>2000</v>
      </c>
      <c r="U885" t="s">
        <v>35</v>
      </c>
      <c r="V885" t="s">
        <v>36</v>
      </c>
      <c r="W885">
        <v>1</v>
      </c>
      <c r="X885" t="s">
        <v>37</v>
      </c>
      <c r="Y885">
        <v>2</v>
      </c>
      <c r="Z885" t="s">
        <v>38</v>
      </c>
    </row>
    <row r="886" spans="1:26" hidden="1" x14ac:dyDescent="0.2">
      <c r="A886" t="s">
        <v>1902</v>
      </c>
      <c r="B886" t="s">
        <v>1903</v>
      </c>
      <c r="C886" s="1">
        <v>46077</v>
      </c>
      <c r="D886" t="s">
        <v>137</v>
      </c>
      <c r="E886">
        <v>17</v>
      </c>
      <c r="F886">
        <v>11</v>
      </c>
      <c r="G886" t="s">
        <v>29</v>
      </c>
      <c r="H886" t="s">
        <v>65</v>
      </c>
      <c r="I886" s="1">
        <v>46077.406944444447</v>
      </c>
      <c r="J886" s="1">
        <v>46077.414583333331</v>
      </c>
      <c r="K886" s="1">
        <v>46077.453472222223</v>
      </c>
      <c r="L886" s="1">
        <v>46077.465277777781</v>
      </c>
      <c r="M886" s="1">
        <v>46077.489583333336</v>
      </c>
      <c r="N886" s="1">
        <v>46077.519444444442</v>
      </c>
      <c r="O886">
        <v>1</v>
      </c>
      <c r="P886" t="s">
        <v>37</v>
      </c>
      <c r="Q886" t="s">
        <v>32</v>
      </c>
      <c r="R886" t="s">
        <v>107</v>
      </c>
      <c r="S886" t="s">
        <v>34</v>
      </c>
      <c r="T886">
        <v>5000</v>
      </c>
      <c r="U886" t="s">
        <v>35</v>
      </c>
      <c r="V886" t="s">
        <v>36</v>
      </c>
      <c r="W886">
        <v>1</v>
      </c>
      <c r="X886" t="s">
        <v>37</v>
      </c>
      <c r="Y886">
        <v>5</v>
      </c>
      <c r="Z886" t="s">
        <v>117</v>
      </c>
    </row>
    <row r="887" spans="1:26" hidden="1" x14ac:dyDescent="0.2">
      <c r="A887" t="s">
        <v>1904</v>
      </c>
      <c r="B887" t="s">
        <v>1905</v>
      </c>
      <c r="C887" s="1">
        <v>46050</v>
      </c>
      <c r="D887" t="s">
        <v>28</v>
      </c>
      <c r="E887">
        <v>18</v>
      </c>
      <c r="F887">
        <v>6</v>
      </c>
      <c r="G887" t="s">
        <v>76</v>
      </c>
      <c r="H887" t="s">
        <v>167</v>
      </c>
      <c r="I887" s="1">
        <v>46050.259027777778</v>
      </c>
      <c r="J887" s="1">
        <v>46050.271527777775</v>
      </c>
      <c r="K887" s="1">
        <v>46050.323611111111</v>
      </c>
      <c r="L887" s="1">
        <v>46050.330555555556</v>
      </c>
      <c r="M887" s="1">
        <v>46050.356249999997</v>
      </c>
      <c r="N887" s="1">
        <v>46050.384722222225</v>
      </c>
      <c r="O887">
        <v>1</v>
      </c>
      <c r="P887" t="s">
        <v>37</v>
      </c>
      <c r="Q887" t="s">
        <v>82</v>
      </c>
      <c r="R887" t="s">
        <v>239</v>
      </c>
      <c r="S887" t="s">
        <v>84</v>
      </c>
      <c r="T887">
        <v>4000</v>
      </c>
      <c r="U887" t="s">
        <v>35</v>
      </c>
      <c r="V887" t="s">
        <v>36</v>
      </c>
      <c r="W887">
        <v>1</v>
      </c>
      <c r="X887" t="s">
        <v>37</v>
      </c>
      <c r="Y887">
        <v>4</v>
      </c>
      <c r="Z887" t="s">
        <v>86</v>
      </c>
    </row>
    <row r="888" spans="1:26" hidden="1" x14ac:dyDescent="0.2">
      <c r="A888" t="s">
        <v>1906</v>
      </c>
      <c r="B888" t="s">
        <v>1907</v>
      </c>
      <c r="C888" s="1">
        <v>46102</v>
      </c>
      <c r="D888" t="s">
        <v>267</v>
      </c>
      <c r="E888">
        <v>23</v>
      </c>
      <c r="F888">
        <v>10</v>
      </c>
      <c r="G888" t="s">
        <v>29</v>
      </c>
      <c r="H888" t="s">
        <v>51</v>
      </c>
      <c r="I888" s="1">
        <v>46102.292361111111</v>
      </c>
      <c r="J888" s="1">
        <v>46102.302083333336</v>
      </c>
      <c r="K888" s="1">
        <v>46102.357638888891</v>
      </c>
      <c r="L888" s="1">
        <v>46102.361111111109</v>
      </c>
      <c r="M888" s="1">
        <v>46102.402777777781</v>
      </c>
      <c r="N888" s="1">
        <v>46102.429166666669</v>
      </c>
      <c r="O888">
        <v>4</v>
      </c>
      <c r="P888" t="s">
        <v>37</v>
      </c>
      <c r="Q888" t="s">
        <v>69</v>
      </c>
      <c r="R888" t="s">
        <v>251</v>
      </c>
      <c r="S888" t="s">
        <v>71</v>
      </c>
      <c r="T888">
        <v>2000</v>
      </c>
      <c r="U888" t="s">
        <v>35</v>
      </c>
      <c r="V888" t="s">
        <v>36</v>
      </c>
      <c r="W888">
        <v>1</v>
      </c>
      <c r="X888" t="s">
        <v>37</v>
      </c>
      <c r="Y888">
        <v>5</v>
      </c>
      <c r="Z888" t="s">
        <v>86</v>
      </c>
    </row>
    <row r="889" spans="1:26" hidden="1" x14ac:dyDescent="0.2">
      <c r="A889" t="s">
        <v>1908</v>
      </c>
      <c r="B889" t="s">
        <v>1909</v>
      </c>
      <c r="C889" s="1">
        <v>46090</v>
      </c>
      <c r="D889" t="s">
        <v>123</v>
      </c>
      <c r="E889">
        <v>18</v>
      </c>
      <c r="F889">
        <v>5.9</v>
      </c>
      <c r="G889" t="s">
        <v>76</v>
      </c>
      <c r="H889" t="s">
        <v>65</v>
      </c>
      <c r="I889" s="1">
        <v>46090.378472222219</v>
      </c>
      <c r="J889" s="1">
        <v>46090.384027777778</v>
      </c>
      <c r="K889" s="1">
        <v>46090.395138888889</v>
      </c>
      <c r="L889" s="1">
        <v>46090.400694444441</v>
      </c>
      <c r="M889" s="1">
        <v>46090.436805555553</v>
      </c>
      <c r="N889" s="1">
        <v>46090.456250000003</v>
      </c>
      <c r="O889">
        <v>4</v>
      </c>
      <c r="P889" t="s">
        <v>37</v>
      </c>
      <c r="Q889" t="s">
        <v>43</v>
      </c>
      <c r="R889" t="s">
        <v>90</v>
      </c>
      <c r="S889" t="s">
        <v>45</v>
      </c>
      <c r="T889">
        <v>2500</v>
      </c>
      <c r="U889" t="s">
        <v>35</v>
      </c>
      <c r="V889" t="s">
        <v>59</v>
      </c>
      <c r="W889">
        <v>3</v>
      </c>
      <c r="X889" t="s">
        <v>374</v>
      </c>
      <c r="Y889">
        <v>4</v>
      </c>
      <c r="Z889" t="s">
        <v>117</v>
      </c>
    </row>
    <row r="890" spans="1:26" hidden="1" x14ac:dyDescent="0.2">
      <c r="A890" t="s">
        <v>1910</v>
      </c>
      <c r="B890" t="s">
        <v>1911</v>
      </c>
      <c r="C890" s="1">
        <v>46059</v>
      </c>
      <c r="D890" t="s">
        <v>254</v>
      </c>
      <c r="E890">
        <v>33</v>
      </c>
      <c r="F890">
        <v>11.9</v>
      </c>
      <c r="G890" t="s">
        <v>81</v>
      </c>
      <c r="H890" t="s">
        <v>42</v>
      </c>
      <c r="I890" s="1">
        <v>46059.279166666667</v>
      </c>
      <c r="J890" s="1">
        <v>46059.290972222225</v>
      </c>
      <c r="K890" s="1">
        <v>46059.350694444445</v>
      </c>
      <c r="L890" s="1">
        <v>46059.363194444442</v>
      </c>
      <c r="M890" s="1">
        <v>46059.404166666667</v>
      </c>
      <c r="N890" s="1">
        <v>46059.43472222222</v>
      </c>
      <c r="O890">
        <v>5</v>
      </c>
      <c r="P890" t="s">
        <v>37</v>
      </c>
      <c r="Q890" t="s">
        <v>82</v>
      </c>
      <c r="R890" t="s">
        <v>286</v>
      </c>
      <c r="S890" t="s">
        <v>84</v>
      </c>
      <c r="T890">
        <v>4000</v>
      </c>
      <c r="U890" t="s">
        <v>35</v>
      </c>
      <c r="V890" t="s">
        <v>36</v>
      </c>
      <c r="W890">
        <v>1</v>
      </c>
      <c r="X890" t="s">
        <v>37</v>
      </c>
      <c r="Y890">
        <v>5</v>
      </c>
      <c r="Z890" t="s">
        <v>134</v>
      </c>
    </row>
    <row r="891" spans="1:26" hidden="1" x14ac:dyDescent="0.2">
      <c r="A891" t="s">
        <v>1912</v>
      </c>
      <c r="B891" t="s">
        <v>1913</v>
      </c>
      <c r="C891" s="1">
        <v>46099</v>
      </c>
      <c r="D891" t="s">
        <v>233</v>
      </c>
      <c r="E891">
        <v>38</v>
      </c>
      <c r="F891">
        <v>6.4</v>
      </c>
      <c r="G891" t="s">
        <v>81</v>
      </c>
      <c r="H891" t="s">
        <v>42</v>
      </c>
      <c r="I891" s="1">
        <v>46099.314583333333</v>
      </c>
      <c r="J891" s="1">
        <v>46099.330555555556</v>
      </c>
      <c r="K891" s="1">
        <v>46099.371527777781</v>
      </c>
      <c r="L891" s="1">
        <v>46099.379861111112</v>
      </c>
      <c r="M891" s="1">
        <v>46099.393055555556</v>
      </c>
      <c r="N891" s="1">
        <v>46099.411111111112</v>
      </c>
      <c r="O891">
        <v>5</v>
      </c>
      <c r="P891" t="s">
        <v>238</v>
      </c>
      <c r="Q891" t="s">
        <v>43</v>
      </c>
      <c r="R891" t="s">
        <v>90</v>
      </c>
      <c r="S891" t="s">
        <v>45</v>
      </c>
      <c r="T891">
        <v>2500</v>
      </c>
      <c r="U891" t="s">
        <v>35</v>
      </c>
      <c r="V891" t="s">
        <v>59</v>
      </c>
      <c r="W891">
        <v>2</v>
      </c>
      <c r="X891" t="s">
        <v>85</v>
      </c>
      <c r="Y891">
        <v>5</v>
      </c>
      <c r="Z891" t="s">
        <v>117</v>
      </c>
    </row>
    <row r="892" spans="1:26" hidden="1" x14ac:dyDescent="0.2">
      <c r="A892" t="s">
        <v>1914</v>
      </c>
      <c r="B892" t="s">
        <v>1915</v>
      </c>
      <c r="C892" s="1">
        <v>46051</v>
      </c>
      <c r="D892" t="s">
        <v>149</v>
      </c>
      <c r="E892">
        <v>32</v>
      </c>
      <c r="F892">
        <v>7.2</v>
      </c>
      <c r="G892" t="s">
        <v>81</v>
      </c>
      <c r="H892" t="s">
        <v>51</v>
      </c>
      <c r="I892" s="1">
        <v>46051.322222222225</v>
      </c>
      <c r="J892" s="1">
        <v>46051.338888888888</v>
      </c>
      <c r="K892" s="1">
        <v>46051.347222222219</v>
      </c>
      <c r="L892" s="1">
        <v>46051.361111111109</v>
      </c>
      <c r="M892" s="1">
        <v>46051.374305555553</v>
      </c>
      <c r="N892" s="1">
        <v>46051.395138888889</v>
      </c>
      <c r="O892">
        <v>6</v>
      </c>
      <c r="P892" t="s">
        <v>115</v>
      </c>
      <c r="Q892" t="s">
        <v>82</v>
      </c>
      <c r="R892" t="s">
        <v>239</v>
      </c>
      <c r="S892" t="s">
        <v>84</v>
      </c>
      <c r="T892">
        <v>4000</v>
      </c>
      <c r="U892" t="s">
        <v>91</v>
      </c>
      <c r="V892" t="s">
        <v>36</v>
      </c>
      <c r="W892">
        <v>1</v>
      </c>
      <c r="X892" t="s">
        <v>37</v>
      </c>
      <c r="Y892">
        <v>4</v>
      </c>
      <c r="Z892" t="s">
        <v>38</v>
      </c>
    </row>
    <row r="893" spans="1:26" x14ac:dyDescent="0.2">
      <c r="A893" t="s">
        <v>1916</v>
      </c>
      <c r="B893" t="s">
        <v>1917</v>
      </c>
      <c r="C893" s="1">
        <v>46062</v>
      </c>
      <c r="D893" t="s">
        <v>75</v>
      </c>
      <c r="E893">
        <v>19</v>
      </c>
      <c r="F893">
        <v>6.6</v>
      </c>
      <c r="G893" t="s">
        <v>81</v>
      </c>
      <c r="H893" t="s">
        <v>167</v>
      </c>
      <c r="I893" s="1">
        <v>46062.365277777775</v>
      </c>
      <c r="J893" s="1">
        <v>46062.373611111114</v>
      </c>
      <c r="K893" s="1">
        <v>46062.426388888889</v>
      </c>
      <c r="L893" s="1">
        <v>46062.432638888888</v>
      </c>
      <c r="M893" s="1">
        <v>46062.46875</v>
      </c>
      <c r="N893" s="1">
        <v>46062.496527777781</v>
      </c>
      <c r="O893">
        <v>7</v>
      </c>
      <c r="P893" t="s">
        <v>129</v>
      </c>
      <c r="Q893" t="s">
        <v>82</v>
      </c>
      <c r="R893" t="s">
        <v>77</v>
      </c>
      <c r="S893" t="s">
        <v>84</v>
      </c>
      <c r="T893">
        <v>4000</v>
      </c>
      <c r="U893" t="s">
        <v>35</v>
      </c>
      <c r="V893" t="s">
        <v>59</v>
      </c>
      <c r="W893">
        <v>4</v>
      </c>
      <c r="X893" t="s">
        <v>60</v>
      </c>
      <c r="Y893">
        <v>2</v>
      </c>
      <c r="Z893" t="s">
        <v>296</v>
      </c>
    </row>
    <row r="894" spans="1:26" hidden="1" x14ac:dyDescent="0.2">
      <c r="A894" t="s">
        <v>1918</v>
      </c>
      <c r="B894" t="s">
        <v>1919</v>
      </c>
      <c r="C894" s="1">
        <v>46101</v>
      </c>
      <c r="D894" t="s">
        <v>181</v>
      </c>
      <c r="E894">
        <v>40</v>
      </c>
      <c r="F894">
        <v>10.4</v>
      </c>
      <c r="G894" t="s">
        <v>57</v>
      </c>
      <c r="H894" t="s">
        <v>157</v>
      </c>
      <c r="I894" s="1">
        <v>46101.354861111111</v>
      </c>
      <c r="J894" s="1">
        <v>46101.375</v>
      </c>
      <c r="K894" s="1">
        <v>46101.413194444445</v>
      </c>
      <c r="L894" s="1">
        <v>46101.419444444444</v>
      </c>
      <c r="M894" s="1">
        <v>46101.445138888892</v>
      </c>
      <c r="N894" s="1">
        <v>46101.460416666669</v>
      </c>
      <c r="O894">
        <v>1</v>
      </c>
      <c r="P894" t="s">
        <v>37</v>
      </c>
      <c r="Q894" t="s">
        <v>96</v>
      </c>
      <c r="R894" t="s">
        <v>90</v>
      </c>
      <c r="S894" t="s">
        <v>98</v>
      </c>
      <c r="T894">
        <v>3000</v>
      </c>
      <c r="U894" t="s">
        <v>35</v>
      </c>
      <c r="V894" t="s">
        <v>36</v>
      </c>
      <c r="W894">
        <v>1</v>
      </c>
      <c r="X894" t="s">
        <v>37</v>
      </c>
      <c r="Y894">
        <v>4</v>
      </c>
      <c r="Z894" t="s">
        <v>117</v>
      </c>
    </row>
    <row r="895" spans="1:26" hidden="1" x14ac:dyDescent="0.2">
      <c r="A895" t="s">
        <v>1920</v>
      </c>
      <c r="B895" t="s">
        <v>1921</v>
      </c>
      <c r="C895" s="1">
        <v>46024</v>
      </c>
      <c r="D895" t="s">
        <v>75</v>
      </c>
      <c r="E895">
        <v>11</v>
      </c>
      <c r="F895">
        <v>9.4</v>
      </c>
      <c r="G895" t="s">
        <v>57</v>
      </c>
      <c r="H895" t="s">
        <v>42</v>
      </c>
      <c r="I895" s="1">
        <v>46024.283333333333</v>
      </c>
      <c r="J895" s="1">
        <v>46024.304166666669</v>
      </c>
      <c r="K895" s="1">
        <v>46024.357638888891</v>
      </c>
      <c r="L895" s="1">
        <v>46024.368055555555</v>
      </c>
      <c r="M895" s="1">
        <v>46024.4</v>
      </c>
      <c r="N895" s="1">
        <v>46024.418055555558</v>
      </c>
      <c r="O895">
        <v>7</v>
      </c>
      <c r="P895" t="s">
        <v>106</v>
      </c>
      <c r="Q895" t="s">
        <v>43</v>
      </c>
      <c r="R895" t="s">
        <v>200</v>
      </c>
      <c r="S895" t="s">
        <v>45</v>
      </c>
      <c r="T895">
        <v>2500</v>
      </c>
      <c r="U895" t="s">
        <v>35</v>
      </c>
      <c r="V895" t="s">
        <v>36</v>
      </c>
      <c r="W895">
        <v>1</v>
      </c>
      <c r="X895" t="s">
        <v>37</v>
      </c>
      <c r="Y895">
        <v>3</v>
      </c>
      <c r="Z895" t="s">
        <v>215</v>
      </c>
    </row>
    <row r="896" spans="1:26" hidden="1" x14ac:dyDescent="0.2">
      <c r="A896" t="s">
        <v>1922</v>
      </c>
      <c r="B896" t="s">
        <v>1923</v>
      </c>
      <c r="C896" s="1">
        <v>46088</v>
      </c>
      <c r="D896" t="s">
        <v>49</v>
      </c>
      <c r="E896">
        <v>15</v>
      </c>
      <c r="F896">
        <v>7.8</v>
      </c>
      <c r="G896" t="s">
        <v>57</v>
      </c>
      <c r="H896" t="s">
        <v>51</v>
      </c>
      <c r="I896" s="1">
        <v>46088.250694444447</v>
      </c>
      <c r="J896" s="1">
        <v>46088.268750000003</v>
      </c>
      <c r="K896" s="1">
        <v>46088.320833333331</v>
      </c>
      <c r="L896" s="1">
        <v>46088.333333333336</v>
      </c>
      <c r="M896" s="1">
        <v>46088.366666666669</v>
      </c>
      <c r="N896" s="1">
        <v>46088.387499999997</v>
      </c>
      <c r="O896">
        <v>4</v>
      </c>
      <c r="P896" t="s">
        <v>238</v>
      </c>
      <c r="Q896" t="s">
        <v>32</v>
      </c>
      <c r="R896" t="s">
        <v>107</v>
      </c>
      <c r="S896" t="s">
        <v>34</v>
      </c>
      <c r="T896">
        <v>5000</v>
      </c>
      <c r="U896" t="s">
        <v>35</v>
      </c>
      <c r="V896" t="s">
        <v>59</v>
      </c>
      <c r="W896">
        <v>4</v>
      </c>
      <c r="X896" t="s">
        <v>374</v>
      </c>
      <c r="Y896">
        <v>3</v>
      </c>
      <c r="Z896" t="s">
        <v>117</v>
      </c>
    </row>
    <row r="897" spans="1:26" hidden="1" x14ac:dyDescent="0.2">
      <c r="A897" t="s">
        <v>1924</v>
      </c>
      <c r="B897" t="s">
        <v>1925</v>
      </c>
      <c r="C897" s="1">
        <v>46047</v>
      </c>
      <c r="D897" t="s">
        <v>64</v>
      </c>
      <c r="E897">
        <v>6</v>
      </c>
      <c r="F897">
        <v>4.4000000000000004</v>
      </c>
      <c r="G897" t="s">
        <v>29</v>
      </c>
      <c r="H897" t="s">
        <v>157</v>
      </c>
      <c r="I897" s="1">
        <v>46047.34375</v>
      </c>
      <c r="J897" s="1">
        <v>46047.347916666666</v>
      </c>
      <c r="K897" s="1">
        <v>46047.40902777778</v>
      </c>
      <c r="L897" s="1">
        <v>46047.418055555558</v>
      </c>
      <c r="M897" s="1">
        <v>46047.428472222222</v>
      </c>
      <c r="N897" s="1">
        <v>46047.444444444445</v>
      </c>
      <c r="O897">
        <v>6</v>
      </c>
      <c r="P897" t="s">
        <v>37</v>
      </c>
      <c r="Q897" t="s">
        <v>69</v>
      </c>
      <c r="R897" t="s">
        <v>251</v>
      </c>
      <c r="S897" t="s">
        <v>71</v>
      </c>
      <c r="T897">
        <v>2000</v>
      </c>
      <c r="U897" t="s">
        <v>35</v>
      </c>
      <c r="V897" t="s">
        <v>36</v>
      </c>
      <c r="W897">
        <v>1</v>
      </c>
      <c r="X897" t="s">
        <v>37</v>
      </c>
      <c r="Y897">
        <v>4</v>
      </c>
      <c r="Z897" t="s">
        <v>61</v>
      </c>
    </row>
    <row r="898" spans="1:26" x14ac:dyDescent="0.2">
      <c r="A898" t="s">
        <v>1926</v>
      </c>
      <c r="B898" t="s">
        <v>1927</v>
      </c>
      <c r="C898" s="1">
        <v>46103</v>
      </c>
      <c r="D898" t="s">
        <v>285</v>
      </c>
      <c r="E898">
        <v>33</v>
      </c>
      <c r="F898">
        <v>9.1</v>
      </c>
      <c r="G898" t="s">
        <v>57</v>
      </c>
      <c r="H898" t="s">
        <v>51</v>
      </c>
      <c r="I898" s="1">
        <v>46103.379166666666</v>
      </c>
      <c r="J898" s="1">
        <v>46103.390277777777</v>
      </c>
      <c r="K898" s="1">
        <v>46103.416666666664</v>
      </c>
      <c r="L898" s="1">
        <v>46103.425694444442</v>
      </c>
      <c r="M898" s="1">
        <v>46103.444444444445</v>
      </c>
      <c r="N898" s="1">
        <v>46103.448611111111</v>
      </c>
      <c r="O898">
        <v>4</v>
      </c>
      <c r="P898" t="s">
        <v>37</v>
      </c>
      <c r="Q898" t="s">
        <v>82</v>
      </c>
      <c r="R898" t="s">
        <v>239</v>
      </c>
      <c r="S898" t="s">
        <v>84</v>
      </c>
      <c r="T898">
        <v>4000</v>
      </c>
      <c r="U898" t="s">
        <v>35</v>
      </c>
      <c r="V898" t="s">
        <v>36</v>
      </c>
      <c r="W898">
        <v>1</v>
      </c>
      <c r="X898" t="s">
        <v>37</v>
      </c>
      <c r="Y898">
        <v>2</v>
      </c>
      <c r="Z898" t="s">
        <v>72</v>
      </c>
    </row>
    <row r="899" spans="1:26" hidden="1" x14ac:dyDescent="0.2">
      <c r="A899" t="s">
        <v>1928</v>
      </c>
      <c r="B899" t="s">
        <v>1929</v>
      </c>
      <c r="C899" s="1">
        <v>46074</v>
      </c>
      <c r="D899" t="s">
        <v>137</v>
      </c>
      <c r="E899">
        <v>13</v>
      </c>
      <c r="F899">
        <v>6.8</v>
      </c>
      <c r="G899" t="s">
        <v>81</v>
      </c>
      <c r="H899" t="s">
        <v>42</v>
      </c>
      <c r="I899" s="1">
        <v>46074.265972222223</v>
      </c>
      <c r="J899" s="1">
        <v>46074.285416666666</v>
      </c>
      <c r="K899" s="1">
        <v>46074.335416666669</v>
      </c>
      <c r="L899" s="1">
        <v>46074.349305555559</v>
      </c>
      <c r="M899" s="1">
        <v>46074.372916666667</v>
      </c>
      <c r="N899" s="1">
        <v>46074.378472222219</v>
      </c>
      <c r="O899">
        <v>2</v>
      </c>
      <c r="P899" t="s">
        <v>37</v>
      </c>
      <c r="Q899" t="s">
        <v>43</v>
      </c>
      <c r="R899" t="s">
        <v>158</v>
      </c>
      <c r="S899" t="s">
        <v>45</v>
      </c>
      <c r="T899">
        <v>2500</v>
      </c>
      <c r="U899" t="s">
        <v>91</v>
      </c>
      <c r="V899" t="s">
        <v>36</v>
      </c>
      <c r="W899">
        <v>1</v>
      </c>
      <c r="X899" t="s">
        <v>37</v>
      </c>
      <c r="Y899">
        <v>5</v>
      </c>
      <c r="Z899" t="s">
        <v>102</v>
      </c>
    </row>
    <row r="900" spans="1:26" hidden="1" x14ac:dyDescent="0.2">
      <c r="A900" t="s">
        <v>1930</v>
      </c>
      <c r="B900" t="s">
        <v>1931</v>
      </c>
      <c r="C900" s="1">
        <v>46090</v>
      </c>
      <c r="D900" t="s">
        <v>94</v>
      </c>
      <c r="E900">
        <v>9</v>
      </c>
      <c r="F900">
        <v>11.8</v>
      </c>
      <c r="G900" t="s">
        <v>57</v>
      </c>
      <c r="H900" t="s">
        <v>95</v>
      </c>
      <c r="I900" s="1">
        <v>46090.330555555556</v>
      </c>
      <c r="J900" s="1">
        <v>46090.338888888888</v>
      </c>
      <c r="K900" s="1">
        <v>46090.353472222225</v>
      </c>
      <c r="L900" s="1">
        <v>46090.359722222223</v>
      </c>
      <c r="M900" s="1">
        <v>46090.380555555559</v>
      </c>
      <c r="N900" s="1">
        <v>46090.399305555555</v>
      </c>
      <c r="O900">
        <v>6</v>
      </c>
      <c r="P900" t="s">
        <v>37</v>
      </c>
      <c r="Q900" t="s">
        <v>69</v>
      </c>
      <c r="R900" t="s">
        <v>251</v>
      </c>
      <c r="S900" t="s">
        <v>71</v>
      </c>
      <c r="T900">
        <v>2000</v>
      </c>
      <c r="U900" t="s">
        <v>35</v>
      </c>
      <c r="V900" t="s">
        <v>59</v>
      </c>
      <c r="W900">
        <v>4</v>
      </c>
      <c r="X900" t="s">
        <v>116</v>
      </c>
      <c r="Y900">
        <v>4</v>
      </c>
      <c r="Z900" t="s">
        <v>86</v>
      </c>
    </row>
    <row r="901" spans="1:26" hidden="1" x14ac:dyDescent="0.2">
      <c r="A901" t="s">
        <v>1932</v>
      </c>
      <c r="B901" t="s">
        <v>1933</v>
      </c>
      <c r="C901" s="1">
        <v>46082</v>
      </c>
      <c r="D901" t="s">
        <v>178</v>
      </c>
      <c r="E901">
        <v>15</v>
      </c>
      <c r="F901">
        <v>9.4</v>
      </c>
      <c r="G901" t="s">
        <v>29</v>
      </c>
      <c r="H901" t="s">
        <v>65</v>
      </c>
      <c r="I901" s="1">
        <v>46082.27847222222</v>
      </c>
      <c r="J901" s="1">
        <v>46082.281944444447</v>
      </c>
      <c r="K901" s="1">
        <v>46082.322222222225</v>
      </c>
      <c r="L901" s="1">
        <v>46082.327777777777</v>
      </c>
      <c r="M901" s="1">
        <v>46082.344444444447</v>
      </c>
      <c r="N901" s="1">
        <v>46082.366666666669</v>
      </c>
      <c r="O901">
        <v>2</v>
      </c>
      <c r="P901" t="s">
        <v>37</v>
      </c>
      <c r="Q901" t="s">
        <v>82</v>
      </c>
      <c r="R901" t="s">
        <v>239</v>
      </c>
      <c r="S901" t="s">
        <v>84</v>
      </c>
      <c r="T901">
        <v>4000</v>
      </c>
      <c r="U901" t="s">
        <v>91</v>
      </c>
      <c r="V901" t="s">
        <v>36</v>
      </c>
      <c r="W901">
        <v>1</v>
      </c>
      <c r="X901" t="s">
        <v>37</v>
      </c>
      <c r="Y901">
        <v>4</v>
      </c>
      <c r="Z901" t="s">
        <v>131</v>
      </c>
    </row>
    <row r="902" spans="1:26" x14ac:dyDescent="0.2">
      <c r="A902" t="s">
        <v>1934</v>
      </c>
      <c r="B902" t="s">
        <v>1935</v>
      </c>
      <c r="C902" s="1">
        <v>46067</v>
      </c>
      <c r="D902" t="s">
        <v>220</v>
      </c>
      <c r="E902">
        <v>18</v>
      </c>
      <c r="F902">
        <v>7.6</v>
      </c>
      <c r="G902" t="s">
        <v>81</v>
      </c>
      <c r="H902" t="s">
        <v>167</v>
      </c>
      <c r="I902" s="1">
        <v>46067.304166666669</v>
      </c>
      <c r="J902" s="1">
        <v>46067.313194444447</v>
      </c>
      <c r="K902" s="1">
        <v>46067.37222222222</v>
      </c>
      <c r="L902" s="1">
        <v>46067.376388888886</v>
      </c>
      <c r="M902" s="1">
        <v>46067.415277777778</v>
      </c>
      <c r="N902" s="1">
        <v>46067.425694444442</v>
      </c>
      <c r="O902">
        <v>7</v>
      </c>
      <c r="P902" t="s">
        <v>37</v>
      </c>
      <c r="Q902" t="s">
        <v>32</v>
      </c>
      <c r="R902" t="s">
        <v>120</v>
      </c>
      <c r="S902" t="s">
        <v>34</v>
      </c>
      <c r="T902">
        <v>5000</v>
      </c>
      <c r="U902" t="s">
        <v>35</v>
      </c>
      <c r="V902" t="s">
        <v>59</v>
      </c>
      <c r="W902">
        <v>3</v>
      </c>
      <c r="X902" t="s">
        <v>374</v>
      </c>
      <c r="Y902">
        <v>1</v>
      </c>
      <c r="Z902" t="s">
        <v>46</v>
      </c>
    </row>
    <row r="903" spans="1:26" hidden="1" x14ac:dyDescent="0.2">
      <c r="A903" t="s">
        <v>1936</v>
      </c>
      <c r="B903" t="s">
        <v>1937</v>
      </c>
      <c r="C903" s="1">
        <v>46078</v>
      </c>
      <c r="D903" t="s">
        <v>49</v>
      </c>
      <c r="E903">
        <v>20</v>
      </c>
      <c r="F903">
        <v>7.6</v>
      </c>
      <c r="G903" t="s">
        <v>76</v>
      </c>
      <c r="H903" t="s">
        <v>42</v>
      </c>
      <c r="I903" s="1">
        <v>46078.268055555556</v>
      </c>
      <c r="J903" s="1">
        <v>46078.279861111114</v>
      </c>
      <c r="K903" s="1">
        <v>46078.328472222223</v>
      </c>
      <c r="L903" s="1">
        <v>46078.334027777775</v>
      </c>
      <c r="M903" s="1">
        <v>46078.347222222219</v>
      </c>
      <c r="N903" s="1">
        <v>46078.370833333334</v>
      </c>
      <c r="O903">
        <v>6</v>
      </c>
      <c r="P903" t="s">
        <v>37</v>
      </c>
      <c r="Q903" t="s">
        <v>96</v>
      </c>
      <c r="R903" t="s">
        <v>90</v>
      </c>
      <c r="S903" t="s">
        <v>98</v>
      </c>
      <c r="T903">
        <v>3000</v>
      </c>
      <c r="U903" t="s">
        <v>35</v>
      </c>
      <c r="V903" t="s">
        <v>36</v>
      </c>
      <c r="W903">
        <v>1</v>
      </c>
      <c r="X903" t="s">
        <v>37</v>
      </c>
      <c r="Y903">
        <v>3</v>
      </c>
      <c r="Z903" t="s">
        <v>102</v>
      </c>
    </row>
    <row r="904" spans="1:26" hidden="1" x14ac:dyDescent="0.2">
      <c r="A904" t="s">
        <v>1938</v>
      </c>
      <c r="B904" t="s">
        <v>1939</v>
      </c>
      <c r="C904" s="1">
        <v>46104</v>
      </c>
      <c r="D904" t="s">
        <v>89</v>
      </c>
      <c r="E904">
        <v>39</v>
      </c>
      <c r="F904">
        <v>10.6</v>
      </c>
      <c r="G904" t="s">
        <v>29</v>
      </c>
      <c r="H904" t="s">
        <v>30</v>
      </c>
      <c r="I904" s="1">
        <v>46104.28402777778</v>
      </c>
      <c r="J904" s="1">
        <v>46104.293055555558</v>
      </c>
      <c r="K904" s="1">
        <v>46104.345833333333</v>
      </c>
      <c r="L904" s="1">
        <v>46104.35833333333</v>
      </c>
      <c r="M904" s="1">
        <v>46104.37222222222</v>
      </c>
      <c r="N904" s="1">
        <v>46104.400694444441</v>
      </c>
      <c r="O904">
        <v>5</v>
      </c>
      <c r="P904" t="s">
        <v>37</v>
      </c>
      <c r="Q904" t="s">
        <v>43</v>
      </c>
      <c r="R904" t="s">
        <v>44</v>
      </c>
      <c r="S904" t="s">
        <v>45</v>
      </c>
      <c r="T904">
        <v>2500</v>
      </c>
      <c r="U904" t="s">
        <v>35</v>
      </c>
      <c r="V904" t="s">
        <v>36</v>
      </c>
      <c r="W904">
        <v>1</v>
      </c>
      <c r="X904" t="s">
        <v>37</v>
      </c>
      <c r="Y904">
        <v>5</v>
      </c>
      <c r="Z904" t="s">
        <v>72</v>
      </c>
    </row>
    <row r="905" spans="1:26" hidden="1" x14ac:dyDescent="0.2">
      <c r="A905" t="s">
        <v>1940</v>
      </c>
      <c r="B905" t="s">
        <v>1941</v>
      </c>
      <c r="C905" s="1">
        <v>46077</v>
      </c>
      <c r="D905" t="s">
        <v>230</v>
      </c>
      <c r="E905">
        <v>39</v>
      </c>
      <c r="F905">
        <v>5.9</v>
      </c>
      <c r="G905" t="s">
        <v>29</v>
      </c>
      <c r="H905" t="s">
        <v>42</v>
      </c>
      <c r="I905" s="1">
        <v>46077.34097222222</v>
      </c>
      <c r="J905" s="1">
        <v>46077.347916666666</v>
      </c>
      <c r="K905" s="1">
        <v>46077.402777777781</v>
      </c>
      <c r="L905" s="1">
        <v>46077.413194444445</v>
      </c>
      <c r="M905" s="1">
        <v>46077.438194444447</v>
      </c>
      <c r="N905" s="1">
        <v>46077.442361111112</v>
      </c>
      <c r="O905">
        <v>3</v>
      </c>
      <c r="P905" t="s">
        <v>115</v>
      </c>
      <c r="Q905" t="s">
        <v>82</v>
      </c>
      <c r="R905" t="s">
        <v>239</v>
      </c>
      <c r="S905" t="s">
        <v>84</v>
      </c>
      <c r="T905">
        <v>4000</v>
      </c>
      <c r="U905" t="s">
        <v>91</v>
      </c>
      <c r="V905" t="s">
        <v>36</v>
      </c>
      <c r="W905">
        <v>1</v>
      </c>
      <c r="X905" t="s">
        <v>37</v>
      </c>
      <c r="Y905">
        <v>5</v>
      </c>
      <c r="Z905" t="s">
        <v>215</v>
      </c>
    </row>
    <row r="906" spans="1:26" hidden="1" x14ac:dyDescent="0.2">
      <c r="A906" t="s">
        <v>1942</v>
      </c>
      <c r="B906" t="s">
        <v>1307</v>
      </c>
      <c r="C906" s="1">
        <v>46104</v>
      </c>
      <c r="D906" t="s">
        <v>181</v>
      </c>
      <c r="E906">
        <v>34</v>
      </c>
      <c r="F906">
        <v>7.8</v>
      </c>
      <c r="G906" t="s">
        <v>29</v>
      </c>
      <c r="H906" t="s">
        <v>157</v>
      </c>
      <c r="I906" s="1">
        <v>46104.402777777781</v>
      </c>
      <c r="J906" s="1">
        <v>46104.416666666664</v>
      </c>
      <c r="K906" s="1">
        <v>46104.444444444445</v>
      </c>
      <c r="L906" s="1">
        <v>46104.456250000003</v>
      </c>
      <c r="M906" s="1">
        <v>46104.486111111109</v>
      </c>
      <c r="N906" s="1">
        <v>46104.495833333334</v>
      </c>
      <c r="O906">
        <v>7</v>
      </c>
      <c r="P906" t="s">
        <v>37</v>
      </c>
      <c r="Q906" t="s">
        <v>43</v>
      </c>
      <c r="R906" t="s">
        <v>90</v>
      </c>
      <c r="S906" t="s">
        <v>45</v>
      </c>
      <c r="T906">
        <v>2500</v>
      </c>
      <c r="U906" t="s">
        <v>35</v>
      </c>
      <c r="V906" t="s">
        <v>36</v>
      </c>
      <c r="W906">
        <v>1</v>
      </c>
      <c r="X906" t="s">
        <v>37</v>
      </c>
      <c r="Y906">
        <v>4</v>
      </c>
      <c r="Z906" t="s">
        <v>117</v>
      </c>
    </row>
    <row r="907" spans="1:26" hidden="1" x14ac:dyDescent="0.2">
      <c r="A907" t="s">
        <v>1943</v>
      </c>
      <c r="B907" t="s">
        <v>1944</v>
      </c>
      <c r="C907" s="1">
        <v>46044</v>
      </c>
      <c r="D907" t="s">
        <v>126</v>
      </c>
      <c r="E907">
        <v>27</v>
      </c>
      <c r="F907">
        <v>6.6</v>
      </c>
      <c r="G907" t="s">
        <v>57</v>
      </c>
      <c r="H907" t="s">
        <v>51</v>
      </c>
      <c r="I907" s="1">
        <v>46044.319444444445</v>
      </c>
      <c r="J907" s="1">
        <v>46044.337500000001</v>
      </c>
      <c r="K907" s="1">
        <v>46044.376388888886</v>
      </c>
      <c r="L907" s="1">
        <v>46044.379861111112</v>
      </c>
      <c r="M907" s="1">
        <v>46044.42083333333</v>
      </c>
      <c r="N907" s="1">
        <v>46044.438888888886</v>
      </c>
      <c r="O907">
        <v>5</v>
      </c>
      <c r="P907" t="s">
        <v>37</v>
      </c>
      <c r="Q907" t="s">
        <v>82</v>
      </c>
      <c r="R907" t="s">
        <v>211</v>
      </c>
      <c r="S907" t="s">
        <v>84</v>
      </c>
      <c r="T907">
        <v>4000</v>
      </c>
      <c r="U907" t="s">
        <v>91</v>
      </c>
      <c r="V907" t="s">
        <v>36</v>
      </c>
      <c r="W907">
        <v>1</v>
      </c>
      <c r="X907" t="s">
        <v>37</v>
      </c>
      <c r="Y907">
        <v>4</v>
      </c>
      <c r="Z907" t="s">
        <v>296</v>
      </c>
    </row>
    <row r="908" spans="1:26" x14ac:dyDescent="0.2">
      <c r="A908" t="s">
        <v>1945</v>
      </c>
      <c r="B908" t="s">
        <v>1946</v>
      </c>
      <c r="C908" s="1">
        <v>46089</v>
      </c>
      <c r="D908" t="s">
        <v>105</v>
      </c>
      <c r="E908">
        <v>13</v>
      </c>
      <c r="F908">
        <v>6.6</v>
      </c>
      <c r="G908" t="s">
        <v>50</v>
      </c>
      <c r="H908" t="s">
        <v>157</v>
      </c>
      <c r="I908" s="1">
        <v>46089.384027777778</v>
      </c>
      <c r="J908" s="1">
        <v>46089.400694444441</v>
      </c>
      <c r="K908" s="1">
        <v>46089.411111111112</v>
      </c>
      <c r="L908" s="1">
        <v>46089.420138888891</v>
      </c>
      <c r="M908" s="1">
        <v>46089.4375</v>
      </c>
      <c r="N908" s="1">
        <v>46089.459722222222</v>
      </c>
      <c r="O908">
        <v>5</v>
      </c>
      <c r="P908" t="s">
        <v>37</v>
      </c>
      <c r="Q908" t="s">
        <v>82</v>
      </c>
      <c r="R908" t="s">
        <v>286</v>
      </c>
      <c r="S908" t="s">
        <v>84</v>
      </c>
      <c r="T908">
        <v>4000</v>
      </c>
      <c r="U908" t="s">
        <v>35</v>
      </c>
      <c r="V908" t="s">
        <v>36</v>
      </c>
      <c r="W908">
        <v>1</v>
      </c>
      <c r="X908" t="s">
        <v>37</v>
      </c>
      <c r="Y908">
        <v>1</v>
      </c>
      <c r="Z908" t="s">
        <v>296</v>
      </c>
    </row>
    <row r="909" spans="1:26" hidden="1" x14ac:dyDescent="0.2">
      <c r="A909" t="s">
        <v>1947</v>
      </c>
      <c r="B909" t="s">
        <v>1948</v>
      </c>
      <c r="C909" s="1">
        <v>46027</v>
      </c>
      <c r="D909" t="s">
        <v>230</v>
      </c>
      <c r="E909">
        <v>19</v>
      </c>
      <c r="F909">
        <v>9.3000000000000007</v>
      </c>
      <c r="G909" t="s">
        <v>81</v>
      </c>
      <c r="H909" t="s">
        <v>157</v>
      </c>
      <c r="I909" s="1">
        <v>46027.37777777778</v>
      </c>
      <c r="J909" s="1">
        <v>46027.394444444442</v>
      </c>
      <c r="K909" s="1">
        <v>46027.423611111109</v>
      </c>
      <c r="L909" s="1">
        <v>46027.433333333334</v>
      </c>
      <c r="M909" s="1">
        <v>46027.46875</v>
      </c>
      <c r="N909" s="1">
        <v>46027.477777777778</v>
      </c>
      <c r="O909">
        <v>3</v>
      </c>
      <c r="P909" t="s">
        <v>37</v>
      </c>
      <c r="Q909" t="s">
        <v>96</v>
      </c>
      <c r="R909" t="s">
        <v>90</v>
      </c>
      <c r="S909" t="s">
        <v>98</v>
      </c>
      <c r="T909">
        <v>3000</v>
      </c>
      <c r="U909" t="s">
        <v>35</v>
      </c>
      <c r="V909" t="s">
        <v>36</v>
      </c>
      <c r="W909">
        <v>1</v>
      </c>
      <c r="X909" t="s">
        <v>37</v>
      </c>
      <c r="Y909">
        <v>4</v>
      </c>
      <c r="Z909" t="s">
        <v>134</v>
      </c>
    </row>
    <row r="910" spans="1:26" hidden="1" x14ac:dyDescent="0.2">
      <c r="A910" t="s">
        <v>1949</v>
      </c>
      <c r="B910" t="s">
        <v>1950</v>
      </c>
      <c r="C910" s="1">
        <v>46105</v>
      </c>
      <c r="D910" t="s">
        <v>89</v>
      </c>
      <c r="E910">
        <v>33</v>
      </c>
      <c r="F910">
        <v>9</v>
      </c>
      <c r="G910" t="s">
        <v>81</v>
      </c>
      <c r="H910" t="s">
        <v>157</v>
      </c>
      <c r="I910" s="1">
        <v>46105.393750000003</v>
      </c>
      <c r="J910" s="1">
        <v>46105.413888888892</v>
      </c>
      <c r="K910" s="1">
        <v>46105.423611111109</v>
      </c>
      <c r="L910" s="1">
        <v>46105.436805555553</v>
      </c>
      <c r="M910" s="1">
        <v>46105.447222222225</v>
      </c>
      <c r="N910" s="1">
        <v>46105.46597222222</v>
      </c>
      <c r="O910">
        <v>2</v>
      </c>
      <c r="P910" t="s">
        <v>31</v>
      </c>
      <c r="Q910" t="s">
        <v>96</v>
      </c>
      <c r="R910" t="s">
        <v>214</v>
      </c>
      <c r="S910" t="s">
        <v>98</v>
      </c>
      <c r="T910">
        <v>3000</v>
      </c>
      <c r="U910" t="s">
        <v>35</v>
      </c>
      <c r="V910" t="s">
        <v>36</v>
      </c>
      <c r="W910">
        <v>1</v>
      </c>
      <c r="X910" t="s">
        <v>37</v>
      </c>
      <c r="Y910">
        <v>3</v>
      </c>
      <c r="Z910" t="s">
        <v>61</v>
      </c>
    </row>
    <row r="911" spans="1:26" hidden="1" x14ac:dyDescent="0.2">
      <c r="A911" t="s">
        <v>1951</v>
      </c>
      <c r="B911" t="s">
        <v>1952</v>
      </c>
      <c r="C911" s="1">
        <v>46046</v>
      </c>
      <c r="D911" t="s">
        <v>178</v>
      </c>
      <c r="E911">
        <v>22</v>
      </c>
      <c r="F911">
        <v>7</v>
      </c>
      <c r="G911" t="s">
        <v>29</v>
      </c>
      <c r="H911" t="s">
        <v>65</v>
      </c>
      <c r="I911" s="1">
        <v>46046.261111111111</v>
      </c>
      <c r="J911" s="1">
        <v>46046.280555555553</v>
      </c>
      <c r="K911" s="1">
        <v>46046.343055555553</v>
      </c>
      <c r="L911" s="1">
        <v>46046.356249999997</v>
      </c>
      <c r="M911" s="1">
        <v>46046.384722222225</v>
      </c>
      <c r="N911" s="1">
        <v>46046.415277777778</v>
      </c>
      <c r="O911">
        <v>5</v>
      </c>
      <c r="P911" t="s">
        <v>37</v>
      </c>
      <c r="Q911" t="s">
        <v>69</v>
      </c>
      <c r="R911" t="s">
        <v>70</v>
      </c>
      <c r="S911" t="s">
        <v>71</v>
      </c>
      <c r="T911">
        <v>2000</v>
      </c>
      <c r="U911" t="s">
        <v>35</v>
      </c>
      <c r="V911" t="s">
        <v>59</v>
      </c>
      <c r="W911">
        <v>4</v>
      </c>
      <c r="X911" t="s">
        <v>374</v>
      </c>
      <c r="Y911">
        <v>4</v>
      </c>
      <c r="Z911" t="s">
        <v>46</v>
      </c>
    </row>
    <row r="912" spans="1:26" hidden="1" x14ac:dyDescent="0.2">
      <c r="A912" t="s">
        <v>1953</v>
      </c>
      <c r="B912" t="s">
        <v>1954</v>
      </c>
      <c r="C912" s="1">
        <v>46039</v>
      </c>
      <c r="D912" t="s">
        <v>289</v>
      </c>
      <c r="E912">
        <v>36</v>
      </c>
      <c r="F912">
        <v>12</v>
      </c>
      <c r="G912" t="s">
        <v>29</v>
      </c>
      <c r="H912" t="s">
        <v>42</v>
      </c>
      <c r="I912" s="1">
        <v>46039.363888888889</v>
      </c>
      <c r="J912" s="1">
        <v>46039.379166666666</v>
      </c>
      <c r="K912" s="1">
        <v>46039.413888888892</v>
      </c>
      <c r="L912" s="1">
        <v>46039.417361111111</v>
      </c>
      <c r="M912" s="1">
        <v>46039.441666666666</v>
      </c>
      <c r="N912" s="1">
        <v>46039.452777777777</v>
      </c>
      <c r="O912">
        <v>6</v>
      </c>
      <c r="P912" t="s">
        <v>37</v>
      </c>
      <c r="Q912" t="s">
        <v>69</v>
      </c>
      <c r="R912" t="s">
        <v>146</v>
      </c>
      <c r="S912" t="s">
        <v>71</v>
      </c>
      <c r="T912">
        <v>2000</v>
      </c>
      <c r="U912" t="s">
        <v>35</v>
      </c>
      <c r="V912" t="s">
        <v>36</v>
      </c>
      <c r="W912">
        <v>1</v>
      </c>
      <c r="X912" t="s">
        <v>37</v>
      </c>
      <c r="Y912">
        <v>3</v>
      </c>
      <c r="Z912" t="s">
        <v>102</v>
      </c>
    </row>
    <row r="913" spans="1:26" hidden="1" x14ac:dyDescent="0.2">
      <c r="A913" t="s">
        <v>1955</v>
      </c>
      <c r="B913" t="s">
        <v>1956</v>
      </c>
      <c r="C913" s="1">
        <v>46069</v>
      </c>
      <c r="D913" t="s">
        <v>137</v>
      </c>
      <c r="E913">
        <v>26</v>
      </c>
      <c r="F913">
        <v>9.5</v>
      </c>
      <c r="G913" t="s">
        <v>81</v>
      </c>
      <c r="H913" t="s">
        <v>51</v>
      </c>
      <c r="I913" s="1">
        <v>46069.254861111112</v>
      </c>
      <c r="J913" s="1">
        <v>46069.272916666669</v>
      </c>
      <c r="K913" s="1">
        <v>46069.290277777778</v>
      </c>
      <c r="L913" s="1">
        <v>46069.297222222223</v>
      </c>
      <c r="M913" s="1">
        <v>46069.315972222219</v>
      </c>
      <c r="N913" s="1">
        <v>46069.343055555553</v>
      </c>
      <c r="O913">
        <v>2</v>
      </c>
      <c r="P913" t="s">
        <v>37</v>
      </c>
      <c r="Q913" t="s">
        <v>43</v>
      </c>
      <c r="R913" t="s">
        <v>200</v>
      </c>
      <c r="S913" t="s">
        <v>45</v>
      </c>
      <c r="T913">
        <v>2500</v>
      </c>
      <c r="U913" t="s">
        <v>35</v>
      </c>
      <c r="V913" t="s">
        <v>36</v>
      </c>
      <c r="W913">
        <v>1</v>
      </c>
      <c r="X913" t="s">
        <v>37</v>
      </c>
      <c r="Y913">
        <v>3</v>
      </c>
      <c r="Z913" t="s">
        <v>86</v>
      </c>
    </row>
    <row r="914" spans="1:26" hidden="1" x14ac:dyDescent="0.2">
      <c r="A914" t="s">
        <v>1957</v>
      </c>
      <c r="B914" t="s">
        <v>1958</v>
      </c>
      <c r="C914" s="1">
        <v>46073</v>
      </c>
      <c r="D914" t="s">
        <v>225</v>
      </c>
      <c r="E914">
        <v>17</v>
      </c>
      <c r="F914">
        <v>5.0999999999999996</v>
      </c>
      <c r="G914" t="s">
        <v>81</v>
      </c>
      <c r="H914" t="s">
        <v>167</v>
      </c>
      <c r="I914" s="1">
        <v>46073.282638888886</v>
      </c>
      <c r="J914" s="1">
        <v>46073.3</v>
      </c>
      <c r="K914" s="1">
        <v>46073.328472222223</v>
      </c>
      <c r="L914" s="1">
        <v>46073.334722222222</v>
      </c>
      <c r="M914" s="1">
        <v>46073.371527777781</v>
      </c>
      <c r="N914" s="1">
        <v>46073.398611111108</v>
      </c>
      <c r="O914">
        <v>6</v>
      </c>
      <c r="P914" t="s">
        <v>37</v>
      </c>
      <c r="Q914" t="s">
        <v>69</v>
      </c>
      <c r="R914" t="s">
        <v>70</v>
      </c>
      <c r="S914" t="s">
        <v>71</v>
      </c>
      <c r="T914">
        <v>2000</v>
      </c>
      <c r="U914" t="s">
        <v>35</v>
      </c>
      <c r="V914" t="s">
        <v>36</v>
      </c>
      <c r="W914">
        <v>1</v>
      </c>
      <c r="X914" t="s">
        <v>37</v>
      </c>
      <c r="Y914">
        <v>5</v>
      </c>
      <c r="Z914" t="s">
        <v>46</v>
      </c>
    </row>
    <row r="915" spans="1:26" hidden="1" x14ac:dyDescent="0.2">
      <c r="A915" t="s">
        <v>1959</v>
      </c>
      <c r="B915" t="s">
        <v>1960</v>
      </c>
      <c r="C915" s="1">
        <v>46092</v>
      </c>
      <c r="D915" t="s">
        <v>145</v>
      </c>
      <c r="E915">
        <v>26</v>
      </c>
      <c r="F915">
        <v>7.2</v>
      </c>
      <c r="G915" t="s">
        <v>76</v>
      </c>
      <c r="H915" t="s">
        <v>51</v>
      </c>
      <c r="I915" s="1">
        <v>46092.371527777781</v>
      </c>
      <c r="J915" s="1">
        <v>46092.38958333333</v>
      </c>
      <c r="K915" s="1">
        <v>46092.425000000003</v>
      </c>
      <c r="L915" s="1">
        <v>46092.431944444441</v>
      </c>
      <c r="M915" s="1">
        <v>46092.462500000001</v>
      </c>
      <c r="N915" s="1">
        <v>46092.480555555558</v>
      </c>
      <c r="O915">
        <v>6</v>
      </c>
      <c r="P915" t="s">
        <v>37</v>
      </c>
      <c r="Q915" t="s">
        <v>69</v>
      </c>
      <c r="R915" t="s">
        <v>111</v>
      </c>
      <c r="S915" t="s">
        <v>71</v>
      </c>
      <c r="T915">
        <v>2000</v>
      </c>
      <c r="U915" t="s">
        <v>35</v>
      </c>
      <c r="V915" t="s">
        <v>59</v>
      </c>
      <c r="W915">
        <v>3</v>
      </c>
      <c r="X915" t="s">
        <v>193</v>
      </c>
      <c r="Y915">
        <v>3</v>
      </c>
      <c r="Z915" t="s">
        <v>215</v>
      </c>
    </row>
    <row r="916" spans="1:26" hidden="1" x14ac:dyDescent="0.2">
      <c r="A916" t="s">
        <v>1961</v>
      </c>
      <c r="B916" t="s">
        <v>634</v>
      </c>
      <c r="C916" s="1">
        <v>46074</v>
      </c>
      <c r="D916" t="s">
        <v>254</v>
      </c>
      <c r="E916">
        <v>19</v>
      </c>
      <c r="F916">
        <v>6.7</v>
      </c>
      <c r="G916" t="s">
        <v>81</v>
      </c>
      <c r="H916" t="s">
        <v>42</v>
      </c>
      <c r="I916" s="1">
        <v>46074.371527777781</v>
      </c>
      <c r="J916" s="1">
        <v>46074.382638888892</v>
      </c>
      <c r="K916" s="1">
        <v>46074.398611111108</v>
      </c>
      <c r="L916" s="1">
        <v>46074.406944444447</v>
      </c>
      <c r="M916" s="1">
        <v>46074.436111111114</v>
      </c>
      <c r="N916" s="1">
        <v>46074.443749999999</v>
      </c>
      <c r="O916">
        <v>5</v>
      </c>
      <c r="P916" t="s">
        <v>37</v>
      </c>
      <c r="Q916" t="s">
        <v>82</v>
      </c>
      <c r="R916" t="s">
        <v>239</v>
      </c>
      <c r="S916" t="s">
        <v>84</v>
      </c>
      <c r="T916">
        <v>4000</v>
      </c>
      <c r="U916" t="s">
        <v>35</v>
      </c>
      <c r="V916" t="s">
        <v>36</v>
      </c>
      <c r="W916">
        <v>1</v>
      </c>
      <c r="X916" t="s">
        <v>37</v>
      </c>
      <c r="Y916">
        <v>5</v>
      </c>
      <c r="Z916" t="s">
        <v>131</v>
      </c>
    </row>
    <row r="917" spans="1:26" hidden="1" x14ac:dyDescent="0.2">
      <c r="A917" t="s">
        <v>1962</v>
      </c>
      <c r="B917" t="s">
        <v>1963</v>
      </c>
      <c r="C917" s="1">
        <v>46072</v>
      </c>
      <c r="D917" t="s">
        <v>230</v>
      </c>
      <c r="E917">
        <v>6</v>
      </c>
      <c r="F917">
        <v>8.9</v>
      </c>
      <c r="G917" t="s">
        <v>50</v>
      </c>
      <c r="H917" t="s">
        <v>42</v>
      </c>
      <c r="I917" s="1">
        <v>46072.370833333334</v>
      </c>
      <c r="J917" s="1">
        <v>46072.380555555559</v>
      </c>
      <c r="K917" s="1">
        <v>46072.410416666666</v>
      </c>
      <c r="L917" s="1">
        <v>46072.418749999997</v>
      </c>
      <c r="M917" s="1">
        <v>46072.425694444442</v>
      </c>
      <c r="N917" s="1">
        <v>46072.4375</v>
      </c>
      <c r="O917">
        <v>3</v>
      </c>
      <c r="P917" t="s">
        <v>37</v>
      </c>
      <c r="Q917" t="s">
        <v>69</v>
      </c>
      <c r="R917" t="s">
        <v>251</v>
      </c>
      <c r="S917" t="s">
        <v>71</v>
      </c>
      <c r="T917">
        <v>2000</v>
      </c>
      <c r="U917" t="s">
        <v>35</v>
      </c>
      <c r="V917" t="s">
        <v>36</v>
      </c>
      <c r="W917">
        <v>1</v>
      </c>
      <c r="X917" t="s">
        <v>37</v>
      </c>
      <c r="Y917">
        <v>4</v>
      </c>
      <c r="Z917" t="s">
        <v>215</v>
      </c>
    </row>
    <row r="918" spans="1:26" hidden="1" x14ac:dyDescent="0.2">
      <c r="A918" t="s">
        <v>1964</v>
      </c>
      <c r="B918" t="s">
        <v>1965</v>
      </c>
      <c r="C918" s="1">
        <v>46037</v>
      </c>
      <c r="D918" t="s">
        <v>171</v>
      </c>
      <c r="E918">
        <v>35</v>
      </c>
      <c r="F918">
        <v>5.3</v>
      </c>
      <c r="G918" t="s">
        <v>57</v>
      </c>
      <c r="H918" t="s">
        <v>65</v>
      </c>
      <c r="I918" s="1">
        <v>46037.397916666669</v>
      </c>
      <c r="J918" s="1">
        <v>46037.416666666664</v>
      </c>
      <c r="K918" s="1">
        <v>46037.452777777777</v>
      </c>
      <c r="L918" s="1">
        <v>46037.461111111108</v>
      </c>
      <c r="M918" s="1">
        <v>46037.479861111111</v>
      </c>
      <c r="N918" s="1">
        <v>46037.484722222223</v>
      </c>
      <c r="O918">
        <v>1</v>
      </c>
      <c r="P918" t="s">
        <v>37</v>
      </c>
      <c r="Q918" t="s">
        <v>43</v>
      </c>
      <c r="R918" t="s">
        <v>44</v>
      </c>
      <c r="S918" t="s">
        <v>45</v>
      </c>
      <c r="T918">
        <v>2500</v>
      </c>
      <c r="U918" t="s">
        <v>35</v>
      </c>
      <c r="V918" t="s">
        <v>36</v>
      </c>
      <c r="W918">
        <v>1</v>
      </c>
      <c r="X918" t="s">
        <v>37</v>
      </c>
      <c r="Y918">
        <v>4</v>
      </c>
      <c r="Z918" t="s">
        <v>72</v>
      </c>
    </row>
    <row r="919" spans="1:26" x14ac:dyDescent="0.2">
      <c r="A919" t="s">
        <v>1966</v>
      </c>
      <c r="B919" t="s">
        <v>1967</v>
      </c>
      <c r="C919" s="1">
        <v>46064</v>
      </c>
      <c r="D919" t="s">
        <v>64</v>
      </c>
      <c r="E919">
        <v>11</v>
      </c>
      <c r="F919">
        <v>5.7</v>
      </c>
      <c r="G919" t="s">
        <v>57</v>
      </c>
      <c r="H919" t="s">
        <v>167</v>
      </c>
      <c r="I919" s="1">
        <v>46064.359722222223</v>
      </c>
      <c r="J919" s="1">
        <v>46064.367361111108</v>
      </c>
      <c r="K919" s="1">
        <v>46064.411111111112</v>
      </c>
      <c r="L919" s="1">
        <v>46064.425000000003</v>
      </c>
      <c r="M919" s="1">
        <v>46064.463888888888</v>
      </c>
      <c r="N919" s="1">
        <v>46064.490277777775</v>
      </c>
      <c r="O919">
        <v>1</v>
      </c>
      <c r="P919" t="s">
        <v>115</v>
      </c>
      <c r="Q919" t="s">
        <v>96</v>
      </c>
      <c r="R919" t="s">
        <v>164</v>
      </c>
      <c r="S919" t="s">
        <v>98</v>
      </c>
      <c r="T919">
        <v>3000</v>
      </c>
      <c r="U919" t="s">
        <v>35</v>
      </c>
      <c r="V919" t="s">
        <v>36</v>
      </c>
      <c r="W919">
        <v>1</v>
      </c>
      <c r="X919" t="s">
        <v>37</v>
      </c>
      <c r="Y919">
        <v>1</v>
      </c>
      <c r="Z919" t="s">
        <v>215</v>
      </c>
    </row>
    <row r="920" spans="1:26" hidden="1" x14ac:dyDescent="0.2">
      <c r="A920" t="s">
        <v>1968</v>
      </c>
      <c r="B920" t="s">
        <v>1969</v>
      </c>
      <c r="C920" s="1">
        <v>46042</v>
      </c>
      <c r="D920" t="s">
        <v>114</v>
      </c>
      <c r="E920">
        <v>10</v>
      </c>
      <c r="F920">
        <v>4.3</v>
      </c>
      <c r="G920" t="s">
        <v>76</v>
      </c>
      <c r="H920" t="s">
        <v>95</v>
      </c>
      <c r="I920" s="1">
        <v>46042.330555555556</v>
      </c>
      <c r="J920" s="1">
        <v>46042.342361111114</v>
      </c>
      <c r="K920" s="1">
        <v>46042.40347222222</v>
      </c>
      <c r="L920" s="1">
        <v>46042.40902777778</v>
      </c>
      <c r="M920" s="1">
        <v>46042.446527777778</v>
      </c>
      <c r="N920" s="1">
        <v>46042.475694444445</v>
      </c>
      <c r="O920">
        <v>5</v>
      </c>
      <c r="P920" t="s">
        <v>37</v>
      </c>
      <c r="Q920" t="s">
        <v>32</v>
      </c>
      <c r="R920" t="s">
        <v>33</v>
      </c>
      <c r="S920" t="s">
        <v>34</v>
      </c>
      <c r="T920">
        <v>5000</v>
      </c>
      <c r="U920" t="s">
        <v>35</v>
      </c>
      <c r="V920" t="s">
        <v>36</v>
      </c>
      <c r="W920">
        <v>1</v>
      </c>
      <c r="X920" t="s">
        <v>37</v>
      </c>
      <c r="Y920">
        <v>3</v>
      </c>
      <c r="Z920" t="s">
        <v>72</v>
      </c>
    </row>
    <row r="921" spans="1:26" hidden="1" x14ac:dyDescent="0.2">
      <c r="A921" t="s">
        <v>1970</v>
      </c>
      <c r="B921" t="s">
        <v>1971</v>
      </c>
      <c r="C921" s="1">
        <v>46057</v>
      </c>
      <c r="D921" t="s">
        <v>242</v>
      </c>
      <c r="E921">
        <v>37</v>
      </c>
      <c r="F921">
        <v>8.1999999999999993</v>
      </c>
      <c r="G921" t="s">
        <v>76</v>
      </c>
      <c r="H921" t="s">
        <v>157</v>
      </c>
      <c r="I921" s="1">
        <v>46057.27847222222</v>
      </c>
      <c r="J921" s="1">
        <v>46057.284722222219</v>
      </c>
      <c r="K921" s="1">
        <v>46057.320833333331</v>
      </c>
      <c r="L921" s="1">
        <v>46057.333333333336</v>
      </c>
      <c r="M921" s="1">
        <v>46057.35833333333</v>
      </c>
      <c r="N921" s="1">
        <v>46057.363888888889</v>
      </c>
      <c r="O921">
        <v>3</v>
      </c>
      <c r="P921" t="s">
        <v>37</v>
      </c>
      <c r="Q921" t="s">
        <v>82</v>
      </c>
      <c r="R921" t="s">
        <v>83</v>
      </c>
      <c r="S921" t="s">
        <v>84</v>
      </c>
      <c r="T921">
        <v>4000</v>
      </c>
      <c r="U921" t="s">
        <v>35</v>
      </c>
      <c r="V921" t="s">
        <v>36</v>
      </c>
      <c r="W921">
        <v>1</v>
      </c>
      <c r="X921" t="s">
        <v>37</v>
      </c>
      <c r="Y921">
        <v>5</v>
      </c>
      <c r="Z921" t="s">
        <v>131</v>
      </c>
    </row>
    <row r="922" spans="1:26" hidden="1" x14ac:dyDescent="0.2">
      <c r="A922" t="s">
        <v>1972</v>
      </c>
      <c r="B922" t="s">
        <v>1973</v>
      </c>
      <c r="C922" s="1">
        <v>46058</v>
      </c>
      <c r="D922" t="s">
        <v>149</v>
      </c>
      <c r="E922">
        <v>36</v>
      </c>
      <c r="F922">
        <v>9.6</v>
      </c>
      <c r="G922" t="s">
        <v>81</v>
      </c>
      <c r="H922" t="s">
        <v>167</v>
      </c>
      <c r="I922" s="1">
        <v>46058.381249999999</v>
      </c>
      <c r="J922" s="1">
        <v>46058.399305555555</v>
      </c>
      <c r="K922" s="1">
        <v>46058.430555555555</v>
      </c>
      <c r="L922" s="1">
        <v>46058.440972222219</v>
      </c>
      <c r="M922" s="1">
        <v>46058.479861111111</v>
      </c>
      <c r="N922" s="1">
        <v>46058.509027777778</v>
      </c>
      <c r="O922">
        <v>4</v>
      </c>
      <c r="P922" t="s">
        <v>37</v>
      </c>
      <c r="Q922" t="s">
        <v>82</v>
      </c>
      <c r="R922" t="s">
        <v>83</v>
      </c>
      <c r="S922" t="s">
        <v>84</v>
      </c>
      <c r="T922">
        <v>4000</v>
      </c>
      <c r="U922" t="s">
        <v>35</v>
      </c>
      <c r="V922" t="s">
        <v>36</v>
      </c>
      <c r="W922">
        <v>1</v>
      </c>
      <c r="X922" t="s">
        <v>37</v>
      </c>
      <c r="Y922">
        <v>5</v>
      </c>
      <c r="Z922" t="s">
        <v>215</v>
      </c>
    </row>
    <row r="923" spans="1:26" hidden="1" x14ac:dyDescent="0.2">
      <c r="A923" t="s">
        <v>1974</v>
      </c>
      <c r="B923" t="s">
        <v>1975</v>
      </c>
      <c r="C923" s="1">
        <v>46045</v>
      </c>
      <c r="D923" t="s">
        <v>285</v>
      </c>
      <c r="E923">
        <v>12</v>
      </c>
      <c r="F923">
        <v>11.7</v>
      </c>
      <c r="G923" t="s">
        <v>50</v>
      </c>
      <c r="H923" t="s">
        <v>167</v>
      </c>
      <c r="I923" s="1">
        <v>46045.254166666666</v>
      </c>
      <c r="J923" s="1">
        <v>46045.260416666664</v>
      </c>
      <c r="K923" s="1">
        <v>46045.267361111109</v>
      </c>
      <c r="L923" s="1">
        <v>46045.271527777775</v>
      </c>
      <c r="M923" s="1">
        <v>46045.279861111114</v>
      </c>
      <c r="N923" s="1">
        <v>46045.289583333331</v>
      </c>
      <c r="O923">
        <v>7</v>
      </c>
      <c r="P923" t="s">
        <v>37</v>
      </c>
      <c r="Q923" t="s">
        <v>82</v>
      </c>
      <c r="R923" t="s">
        <v>33</v>
      </c>
      <c r="S923" t="s">
        <v>84</v>
      </c>
      <c r="T923">
        <v>4000</v>
      </c>
      <c r="U923" t="s">
        <v>35</v>
      </c>
      <c r="V923" t="s">
        <v>36</v>
      </c>
      <c r="W923">
        <v>1</v>
      </c>
      <c r="X923" t="s">
        <v>37</v>
      </c>
      <c r="Y923">
        <v>5</v>
      </c>
      <c r="Z923" t="s">
        <v>117</v>
      </c>
    </row>
    <row r="924" spans="1:26" hidden="1" x14ac:dyDescent="0.2">
      <c r="A924" t="s">
        <v>1976</v>
      </c>
      <c r="B924" t="s">
        <v>1977</v>
      </c>
      <c r="C924" s="1">
        <v>46039</v>
      </c>
      <c r="D924" t="s">
        <v>105</v>
      </c>
      <c r="E924">
        <v>25</v>
      </c>
      <c r="F924">
        <v>4.5999999999999996</v>
      </c>
      <c r="G924" t="s">
        <v>29</v>
      </c>
      <c r="H924" t="s">
        <v>167</v>
      </c>
      <c r="I924" s="1">
        <v>46039.310416666667</v>
      </c>
      <c r="J924" s="1">
        <v>46039.324305555558</v>
      </c>
      <c r="K924" s="1">
        <v>46039.334027777775</v>
      </c>
      <c r="L924" s="1">
        <v>46039.341666666667</v>
      </c>
      <c r="M924" s="1">
        <v>46039.376388888886</v>
      </c>
      <c r="N924" s="1">
        <v>46039.407638888886</v>
      </c>
      <c r="O924">
        <v>4</v>
      </c>
      <c r="P924" t="s">
        <v>37</v>
      </c>
      <c r="Q924" t="s">
        <v>32</v>
      </c>
      <c r="R924" t="s">
        <v>66</v>
      </c>
      <c r="S924" t="s">
        <v>34</v>
      </c>
      <c r="T924">
        <v>5000</v>
      </c>
      <c r="U924" t="s">
        <v>35</v>
      </c>
      <c r="V924" t="s">
        <v>36</v>
      </c>
      <c r="W924">
        <v>1</v>
      </c>
      <c r="X924" t="s">
        <v>37</v>
      </c>
      <c r="Y924">
        <v>4</v>
      </c>
      <c r="Z924" t="s">
        <v>46</v>
      </c>
    </row>
    <row r="925" spans="1:26" hidden="1" x14ac:dyDescent="0.2">
      <c r="A925" t="s">
        <v>1978</v>
      </c>
      <c r="B925" t="s">
        <v>1979</v>
      </c>
      <c r="C925" s="1">
        <v>46090</v>
      </c>
      <c r="D925" t="s">
        <v>80</v>
      </c>
      <c r="E925">
        <v>36</v>
      </c>
      <c r="F925">
        <v>5.2</v>
      </c>
      <c r="G925" t="s">
        <v>57</v>
      </c>
      <c r="H925" t="s">
        <v>157</v>
      </c>
      <c r="I925" s="1">
        <v>46090.32916666667</v>
      </c>
      <c r="J925" s="1">
        <v>46090.34652777778</v>
      </c>
      <c r="K925" s="1">
        <v>46090.392361111109</v>
      </c>
      <c r="L925" s="1">
        <v>46090.402083333334</v>
      </c>
      <c r="M925" s="1">
        <v>46090.4375</v>
      </c>
      <c r="N925" s="1">
        <v>46090.459027777775</v>
      </c>
      <c r="O925">
        <v>2</v>
      </c>
      <c r="P925" t="s">
        <v>37</v>
      </c>
      <c r="Q925" t="s">
        <v>43</v>
      </c>
      <c r="R925" t="s">
        <v>200</v>
      </c>
      <c r="S925" t="s">
        <v>45</v>
      </c>
      <c r="T925">
        <v>2500</v>
      </c>
      <c r="U925" t="s">
        <v>35</v>
      </c>
      <c r="V925" t="s">
        <v>59</v>
      </c>
      <c r="W925">
        <v>2</v>
      </c>
      <c r="X925" t="s">
        <v>353</v>
      </c>
      <c r="Y925">
        <v>4</v>
      </c>
      <c r="Z925" t="s">
        <v>117</v>
      </c>
    </row>
    <row r="926" spans="1:26" hidden="1" x14ac:dyDescent="0.2">
      <c r="A926" t="s">
        <v>1980</v>
      </c>
      <c r="B926" t="s">
        <v>1981</v>
      </c>
      <c r="C926" s="1">
        <v>46050</v>
      </c>
      <c r="D926" t="s">
        <v>154</v>
      </c>
      <c r="E926">
        <v>39</v>
      </c>
      <c r="F926">
        <v>10.5</v>
      </c>
      <c r="G926" t="s">
        <v>29</v>
      </c>
      <c r="H926" t="s">
        <v>30</v>
      </c>
      <c r="I926" s="1">
        <v>46050.273611111108</v>
      </c>
      <c r="J926" s="1">
        <v>46050.28125</v>
      </c>
      <c r="K926" s="1">
        <v>46050.293749999997</v>
      </c>
      <c r="L926" s="1">
        <v>46050.3</v>
      </c>
      <c r="M926" s="1">
        <v>46050.31527777778</v>
      </c>
      <c r="N926" s="1">
        <v>46050.345138888886</v>
      </c>
      <c r="O926">
        <v>2</v>
      </c>
      <c r="P926" t="s">
        <v>37</v>
      </c>
      <c r="Q926" t="s">
        <v>82</v>
      </c>
      <c r="R926" t="s">
        <v>211</v>
      </c>
      <c r="S926" t="s">
        <v>84</v>
      </c>
      <c r="T926">
        <v>4000</v>
      </c>
      <c r="U926" t="s">
        <v>35</v>
      </c>
      <c r="V926" t="s">
        <v>36</v>
      </c>
      <c r="W926">
        <v>1</v>
      </c>
      <c r="X926" t="s">
        <v>37</v>
      </c>
      <c r="Y926">
        <v>4</v>
      </c>
      <c r="Z926" t="s">
        <v>102</v>
      </c>
    </row>
    <row r="927" spans="1:26" hidden="1" x14ac:dyDescent="0.2">
      <c r="A927" t="s">
        <v>1982</v>
      </c>
      <c r="B927" t="s">
        <v>1983</v>
      </c>
      <c r="C927" s="1">
        <v>46024</v>
      </c>
      <c r="D927" t="s">
        <v>145</v>
      </c>
      <c r="E927">
        <v>31</v>
      </c>
      <c r="F927">
        <v>6.1</v>
      </c>
      <c r="G927" t="s">
        <v>57</v>
      </c>
      <c r="H927" t="s">
        <v>95</v>
      </c>
      <c r="I927" s="1">
        <v>46024.377083333333</v>
      </c>
      <c r="J927" s="1">
        <v>46024.392361111109</v>
      </c>
      <c r="K927" s="1">
        <v>46024.44027777778</v>
      </c>
      <c r="L927" s="1">
        <v>46024.451388888891</v>
      </c>
      <c r="M927" s="1">
        <v>46024.459027777775</v>
      </c>
      <c r="N927" s="1">
        <v>46024.486111111109</v>
      </c>
      <c r="O927">
        <v>2</v>
      </c>
      <c r="P927" t="s">
        <v>37</v>
      </c>
      <c r="Q927" t="s">
        <v>32</v>
      </c>
      <c r="R927" t="s">
        <v>120</v>
      </c>
      <c r="S927" t="s">
        <v>34</v>
      </c>
      <c r="T927">
        <v>5000</v>
      </c>
      <c r="U927" t="s">
        <v>35</v>
      </c>
      <c r="V927" t="s">
        <v>36</v>
      </c>
      <c r="W927">
        <v>1</v>
      </c>
      <c r="X927" t="s">
        <v>37</v>
      </c>
      <c r="Y927">
        <v>5</v>
      </c>
      <c r="Z927" t="s">
        <v>296</v>
      </c>
    </row>
    <row r="928" spans="1:26" x14ac:dyDescent="0.2">
      <c r="A928" t="s">
        <v>1984</v>
      </c>
      <c r="B928" t="s">
        <v>1985</v>
      </c>
      <c r="C928" s="1">
        <v>46067</v>
      </c>
      <c r="D928" t="s">
        <v>186</v>
      </c>
      <c r="E928">
        <v>21</v>
      </c>
      <c r="F928">
        <v>10</v>
      </c>
      <c r="G928" t="s">
        <v>76</v>
      </c>
      <c r="H928" t="s">
        <v>65</v>
      </c>
      <c r="I928" s="1">
        <v>46067.361111111109</v>
      </c>
      <c r="J928" s="1">
        <v>46067.370138888888</v>
      </c>
      <c r="K928" s="1">
        <v>46067.419444444444</v>
      </c>
      <c r="L928" s="1">
        <v>46067.425694444442</v>
      </c>
      <c r="M928" s="1">
        <v>46067.449305555558</v>
      </c>
      <c r="N928" s="1">
        <v>46067.459027777775</v>
      </c>
      <c r="O928">
        <v>7</v>
      </c>
      <c r="P928" t="s">
        <v>37</v>
      </c>
      <c r="Q928" t="s">
        <v>43</v>
      </c>
      <c r="R928" t="s">
        <v>58</v>
      </c>
      <c r="S928" t="s">
        <v>45</v>
      </c>
      <c r="T928">
        <v>2500</v>
      </c>
      <c r="U928" t="s">
        <v>35</v>
      </c>
      <c r="V928" t="s">
        <v>36</v>
      </c>
      <c r="W928">
        <v>1</v>
      </c>
      <c r="X928" t="s">
        <v>37</v>
      </c>
      <c r="Y928">
        <v>2</v>
      </c>
      <c r="Z928" t="s">
        <v>46</v>
      </c>
    </row>
    <row r="929" spans="1:26" hidden="1" x14ac:dyDescent="0.2">
      <c r="A929" t="s">
        <v>1986</v>
      </c>
      <c r="B929" t="s">
        <v>1987</v>
      </c>
      <c r="C929" s="1">
        <v>46081</v>
      </c>
      <c r="D929" t="s">
        <v>220</v>
      </c>
      <c r="E929">
        <v>11</v>
      </c>
      <c r="F929">
        <v>7.1</v>
      </c>
      <c r="G929" t="s">
        <v>81</v>
      </c>
      <c r="H929" t="s">
        <v>42</v>
      </c>
      <c r="I929" s="1">
        <v>46081.281944444447</v>
      </c>
      <c r="J929" s="1">
        <v>46081.300694444442</v>
      </c>
      <c r="K929" s="1">
        <v>46081.34652777778</v>
      </c>
      <c r="L929" s="1">
        <v>46081.352083333331</v>
      </c>
      <c r="M929" s="1">
        <v>46081.387499999997</v>
      </c>
      <c r="N929" s="1">
        <v>46081.411805555559</v>
      </c>
      <c r="O929">
        <v>2</v>
      </c>
      <c r="P929" t="s">
        <v>52</v>
      </c>
      <c r="Q929" t="s">
        <v>69</v>
      </c>
      <c r="R929" t="s">
        <v>146</v>
      </c>
      <c r="S929" t="s">
        <v>71</v>
      </c>
      <c r="T929">
        <v>2000</v>
      </c>
      <c r="U929" t="s">
        <v>35</v>
      </c>
      <c r="V929" t="s">
        <v>36</v>
      </c>
      <c r="W929">
        <v>1</v>
      </c>
      <c r="X929" t="s">
        <v>37</v>
      </c>
      <c r="Y929">
        <v>5</v>
      </c>
      <c r="Z929" t="s">
        <v>54</v>
      </c>
    </row>
    <row r="930" spans="1:26" hidden="1" x14ac:dyDescent="0.2">
      <c r="A930" t="s">
        <v>1988</v>
      </c>
      <c r="B930" t="s">
        <v>1989</v>
      </c>
      <c r="C930" s="1">
        <v>46106</v>
      </c>
      <c r="D930" t="s">
        <v>254</v>
      </c>
      <c r="E930">
        <v>6</v>
      </c>
      <c r="F930">
        <v>6.6</v>
      </c>
      <c r="G930" t="s">
        <v>57</v>
      </c>
      <c r="H930" t="s">
        <v>95</v>
      </c>
      <c r="I930" s="1">
        <v>46106.352083333331</v>
      </c>
      <c r="J930" s="1">
        <v>46106.368055555555</v>
      </c>
      <c r="K930" s="1">
        <v>46106.429166666669</v>
      </c>
      <c r="L930" s="1">
        <v>46106.436805555553</v>
      </c>
      <c r="M930" s="1">
        <v>46106.476388888892</v>
      </c>
      <c r="N930" s="1">
        <v>46106.497916666667</v>
      </c>
      <c r="O930">
        <v>2</v>
      </c>
      <c r="P930" t="s">
        <v>37</v>
      </c>
      <c r="Q930" t="s">
        <v>82</v>
      </c>
      <c r="R930" t="s">
        <v>239</v>
      </c>
      <c r="S930" t="s">
        <v>84</v>
      </c>
      <c r="T930">
        <v>4000</v>
      </c>
      <c r="U930" t="s">
        <v>35</v>
      </c>
      <c r="V930" t="s">
        <v>36</v>
      </c>
      <c r="W930">
        <v>1</v>
      </c>
      <c r="X930" t="s">
        <v>37</v>
      </c>
      <c r="Y930">
        <v>5</v>
      </c>
      <c r="Z930" t="s">
        <v>215</v>
      </c>
    </row>
    <row r="931" spans="1:26" hidden="1" x14ac:dyDescent="0.2">
      <c r="A931" t="s">
        <v>1990</v>
      </c>
      <c r="B931" t="s">
        <v>1991</v>
      </c>
      <c r="C931" s="1">
        <v>46104</v>
      </c>
      <c r="D931" t="s">
        <v>149</v>
      </c>
      <c r="E931">
        <v>40</v>
      </c>
      <c r="F931">
        <v>5.2</v>
      </c>
      <c r="G931" t="s">
        <v>57</v>
      </c>
      <c r="H931" t="s">
        <v>167</v>
      </c>
      <c r="I931" s="1">
        <v>46104.365972222222</v>
      </c>
      <c r="J931" s="1">
        <v>46104.377083333333</v>
      </c>
      <c r="K931" s="1">
        <v>46104.405555555553</v>
      </c>
      <c r="L931" s="1">
        <v>46104.413194444445</v>
      </c>
      <c r="M931" s="1">
        <v>46104.434027777781</v>
      </c>
      <c r="N931" s="1">
        <v>46104.461805555555</v>
      </c>
      <c r="O931">
        <v>3</v>
      </c>
      <c r="P931" t="s">
        <v>238</v>
      </c>
      <c r="Q931" t="s">
        <v>82</v>
      </c>
      <c r="R931" t="s">
        <v>77</v>
      </c>
      <c r="S931" t="s">
        <v>84</v>
      </c>
      <c r="T931">
        <v>4000</v>
      </c>
      <c r="U931" t="s">
        <v>35</v>
      </c>
      <c r="V931" t="s">
        <v>36</v>
      </c>
      <c r="W931">
        <v>1</v>
      </c>
      <c r="X931" t="s">
        <v>37</v>
      </c>
      <c r="Y931">
        <v>5</v>
      </c>
      <c r="Z931" t="s">
        <v>86</v>
      </c>
    </row>
    <row r="932" spans="1:26" hidden="1" x14ac:dyDescent="0.2">
      <c r="A932" t="s">
        <v>1992</v>
      </c>
      <c r="B932" t="s">
        <v>1993</v>
      </c>
      <c r="C932" s="1">
        <v>46051</v>
      </c>
      <c r="D932" t="s">
        <v>126</v>
      </c>
      <c r="E932">
        <v>20</v>
      </c>
      <c r="F932">
        <v>11.5</v>
      </c>
      <c r="G932" t="s">
        <v>81</v>
      </c>
      <c r="H932" t="s">
        <v>167</v>
      </c>
      <c r="I932" s="1">
        <v>46051.29583333333</v>
      </c>
      <c r="J932" s="1">
        <v>46051.304861111108</v>
      </c>
      <c r="K932" s="1">
        <v>46051.362500000003</v>
      </c>
      <c r="L932" s="1">
        <v>46051.376388888886</v>
      </c>
      <c r="M932" s="1">
        <v>46051.410416666666</v>
      </c>
      <c r="N932" s="1">
        <v>46051.418749999997</v>
      </c>
      <c r="O932">
        <v>2</v>
      </c>
      <c r="P932" t="s">
        <v>37</v>
      </c>
      <c r="Q932" t="s">
        <v>43</v>
      </c>
      <c r="R932" t="s">
        <v>58</v>
      </c>
      <c r="S932" t="s">
        <v>45</v>
      </c>
      <c r="T932">
        <v>2500</v>
      </c>
      <c r="U932" t="s">
        <v>35</v>
      </c>
      <c r="V932" t="s">
        <v>59</v>
      </c>
      <c r="W932">
        <v>4</v>
      </c>
      <c r="X932" t="s">
        <v>116</v>
      </c>
      <c r="Y932">
        <v>3</v>
      </c>
      <c r="Z932" t="s">
        <v>296</v>
      </c>
    </row>
    <row r="933" spans="1:26" hidden="1" x14ac:dyDescent="0.2">
      <c r="A933" t="s">
        <v>1994</v>
      </c>
      <c r="B933" t="s">
        <v>1995</v>
      </c>
      <c r="C933" s="1">
        <v>46031</v>
      </c>
      <c r="D933" t="s">
        <v>126</v>
      </c>
      <c r="E933">
        <v>20</v>
      </c>
      <c r="F933">
        <v>9.3000000000000007</v>
      </c>
      <c r="G933" t="s">
        <v>81</v>
      </c>
      <c r="H933" t="s">
        <v>157</v>
      </c>
      <c r="I933" s="1">
        <v>46031.384722222225</v>
      </c>
      <c r="J933" s="1">
        <v>46031.399305555555</v>
      </c>
      <c r="K933" s="1">
        <v>46031.45</v>
      </c>
      <c r="L933" s="1">
        <v>46031.455555555556</v>
      </c>
      <c r="M933" s="1">
        <v>46031.47152777778</v>
      </c>
      <c r="N933" s="1">
        <v>46031.496527777781</v>
      </c>
      <c r="O933">
        <v>6</v>
      </c>
      <c r="P933" t="s">
        <v>37</v>
      </c>
      <c r="Q933" t="s">
        <v>32</v>
      </c>
      <c r="R933" t="s">
        <v>66</v>
      </c>
      <c r="S933" t="s">
        <v>34</v>
      </c>
      <c r="T933">
        <v>5000</v>
      </c>
      <c r="U933" t="s">
        <v>35</v>
      </c>
      <c r="V933" t="s">
        <v>36</v>
      </c>
      <c r="W933">
        <v>1</v>
      </c>
      <c r="X933" t="s">
        <v>37</v>
      </c>
      <c r="Y933">
        <v>4</v>
      </c>
      <c r="Z933" t="s">
        <v>86</v>
      </c>
    </row>
    <row r="934" spans="1:26" hidden="1" x14ac:dyDescent="0.2">
      <c r="A934" t="s">
        <v>1996</v>
      </c>
      <c r="B934" t="s">
        <v>1997</v>
      </c>
      <c r="C934" s="1">
        <v>46054</v>
      </c>
      <c r="D934" t="s">
        <v>123</v>
      </c>
      <c r="E934">
        <v>11</v>
      </c>
      <c r="F934">
        <v>5.0999999999999996</v>
      </c>
      <c r="G934" t="s">
        <v>76</v>
      </c>
      <c r="H934" t="s">
        <v>157</v>
      </c>
      <c r="I934" s="1">
        <v>46054.379166666666</v>
      </c>
      <c r="J934" s="1">
        <v>46054.400000000001</v>
      </c>
      <c r="K934" s="1">
        <v>46054.411111111112</v>
      </c>
      <c r="L934" s="1">
        <v>46054.418749999997</v>
      </c>
      <c r="M934" s="1">
        <v>46054.433333333334</v>
      </c>
      <c r="N934" s="1">
        <v>46054.438194444447</v>
      </c>
      <c r="O934">
        <v>1</v>
      </c>
      <c r="P934" t="s">
        <v>31</v>
      </c>
      <c r="Q934" t="s">
        <v>82</v>
      </c>
      <c r="R934" t="s">
        <v>286</v>
      </c>
      <c r="S934" t="s">
        <v>84</v>
      </c>
      <c r="T934">
        <v>4000</v>
      </c>
      <c r="U934" t="s">
        <v>35</v>
      </c>
      <c r="V934" t="s">
        <v>36</v>
      </c>
      <c r="W934">
        <v>1</v>
      </c>
      <c r="X934" t="s">
        <v>37</v>
      </c>
      <c r="Y934">
        <v>5</v>
      </c>
      <c r="Z934" t="s">
        <v>72</v>
      </c>
    </row>
    <row r="935" spans="1:26" x14ac:dyDescent="0.2">
      <c r="A935" t="s">
        <v>1998</v>
      </c>
      <c r="B935" t="s">
        <v>1999</v>
      </c>
      <c r="C935" s="1">
        <v>46087</v>
      </c>
      <c r="D935" t="s">
        <v>285</v>
      </c>
      <c r="E935">
        <v>27</v>
      </c>
      <c r="F935">
        <v>9.5</v>
      </c>
      <c r="G935" t="s">
        <v>76</v>
      </c>
      <c r="H935" t="s">
        <v>30</v>
      </c>
      <c r="I935" s="1">
        <v>46087.34097222222</v>
      </c>
      <c r="J935" s="1">
        <v>46087.352083333331</v>
      </c>
      <c r="K935" s="1">
        <v>46087.375</v>
      </c>
      <c r="L935" s="1">
        <v>46087.383333333331</v>
      </c>
      <c r="M935" s="1">
        <v>46087.418055555558</v>
      </c>
      <c r="N935" s="1">
        <v>46087.445138888892</v>
      </c>
      <c r="O935">
        <v>4</v>
      </c>
      <c r="P935" t="s">
        <v>37</v>
      </c>
      <c r="Q935" t="s">
        <v>69</v>
      </c>
      <c r="R935" t="s">
        <v>70</v>
      </c>
      <c r="S935" t="s">
        <v>71</v>
      </c>
      <c r="T935">
        <v>2000</v>
      </c>
      <c r="U935" t="s">
        <v>35</v>
      </c>
      <c r="V935" t="s">
        <v>59</v>
      </c>
      <c r="W935">
        <v>1</v>
      </c>
      <c r="X935" t="s">
        <v>85</v>
      </c>
      <c r="Y935">
        <v>1</v>
      </c>
      <c r="Z935" t="s">
        <v>161</v>
      </c>
    </row>
    <row r="936" spans="1:26" hidden="1" x14ac:dyDescent="0.2">
      <c r="A936" t="s">
        <v>2000</v>
      </c>
      <c r="B936" t="s">
        <v>2001</v>
      </c>
      <c r="C936" s="1">
        <v>46072</v>
      </c>
      <c r="D936" t="s">
        <v>105</v>
      </c>
      <c r="E936">
        <v>12</v>
      </c>
      <c r="F936">
        <v>7.7</v>
      </c>
      <c r="G936" t="s">
        <v>76</v>
      </c>
      <c r="H936" t="s">
        <v>42</v>
      </c>
      <c r="I936" s="1">
        <v>46072.404861111114</v>
      </c>
      <c r="J936" s="1">
        <v>46072.411805555559</v>
      </c>
      <c r="K936" s="1">
        <v>46072.436805555553</v>
      </c>
      <c r="L936" s="1">
        <v>46072.441666666666</v>
      </c>
      <c r="M936" s="1">
        <v>46072.449305555558</v>
      </c>
      <c r="N936" s="1">
        <v>46072.459027777775</v>
      </c>
      <c r="O936">
        <v>6</v>
      </c>
      <c r="P936" t="s">
        <v>37</v>
      </c>
      <c r="Q936" t="s">
        <v>32</v>
      </c>
      <c r="R936" t="s">
        <v>66</v>
      </c>
      <c r="S936" t="s">
        <v>34</v>
      </c>
      <c r="T936">
        <v>5000</v>
      </c>
      <c r="U936" t="s">
        <v>35</v>
      </c>
      <c r="V936" t="s">
        <v>36</v>
      </c>
      <c r="W936">
        <v>1</v>
      </c>
      <c r="X936" t="s">
        <v>37</v>
      </c>
      <c r="Y936">
        <v>4</v>
      </c>
      <c r="Z936" t="s">
        <v>99</v>
      </c>
    </row>
    <row r="937" spans="1:26" hidden="1" x14ac:dyDescent="0.2">
      <c r="A937" t="s">
        <v>2002</v>
      </c>
      <c r="B937" t="s">
        <v>2003</v>
      </c>
      <c r="C937" s="1">
        <v>46026</v>
      </c>
      <c r="D937" t="s">
        <v>89</v>
      </c>
      <c r="E937">
        <v>35</v>
      </c>
      <c r="F937">
        <v>6.2</v>
      </c>
      <c r="G937" t="s">
        <v>81</v>
      </c>
      <c r="H937" t="s">
        <v>95</v>
      </c>
      <c r="I937" s="1">
        <v>46026.259722222225</v>
      </c>
      <c r="J937" s="1">
        <v>46026.276388888888</v>
      </c>
      <c r="K937" s="1">
        <v>46026.300694444442</v>
      </c>
      <c r="L937" s="1">
        <v>46026.304166666669</v>
      </c>
      <c r="M937" s="1">
        <v>46026.336111111108</v>
      </c>
      <c r="N937" s="1">
        <v>46026.357638888891</v>
      </c>
      <c r="O937">
        <v>4</v>
      </c>
      <c r="P937" t="s">
        <v>52</v>
      </c>
      <c r="Q937" t="s">
        <v>96</v>
      </c>
      <c r="R937" t="s">
        <v>164</v>
      </c>
      <c r="S937" t="s">
        <v>98</v>
      </c>
      <c r="T937">
        <v>3000</v>
      </c>
      <c r="U937" t="s">
        <v>35</v>
      </c>
      <c r="V937" t="s">
        <v>36</v>
      </c>
      <c r="W937">
        <v>1</v>
      </c>
      <c r="X937" t="s">
        <v>37</v>
      </c>
      <c r="Y937">
        <v>5</v>
      </c>
      <c r="Z937" t="s">
        <v>296</v>
      </c>
    </row>
    <row r="938" spans="1:26" hidden="1" x14ac:dyDescent="0.2">
      <c r="A938" t="s">
        <v>2004</v>
      </c>
      <c r="B938" t="s">
        <v>2005</v>
      </c>
      <c r="C938" s="1">
        <v>46029</v>
      </c>
      <c r="D938" t="s">
        <v>105</v>
      </c>
      <c r="E938">
        <v>14</v>
      </c>
      <c r="F938">
        <v>4.9000000000000004</v>
      </c>
      <c r="G938" t="s">
        <v>57</v>
      </c>
      <c r="H938" t="s">
        <v>51</v>
      </c>
      <c r="I938" s="1">
        <v>46029.40347222222</v>
      </c>
      <c r="J938" s="1">
        <v>46029.421527777777</v>
      </c>
      <c r="K938" s="1">
        <v>46029.46875</v>
      </c>
      <c r="L938" s="1">
        <v>46029.481249999997</v>
      </c>
      <c r="M938" s="1">
        <v>46029.508333333331</v>
      </c>
      <c r="N938" s="1">
        <v>46029.517361111109</v>
      </c>
      <c r="O938">
        <v>1</v>
      </c>
      <c r="P938" t="s">
        <v>52</v>
      </c>
      <c r="Q938" t="s">
        <v>82</v>
      </c>
      <c r="R938" t="s">
        <v>211</v>
      </c>
      <c r="S938" t="s">
        <v>84</v>
      </c>
      <c r="T938">
        <v>4000</v>
      </c>
      <c r="U938" t="s">
        <v>35</v>
      </c>
      <c r="V938" t="s">
        <v>36</v>
      </c>
      <c r="W938">
        <v>1</v>
      </c>
      <c r="X938" t="s">
        <v>37</v>
      </c>
      <c r="Y938">
        <v>4</v>
      </c>
      <c r="Z938" t="s">
        <v>117</v>
      </c>
    </row>
    <row r="939" spans="1:26" hidden="1" x14ac:dyDescent="0.2">
      <c r="A939" t="s">
        <v>2006</v>
      </c>
      <c r="B939" t="s">
        <v>2007</v>
      </c>
      <c r="C939" s="1">
        <v>46046</v>
      </c>
      <c r="D939" t="s">
        <v>110</v>
      </c>
      <c r="E939">
        <v>33</v>
      </c>
      <c r="F939">
        <v>5.0999999999999996</v>
      </c>
      <c r="G939" t="s">
        <v>76</v>
      </c>
      <c r="H939" t="s">
        <v>30</v>
      </c>
      <c r="I939" s="1">
        <v>46046.381944444445</v>
      </c>
      <c r="J939" s="1">
        <v>46046.396527777775</v>
      </c>
      <c r="K939" s="1">
        <v>46046.442361111112</v>
      </c>
      <c r="L939" s="1">
        <v>46046.450694444444</v>
      </c>
      <c r="M939" s="1">
        <v>46046.46597222222</v>
      </c>
      <c r="N939" s="1">
        <v>46046.496527777781</v>
      </c>
      <c r="O939">
        <v>6</v>
      </c>
      <c r="P939" t="s">
        <v>37</v>
      </c>
      <c r="Q939" t="s">
        <v>32</v>
      </c>
      <c r="R939" t="s">
        <v>107</v>
      </c>
      <c r="S939" t="s">
        <v>34</v>
      </c>
      <c r="T939">
        <v>5000</v>
      </c>
      <c r="U939" t="s">
        <v>35</v>
      </c>
      <c r="V939" t="s">
        <v>36</v>
      </c>
      <c r="W939">
        <v>1</v>
      </c>
      <c r="X939" t="s">
        <v>37</v>
      </c>
      <c r="Y939">
        <v>4</v>
      </c>
      <c r="Z939" t="s">
        <v>99</v>
      </c>
    </row>
    <row r="940" spans="1:26" hidden="1" x14ac:dyDescent="0.2">
      <c r="A940" t="s">
        <v>2008</v>
      </c>
      <c r="B940" t="s">
        <v>2009</v>
      </c>
      <c r="C940" s="1">
        <v>46091</v>
      </c>
      <c r="D940" t="s">
        <v>178</v>
      </c>
      <c r="E940">
        <v>24</v>
      </c>
      <c r="F940">
        <v>10.199999999999999</v>
      </c>
      <c r="G940" t="s">
        <v>29</v>
      </c>
      <c r="H940" t="s">
        <v>95</v>
      </c>
      <c r="I940" s="1">
        <v>46091.385416666664</v>
      </c>
      <c r="J940" s="1">
        <v>46091.40625</v>
      </c>
      <c r="K940" s="1">
        <v>46091.438194444447</v>
      </c>
      <c r="L940" s="1">
        <v>46091.445138888892</v>
      </c>
      <c r="M940" s="1">
        <v>46091.456250000003</v>
      </c>
      <c r="N940" s="1">
        <v>46091.463194444441</v>
      </c>
      <c r="O940">
        <v>3</v>
      </c>
      <c r="P940" t="s">
        <v>31</v>
      </c>
      <c r="Q940" t="s">
        <v>82</v>
      </c>
      <c r="R940" t="s">
        <v>214</v>
      </c>
      <c r="S940" t="s">
        <v>84</v>
      </c>
      <c r="T940">
        <v>4000</v>
      </c>
      <c r="U940" t="s">
        <v>35</v>
      </c>
      <c r="V940" t="s">
        <v>36</v>
      </c>
      <c r="W940">
        <v>1</v>
      </c>
      <c r="X940" t="s">
        <v>37</v>
      </c>
      <c r="Y940">
        <v>3</v>
      </c>
      <c r="Z940" t="s">
        <v>99</v>
      </c>
    </row>
    <row r="941" spans="1:26" x14ac:dyDescent="0.2">
      <c r="A941" t="s">
        <v>2010</v>
      </c>
      <c r="B941" t="s">
        <v>2011</v>
      </c>
      <c r="C941" s="1">
        <v>46096</v>
      </c>
      <c r="D941" t="s">
        <v>94</v>
      </c>
      <c r="E941">
        <v>14</v>
      </c>
      <c r="F941">
        <v>8.8000000000000007</v>
      </c>
      <c r="G941" t="s">
        <v>50</v>
      </c>
      <c r="H941" t="s">
        <v>95</v>
      </c>
      <c r="I941" s="1">
        <v>46096.25277777778</v>
      </c>
      <c r="J941" s="1">
        <v>46096.268750000003</v>
      </c>
      <c r="K941" s="1">
        <v>46096.292361111111</v>
      </c>
      <c r="L941" s="1">
        <v>46096.303472222222</v>
      </c>
      <c r="M941" s="1">
        <v>46096.325694444444</v>
      </c>
      <c r="N941" s="1">
        <v>46096.345833333333</v>
      </c>
      <c r="O941">
        <v>7</v>
      </c>
      <c r="P941" t="s">
        <v>37</v>
      </c>
      <c r="Q941" t="s">
        <v>96</v>
      </c>
      <c r="R941" t="s">
        <v>164</v>
      </c>
      <c r="S941" t="s">
        <v>98</v>
      </c>
      <c r="T941">
        <v>3000</v>
      </c>
      <c r="U941" t="s">
        <v>35</v>
      </c>
      <c r="V941" t="s">
        <v>36</v>
      </c>
      <c r="W941">
        <v>1</v>
      </c>
      <c r="X941" t="s">
        <v>37</v>
      </c>
      <c r="Y941">
        <v>1</v>
      </c>
      <c r="Z941" t="s">
        <v>86</v>
      </c>
    </row>
    <row r="942" spans="1:26" hidden="1" x14ac:dyDescent="0.2">
      <c r="A942" t="s">
        <v>2012</v>
      </c>
      <c r="B942" t="s">
        <v>2013</v>
      </c>
      <c r="C942" s="1">
        <v>46108</v>
      </c>
      <c r="D942" t="s">
        <v>254</v>
      </c>
      <c r="E942">
        <v>13</v>
      </c>
      <c r="F942">
        <v>10.199999999999999</v>
      </c>
      <c r="G942" t="s">
        <v>81</v>
      </c>
      <c r="H942" t="s">
        <v>157</v>
      </c>
      <c r="I942" s="1">
        <v>46108.395833333336</v>
      </c>
      <c r="J942" s="1">
        <v>46108.399305555555</v>
      </c>
      <c r="K942" s="1">
        <v>46108.414583333331</v>
      </c>
      <c r="L942" s="1">
        <v>46108.42291666667</v>
      </c>
      <c r="M942" s="1">
        <v>46108.45</v>
      </c>
      <c r="N942" s="1">
        <v>46108.458333333336</v>
      </c>
      <c r="O942">
        <v>2</v>
      </c>
      <c r="P942" t="s">
        <v>115</v>
      </c>
      <c r="Q942" t="s">
        <v>69</v>
      </c>
      <c r="R942" t="s">
        <v>251</v>
      </c>
      <c r="S942" t="s">
        <v>71</v>
      </c>
      <c r="T942">
        <v>2000</v>
      </c>
      <c r="U942" t="s">
        <v>91</v>
      </c>
      <c r="V942" t="s">
        <v>36</v>
      </c>
      <c r="W942">
        <v>1</v>
      </c>
      <c r="X942" t="s">
        <v>37</v>
      </c>
      <c r="Y942">
        <v>4</v>
      </c>
      <c r="Z942" t="s">
        <v>168</v>
      </c>
    </row>
    <row r="943" spans="1:26" hidden="1" x14ac:dyDescent="0.2">
      <c r="A943" t="s">
        <v>2014</v>
      </c>
      <c r="B943" t="s">
        <v>2015</v>
      </c>
      <c r="C943" s="1">
        <v>46039</v>
      </c>
      <c r="D943" t="s">
        <v>267</v>
      </c>
      <c r="E943">
        <v>9</v>
      </c>
      <c r="F943">
        <v>11.1</v>
      </c>
      <c r="G943" t="s">
        <v>57</v>
      </c>
      <c r="H943" t="s">
        <v>51</v>
      </c>
      <c r="I943" s="1">
        <v>46039.275000000001</v>
      </c>
      <c r="J943" s="1">
        <v>46039.288888888892</v>
      </c>
      <c r="K943" s="1">
        <v>46039.3</v>
      </c>
      <c r="L943" s="1">
        <v>46039.3125</v>
      </c>
      <c r="M943" s="1">
        <v>46039.324305555558</v>
      </c>
      <c r="N943" s="1">
        <v>46039.34375</v>
      </c>
      <c r="O943">
        <v>5</v>
      </c>
      <c r="P943" t="s">
        <v>106</v>
      </c>
      <c r="Q943" t="s">
        <v>32</v>
      </c>
      <c r="R943" t="s">
        <v>33</v>
      </c>
      <c r="S943" t="s">
        <v>34</v>
      </c>
      <c r="T943">
        <v>5000</v>
      </c>
      <c r="U943" t="s">
        <v>35</v>
      </c>
      <c r="V943" t="s">
        <v>36</v>
      </c>
      <c r="W943">
        <v>1</v>
      </c>
      <c r="X943" t="s">
        <v>37</v>
      </c>
      <c r="Y943">
        <v>3</v>
      </c>
      <c r="Z943" t="s">
        <v>215</v>
      </c>
    </row>
    <row r="944" spans="1:26" hidden="1" x14ac:dyDescent="0.2">
      <c r="A944" t="s">
        <v>2016</v>
      </c>
      <c r="B944" t="s">
        <v>2017</v>
      </c>
      <c r="C944" s="1">
        <v>46079</v>
      </c>
      <c r="D944" t="s">
        <v>233</v>
      </c>
      <c r="E944">
        <v>32</v>
      </c>
      <c r="F944">
        <v>10.9</v>
      </c>
      <c r="G944" t="s">
        <v>29</v>
      </c>
      <c r="H944" t="s">
        <v>157</v>
      </c>
      <c r="I944" s="1">
        <v>46079.290277777778</v>
      </c>
      <c r="J944" s="1">
        <v>46079.296527777777</v>
      </c>
      <c r="K944" s="1">
        <v>46079.314583333333</v>
      </c>
      <c r="L944" s="1">
        <v>46079.324305555558</v>
      </c>
      <c r="M944" s="1">
        <v>46079.354166666664</v>
      </c>
      <c r="N944" s="1">
        <v>46079.361805555556</v>
      </c>
      <c r="O944">
        <v>3</v>
      </c>
      <c r="P944" t="s">
        <v>37</v>
      </c>
      <c r="Q944" t="s">
        <v>32</v>
      </c>
      <c r="R944" t="s">
        <v>140</v>
      </c>
      <c r="S944" t="s">
        <v>34</v>
      </c>
      <c r="T944">
        <v>5000</v>
      </c>
      <c r="U944" t="s">
        <v>91</v>
      </c>
      <c r="V944" t="s">
        <v>36</v>
      </c>
      <c r="W944">
        <v>1</v>
      </c>
      <c r="X944" t="s">
        <v>37</v>
      </c>
      <c r="Y944">
        <v>5</v>
      </c>
      <c r="Z944" t="s">
        <v>134</v>
      </c>
    </row>
    <row r="945" spans="1:26" hidden="1" x14ac:dyDescent="0.2">
      <c r="A945" t="s">
        <v>2018</v>
      </c>
      <c r="B945" t="s">
        <v>2019</v>
      </c>
      <c r="C945" s="1">
        <v>46023</v>
      </c>
      <c r="D945" t="s">
        <v>41</v>
      </c>
      <c r="E945">
        <v>20</v>
      </c>
      <c r="F945">
        <v>4.5</v>
      </c>
      <c r="G945" t="s">
        <v>29</v>
      </c>
      <c r="H945" t="s">
        <v>65</v>
      </c>
      <c r="I945" s="1">
        <v>46023.313888888886</v>
      </c>
      <c r="J945" s="1">
        <v>46023.325694444444</v>
      </c>
      <c r="K945" s="1">
        <v>46023.376388888886</v>
      </c>
      <c r="L945" s="1">
        <v>46023.38958333333</v>
      </c>
      <c r="M945" s="1">
        <v>46023.412499999999</v>
      </c>
      <c r="N945" s="1">
        <v>46023.43472222222</v>
      </c>
      <c r="O945">
        <v>7</v>
      </c>
      <c r="P945" t="s">
        <v>37</v>
      </c>
      <c r="Q945" t="s">
        <v>96</v>
      </c>
      <c r="R945" t="s">
        <v>90</v>
      </c>
      <c r="S945" t="s">
        <v>98</v>
      </c>
      <c r="T945">
        <v>3000</v>
      </c>
      <c r="U945" t="s">
        <v>35</v>
      </c>
      <c r="V945" t="s">
        <v>36</v>
      </c>
      <c r="W945">
        <v>1</v>
      </c>
      <c r="X945" t="s">
        <v>37</v>
      </c>
      <c r="Y945">
        <v>5</v>
      </c>
      <c r="Z945" t="s">
        <v>99</v>
      </c>
    </row>
    <row r="946" spans="1:26" hidden="1" x14ac:dyDescent="0.2">
      <c r="A946" t="s">
        <v>2020</v>
      </c>
      <c r="B946" t="s">
        <v>2021</v>
      </c>
      <c r="C946" s="1">
        <v>46059</v>
      </c>
      <c r="D946" t="s">
        <v>181</v>
      </c>
      <c r="E946">
        <v>21</v>
      </c>
      <c r="F946">
        <v>7.8</v>
      </c>
      <c r="G946" t="s">
        <v>29</v>
      </c>
      <c r="H946" t="s">
        <v>95</v>
      </c>
      <c r="I946" s="1">
        <v>46059.398611111108</v>
      </c>
      <c r="J946" s="1">
        <v>46059.419444444444</v>
      </c>
      <c r="K946" s="1">
        <v>46059.448611111111</v>
      </c>
      <c r="L946" s="1">
        <v>46059.461805555555</v>
      </c>
      <c r="M946" s="1">
        <v>46059.487500000003</v>
      </c>
      <c r="N946" s="1">
        <v>46059.490972222222</v>
      </c>
      <c r="O946">
        <v>1</v>
      </c>
      <c r="P946" t="s">
        <v>238</v>
      </c>
      <c r="Q946" t="s">
        <v>82</v>
      </c>
      <c r="R946" t="s">
        <v>83</v>
      </c>
      <c r="S946" t="s">
        <v>84</v>
      </c>
      <c r="T946">
        <v>4000</v>
      </c>
      <c r="U946" t="s">
        <v>35</v>
      </c>
      <c r="V946" t="s">
        <v>36</v>
      </c>
      <c r="W946">
        <v>1</v>
      </c>
      <c r="X946" t="s">
        <v>37</v>
      </c>
      <c r="Y946">
        <v>4</v>
      </c>
      <c r="Z946" t="s">
        <v>102</v>
      </c>
    </row>
    <row r="947" spans="1:26" hidden="1" x14ac:dyDescent="0.2">
      <c r="A947" t="s">
        <v>2022</v>
      </c>
      <c r="B947" t="s">
        <v>2023</v>
      </c>
      <c r="C947" s="1">
        <v>46026</v>
      </c>
      <c r="D947" t="s">
        <v>154</v>
      </c>
      <c r="E947">
        <v>19</v>
      </c>
      <c r="F947">
        <v>4.8</v>
      </c>
      <c r="G947" t="s">
        <v>50</v>
      </c>
      <c r="H947" t="s">
        <v>167</v>
      </c>
      <c r="I947" s="1">
        <v>46026.385416666664</v>
      </c>
      <c r="J947" s="1">
        <v>46026.390277777777</v>
      </c>
      <c r="K947" s="1">
        <v>46026.44027777778</v>
      </c>
      <c r="L947" s="1">
        <v>46026.447222222225</v>
      </c>
      <c r="M947" s="1">
        <v>46026.472916666666</v>
      </c>
      <c r="N947" s="1">
        <v>46026.499305555553</v>
      </c>
      <c r="O947">
        <v>1</v>
      </c>
      <c r="P947" t="s">
        <v>37</v>
      </c>
      <c r="Q947" t="s">
        <v>43</v>
      </c>
      <c r="R947" t="s">
        <v>44</v>
      </c>
      <c r="S947" t="s">
        <v>45</v>
      </c>
      <c r="T947">
        <v>2500</v>
      </c>
      <c r="U947" t="s">
        <v>35</v>
      </c>
      <c r="V947" t="s">
        <v>36</v>
      </c>
      <c r="W947">
        <v>1</v>
      </c>
      <c r="X947" t="s">
        <v>37</v>
      </c>
      <c r="Y947">
        <v>5</v>
      </c>
      <c r="Z947" t="s">
        <v>72</v>
      </c>
    </row>
    <row r="948" spans="1:26" x14ac:dyDescent="0.2">
      <c r="A948" t="s">
        <v>2024</v>
      </c>
      <c r="B948" t="s">
        <v>2025</v>
      </c>
      <c r="C948" s="1">
        <v>46041</v>
      </c>
      <c r="D948" t="s">
        <v>254</v>
      </c>
      <c r="E948">
        <v>26</v>
      </c>
      <c r="F948">
        <v>9.6</v>
      </c>
      <c r="G948" t="s">
        <v>50</v>
      </c>
      <c r="H948" t="s">
        <v>51</v>
      </c>
      <c r="I948" s="1">
        <v>46041.284722222219</v>
      </c>
      <c r="J948" s="1">
        <v>46041.299305555556</v>
      </c>
      <c r="K948" s="1">
        <v>46041.30972222222</v>
      </c>
      <c r="L948" s="1">
        <v>46041.322222222225</v>
      </c>
      <c r="M948" s="1">
        <v>46041.348611111112</v>
      </c>
      <c r="N948" s="1">
        <v>46041.356249999997</v>
      </c>
      <c r="O948">
        <v>2</v>
      </c>
      <c r="P948" t="s">
        <v>52</v>
      </c>
      <c r="Q948" t="s">
        <v>32</v>
      </c>
      <c r="R948" t="s">
        <v>77</v>
      </c>
      <c r="S948" t="s">
        <v>34</v>
      </c>
      <c r="T948">
        <v>5000</v>
      </c>
      <c r="U948" t="s">
        <v>35</v>
      </c>
      <c r="V948" t="s">
        <v>36</v>
      </c>
      <c r="W948">
        <v>1</v>
      </c>
      <c r="X948" t="s">
        <v>37</v>
      </c>
      <c r="Y948">
        <v>1</v>
      </c>
      <c r="Z948" t="s">
        <v>46</v>
      </c>
    </row>
    <row r="949" spans="1:26" hidden="1" x14ac:dyDescent="0.2">
      <c r="A949" t="s">
        <v>2026</v>
      </c>
      <c r="B949" t="s">
        <v>2027</v>
      </c>
      <c r="C949" s="1">
        <v>46069</v>
      </c>
      <c r="D949" t="s">
        <v>285</v>
      </c>
      <c r="E949">
        <v>24</v>
      </c>
      <c r="F949">
        <v>5.6</v>
      </c>
      <c r="G949" t="s">
        <v>50</v>
      </c>
      <c r="H949" t="s">
        <v>95</v>
      </c>
      <c r="I949" s="1">
        <v>46069.270138888889</v>
      </c>
      <c r="J949" s="1">
        <v>46069.288888888892</v>
      </c>
      <c r="K949" s="1">
        <v>46069.313194444447</v>
      </c>
      <c r="L949" s="1">
        <v>46069.316666666666</v>
      </c>
      <c r="M949" s="1">
        <v>46069.324305555558</v>
      </c>
      <c r="N949" s="1">
        <v>46069.352777777778</v>
      </c>
      <c r="O949">
        <v>4</v>
      </c>
      <c r="P949" t="s">
        <v>31</v>
      </c>
      <c r="Q949" t="s">
        <v>96</v>
      </c>
      <c r="R949" t="s">
        <v>97</v>
      </c>
      <c r="S949" t="s">
        <v>98</v>
      </c>
      <c r="T949">
        <v>3000</v>
      </c>
      <c r="U949" t="s">
        <v>35</v>
      </c>
      <c r="V949" t="s">
        <v>36</v>
      </c>
      <c r="W949">
        <v>1</v>
      </c>
      <c r="X949" t="s">
        <v>37</v>
      </c>
      <c r="Y949">
        <v>4</v>
      </c>
      <c r="Z949" t="s">
        <v>38</v>
      </c>
    </row>
    <row r="950" spans="1:26" hidden="1" x14ac:dyDescent="0.2">
      <c r="A950" t="s">
        <v>2028</v>
      </c>
      <c r="B950" t="s">
        <v>2029</v>
      </c>
      <c r="C950" s="1">
        <v>46099</v>
      </c>
      <c r="D950" t="s">
        <v>49</v>
      </c>
      <c r="E950">
        <v>18</v>
      </c>
      <c r="F950">
        <v>5</v>
      </c>
      <c r="G950" t="s">
        <v>29</v>
      </c>
      <c r="H950" t="s">
        <v>167</v>
      </c>
      <c r="I950" s="1">
        <v>46099.284722222219</v>
      </c>
      <c r="J950" s="1">
        <v>46099.302777777775</v>
      </c>
      <c r="K950" s="1">
        <v>46099.32708333333</v>
      </c>
      <c r="L950" s="1">
        <v>46099.338888888888</v>
      </c>
      <c r="M950" s="1">
        <v>46099.352777777778</v>
      </c>
      <c r="N950" s="1">
        <v>46099.375694444447</v>
      </c>
      <c r="O950">
        <v>3</v>
      </c>
      <c r="P950" t="s">
        <v>37</v>
      </c>
      <c r="Q950" t="s">
        <v>43</v>
      </c>
      <c r="R950" t="s">
        <v>90</v>
      </c>
      <c r="S950" t="s">
        <v>45</v>
      </c>
      <c r="T950">
        <v>2500</v>
      </c>
      <c r="U950" t="s">
        <v>35</v>
      </c>
      <c r="V950" t="s">
        <v>36</v>
      </c>
      <c r="W950">
        <v>1</v>
      </c>
      <c r="X950" t="s">
        <v>37</v>
      </c>
      <c r="Y950">
        <v>3</v>
      </c>
      <c r="Z950" t="s">
        <v>99</v>
      </c>
    </row>
    <row r="951" spans="1:26" hidden="1" x14ac:dyDescent="0.2">
      <c r="A951" t="s">
        <v>2030</v>
      </c>
      <c r="B951" t="s">
        <v>2031</v>
      </c>
      <c r="C951" s="1">
        <v>46031</v>
      </c>
      <c r="D951" t="s">
        <v>285</v>
      </c>
      <c r="E951">
        <v>13</v>
      </c>
      <c r="F951">
        <v>9.6</v>
      </c>
      <c r="G951" t="s">
        <v>50</v>
      </c>
      <c r="H951" t="s">
        <v>51</v>
      </c>
      <c r="I951" s="1">
        <v>46031.255555555559</v>
      </c>
      <c r="J951" s="1">
        <v>46031.259722222225</v>
      </c>
      <c r="K951" s="1">
        <v>46031.290277777778</v>
      </c>
      <c r="L951" s="1">
        <v>46031.302083333336</v>
      </c>
      <c r="M951" s="1">
        <v>46031.32708333333</v>
      </c>
      <c r="N951" s="1">
        <v>46031.349305555559</v>
      </c>
      <c r="O951">
        <v>1</v>
      </c>
      <c r="P951" t="s">
        <v>37</v>
      </c>
      <c r="Q951" t="s">
        <v>82</v>
      </c>
      <c r="R951" t="s">
        <v>239</v>
      </c>
      <c r="S951" t="s">
        <v>84</v>
      </c>
      <c r="T951">
        <v>4000</v>
      </c>
      <c r="U951" t="s">
        <v>35</v>
      </c>
      <c r="V951" t="s">
        <v>36</v>
      </c>
      <c r="W951">
        <v>1</v>
      </c>
      <c r="X951" t="s">
        <v>37</v>
      </c>
      <c r="Y951">
        <v>5</v>
      </c>
      <c r="Z951" t="s">
        <v>61</v>
      </c>
    </row>
    <row r="952" spans="1:26" hidden="1" x14ac:dyDescent="0.2">
      <c r="A952" t="s">
        <v>2032</v>
      </c>
      <c r="B952" t="s">
        <v>2033</v>
      </c>
      <c r="C952" s="1">
        <v>46029</v>
      </c>
      <c r="D952" t="s">
        <v>225</v>
      </c>
      <c r="E952">
        <v>34</v>
      </c>
      <c r="F952">
        <v>5</v>
      </c>
      <c r="G952" t="s">
        <v>76</v>
      </c>
      <c r="H952" t="s">
        <v>51</v>
      </c>
      <c r="I952" s="1">
        <v>46029.253472222219</v>
      </c>
      <c r="J952" s="1">
        <v>46029.272916666669</v>
      </c>
      <c r="K952" s="1">
        <v>46029.302777777775</v>
      </c>
      <c r="L952" s="1">
        <v>46029.311111111114</v>
      </c>
      <c r="M952" s="1">
        <v>46029.341666666667</v>
      </c>
      <c r="N952" s="1">
        <v>46029.369444444441</v>
      </c>
      <c r="O952">
        <v>1</v>
      </c>
      <c r="P952" t="s">
        <v>37</v>
      </c>
      <c r="Q952" t="s">
        <v>69</v>
      </c>
      <c r="R952" t="s">
        <v>70</v>
      </c>
      <c r="S952" t="s">
        <v>71</v>
      </c>
      <c r="T952">
        <v>2000</v>
      </c>
      <c r="U952" t="s">
        <v>35</v>
      </c>
      <c r="V952" t="s">
        <v>36</v>
      </c>
      <c r="W952">
        <v>1</v>
      </c>
      <c r="X952" t="s">
        <v>37</v>
      </c>
      <c r="Y952">
        <v>5</v>
      </c>
      <c r="Z952" t="s">
        <v>38</v>
      </c>
    </row>
    <row r="953" spans="1:26" hidden="1" x14ac:dyDescent="0.2">
      <c r="A953" t="s">
        <v>2034</v>
      </c>
      <c r="B953" t="s">
        <v>2035</v>
      </c>
      <c r="C953" s="1">
        <v>46096</v>
      </c>
      <c r="D953" t="s">
        <v>178</v>
      </c>
      <c r="E953">
        <v>9</v>
      </c>
      <c r="F953">
        <v>6.5</v>
      </c>
      <c r="G953" t="s">
        <v>57</v>
      </c>
      <c r="H953" t="s">
        <v>51</v>
      </c>
      <c r="I953" s="1">
        <v>46096.295138888891</v>
      </c>
      <c r="J953" s="1">
        <v>46096.311805555553</v>
      </c>
      <c r="K953" s="1">
        <v>46096.37222222222</v>
      </c>
      <c r="L953" s="1">
        <v>46096.376388888886</v>
      </c>
      <c r="M953" s="1">
        <v>46096.40902777778</v>
      </c>
      <c r="N953" s="1">
        <v>46096.425694444442</v>
      </c>
      <c r="O953">
        <v>6</v>
      </c>
      <c r="P953" t="s">
        <v>37</v>
      </c>
      <c r="Q953" t="s">
        <v>96</v>
      </c>
      <c r="R953" t="s">
        <v>164</v>
      </c>
      <c r="S953" t="s">
        <v>98</v>
      </c>
      <c r="T953">
        <v>3000</v>
      </c>
      <c r="U953" t="s">
        <v>35</v>
      </c>
      <c r="V953" t="s">
        <v>59</v>
      </c>
      <c r="W953">
        <v>4</v>
      </c>
      <c r="X953" t="s">
        <v>374</v>
      </c>
      <c r="Y953">
        <v>4</v>
      </c>
      <c r="Z953" t="s">
        <v>72</v>
      </c>
    </row>
    <row r="954" spans="1:26" hidden="1" x14ac:dyDescent="0.2">
      <c r="A954" t="s">
        <v>2036</v>
      </c>
      <c r="B954" t="s">
        <v>2037</v>
      </c>
      <c r="C954" s="1">
        <v>46051</v>
      </c>
      <c r="D954" t="s">
        <v>105</v>
      </c>
      <c r="E954">
        <v>34</v>
      </c>
      <c r="F954">
        <v>8.6999999999999993</v>
      </c>
      <c r="G954" t="s">
        <v>29</v>
      </c>
      <c r="H954" t="s">
        <v>42</v>
      </c>
      <c r="I954" s="1">
        <v>46051.323611111111</v>
      </c>
      <c r="J954" s="1">
        <v>46051.335416666669</v>
      </c>
      <c r="K954" s="1">
        <v>46051.395833333336</v>
      </c>
      <c r="L954" s="1">
        <v>46051.405555555553</v>
      </c>
      <c r="M954" s="1">
        <v>46051.416666666664</v>
      </c>
      <c r="N954" s="1">
        <v>46051.438194444447</v>
      </c>
      <c r="O954">
        <v>4</v>
      </c>
      <c r="P954" t="s">
        <v>37</v>
      </c>
      <c r="Q954" t="s">
        <v>32</v>
      </c>
      <c r="R954" t="s">
        <v>120</v>
      </c>
      <c r="S954" t="s">
        <v>34</v>
      </c>
      <c r="T954">
        <v>5000</v>
      </c>
      <c r="U954" t="s">
        <v>35</v>
      </c>
      <c r="V954" t="s">
        <v>36</v>
      </c>
      <c r="W954">
        <v>1</v>
      </c>
      <c r="X954" t="s">
        <v>37</v>
      </c>
      <c r="Y954">
        <v>5</v>
      </c>
      <c r="Z954" t="s">
        <v>72</v>
      </c>
    </row>
    <row r="955" spans="1:26" hidden="1" x14ac:dyDescent="0.2">
      <c r="A955" t="s">
        <v>2038</v>
      </c>
      <c r="B955" t="s">
        <v>2039</v>
      </c>
      <c r="C955" s="1">
        <v>46096</v>
      </c>
      <c r="D955" t="s">
        <v>49</v>
      </c>
      <c r="E955">
        <v>16</v>
      </c>
      <c r="F955">
        <v>10.1</v>
      </c>
      <c r="G955" t="s">
        <v>50</v>
      </c>
      <c r="H955" t="s">
        <v>95</v>
      </c>
      <c r="I955" s="1">
        <v>46096.286805555559</v>
      </c>
      <c r="J955" s="1">
        <v>46096.306250000001</v>
      </c>
      <c r="K955" s="1">
        <v>46096.35833333333</v>
      </c>
      <c r="L955" s="1">
        <v>46096.368055555555</v>
      </c>
      <c r="M955" s="1">
        <v>46096.400694444441</v>
      </c>
      <c r="N955" s="1">
        <v>46096.429166666669</v>
      </c>
      <c r="O955">
        <v>1</v>
      </c>
      <c r="P955" t="s">
        <v>37</v>
      </c>
      <c r="Q955" t="s">
        <v>82</v>
      </c>
      <c r="R955" t="s">
        <v>83</v>
      </c>
      <c r="S955" t="s">
        <v>84</v>
      </c>
      <c r="T955">
        <v>4000</v>
      </c>
      <c r="U955" t="s">
        <v>35</v>
      </c>
      <c r="V955" t="s">
        <v>36</v>
      </c>
      <c r="W955">
        <v>1</v>
      </c>
      <c r="X955" t="s">
        <v>37</v>
      </c>
      <c r="Y955">
        <v>5</v>
      </c>
      <c r="Z955" t="s">
        <v>86</v>
      </c>
    </row>
    <row r="956" spans="1:26" hidden="1" x14ac:dyDescent="0.2">
      <c r="A956" t="s">
        <v>2040</v>
      </c>
      <c r="B956" t="s">
        <v>2041</v>
      </c>
      <c r="C956" s="1">
        <v>46044</v>
      </c>
      <c r="D956" t="s">
        <v>145</v>
      </c>
      <c r="E956">
        <v>6</v>
      </c>
      <c r="F956">
        <v>5.7</v>
      </c>
      <c r="G956" t="s">
        <v>29</v>
      </c>
      <c r="H956" t="s">
        <v>65</v>
      </c>
      <c r="I956" s="1">
        <v>46044.331250000003</v>
      </c>
      <c r="J956" s="1">
        <v>46044.34652777778</v>
      </c>
      <c r="K956" s="1">
        <v>46044.368055555555</v>
      </c>
      <c r="L956" s="1">
        <v>46044.373611111114</v>
      </c>
      <c r="M956" s="1">
        <v>46044.384027777778</v>
      </c>
      <c r="N956" s="1">
        <v>46044.405555555553</v>
      </c>
      <c r="O956">
        <v>1</v>
      </c>
      <c r="P956" t="s">
        <v>37</v>
      </c>
      <c r="Q956" t="s">
        <v>43</v>
      </c>
      <c r="R956" t="s">
        <v>158</v>
      </c>
      <c r="S956" t="s">
        <v>45</v>
      </c>
      <c r="T956">
        <v>2500</v>
      </c>
      <c r="U956" t="s">
        <v>35</v>
      </c>
      <c r="V956" t="s">
        <v>36</v>
      </c>
      <c r="W956">
        <v>1</v>
      </c>
      <c r="X956" t="s">
        <v>37</v>
      </c>
      <c r="Y956">
        <v>5</v>
      </c>
      <c r="Z956" t="s">
        <v>134</v>
      </c>
    </row>
    <row r="957" spans="1:26" hidden="1" x14ac:dyDescent="0.2">
      <c r="A957" t="s">
        <v>2042</v>
      </c>
      <c r="B957" t="s">
        <v>2043</v>
      </c>
      <c r="C957" s="1">
        <v>46056</v>
      </c>
      <c r="D957" t="s">
        <v>28</v>
      </c>
      <c r="E957">
        <v>20</v>
      </c>
      <c r="F957">
        <v>7</v>
      </c>
      <c r="G957" t="s">
        <v>81</v>
      </c>
      <c r="H957" t="s">
        <v>65</v>
      </c>
      <c r="I957" s="1">
        <v>46056.34097222222</v>
      </c>
      <c r="J957" s="1">
        <v>46056.357638888891</v>
      </c>
      <c r="K957" s="1">
        <v>46056.40902777778</v>
      </c>
      <c r="L957" s="1">
        <v>46056.422222222223</v>
      </c>
      <c r="M957" s="1">
        <v>46056.435416666667</v>
      </c>
      <c r="N957" s="1">
        <v>46056.443749999999</v>
      </c>
      <c r="O957">
        <v>1</v>
      </c>
      <c r="P957" t="s">
        <v>37</v>
      </c>
      <c r="Q957" t="s">
        <v>69</v>
      </c>
      <c r="R957" t="s">
        <v>111</v>
      </c>
      <c r="S957" t="s">
        <v>71</v>
      </c>
      <c r="T957">
        <v>2000</v>
      </c>
      <c r="U957" t="s">
        <v>91</v>
      </c>
      <c r="V957" t="s">
        <v>36</v>
      </c>
      <c r="W957">
        <v>1</v>
      </c>
      <c r="X957" t="s">
        <v>37</v>
      </c>
      <c r="Y957">
        <v>4</v>
      </c>
      <c r="Z957" t="s">
        <v>134</v>
      </c>
    </row>
    <row r="958" spans="1:26" hidden="1" x14ac:dyDescent="0.2">
      <c r="A958" t="s">
        <v>2044</v>
      </c>
      <c r="B958" t="s">
        <v>2045</v>
      </c>
      <c r="C958" s="1">
        <v>46060</v>
      </c>
      <c r="D958" t="s">
        <v>171</v>
      </c>
      <c r="E958">
        <v>9</v>
      </c>
      <c r="F958">
        <v>11.8</v>
      </c>
      <c r="G958" t="s">
        <v>50</v>
      </c>
      <c r="H958" t="s">
        <v>167</v>
      </c>
      <c r="I958" s="1">
        <v>46060.303472222222</v>
      </c>
      <c r="J958" s="1">
        <v>46060.318749999999</v>
      </c>
      <c r="K958" s="1">
        <v>46060.337500000001</v>
      </c>
      <c r="L958" s="1">
        <v>46060.344444444447</v>
      </c>
      <c r="M958" s="1">
        <v>46060.384722222225</v>
      </c>
      <c r="N958" s="1">
        <v>46060.393055555556</v>
      </c>
      <c r="O958">
        <v>4</v>
      </c>
      <c r="P958" t="s">
        <v>37</v>
      </c>
      <c r="Q958" t="s">
        <v>69</v>
      </c>
      <c r="R958" t="s">
        <v>111</v>
      </c>
      <c r="S958" t="s">
        <v>71</v>
      </c>
      <c r="T958">
        <v>2000</v>
      </c>
      <c r="U958" t="s">
        <v>35</v>
      </c>
      <c r="V958" t="s">
        <v>36</v>
      </c>
      <c r="W958">
        <v>1</v>
      </c>
      <c r="X958" t="s">
        <v>37</v>
      </c>
      <c r="Y958">
        <v>5</v>
      </c>
      <c r="Z958" t="s">
        <v>54</v>
      </c>
    </row>
    <row r="959" spans="1:26" hidden="1" x14ac:dyDescent="0.2">
      <c r="A959" t="s">
        <v>2046</v>
      </c>
      <c r="B959" t="s">
        <v>2047</v>
      </c>
      <c r="C959" s="1">
        <v>46079</v>
      </c>
      <c r="D959" t="s">
        <v>285</v>
      </c>
      <c r="E959">
        <v>5</v>
      </c>
      <c r="F959">
        <v>8.3000000000000007</v>
      </c>
      <c r="G959" t="s">
        <v>29</v>
      </c>
      <c r="H959" t="s">
        <v>42</v>
      </c>
      <c r="I959" s="1">
        <v>46079.254166666666</v>
      </c>
      <c r="J959" s="1">
        <v>46079.263194444444</v>
      </c>
      <c r="K959" s="1">
        <v>46079.318055555559</v>
      </c>
      <c r="L959" s="1">
        <v>46079.322222222225</v>
      </c>
      <c r="M959" s="1">
        <v>46079.347222222219</v>
      </c>
      <c r="N959" s="1">
        <v>46079.371527777781</v>
      </c>
      <c r="O959">
        <v>3</v>
      </c>
      <c r="P959" t="s">
        <v>37</v>
      </c>
      <c r="Q959" t="s">
        <v>96</v>
      </c>
      <c r="R959" t="s">
        <v>97</v>
      </c>
      <c r="S959" t="s">
        <v>98</v>
      </c>
      <c r="T959">
        <v>3000</v>
      </c>
      <c r="U959" t="s">
        <v>35</v>
      </c>
      <c r="V959" t="s">
        <v>59</v>
      </c>
      <c r="W959">
        <v>2</v>
      </c>
      <c r="X959" t="s">
        <v>193</v>
      </c>
      <c r="Y959">
        <v>4</v>
      </c>
      <c r="Z959" t="s">
        <v>161</v>
      </c>
    </row>
    <row r="960" spans="1:26" hidden="1" x14ac:dyDescent="0.2">
      <c r="A960" t="s">
        <v>2048</v>
      </c>
      <c r="B960" t="s">
        <v>2049</v>
      </c>
      <c r="C960" s="1">
        <v>46074</v>
      </c>
      <c r="D960" t="s">
        <v>89</v>
      </c>
      <c r="E960">
        <v>37</v>
      </c>
      <c r="F960">
        <v>11.1</v>
      </c>
      <c r="G960" t="s">
        <v>81</v>
      </c>
      <c r="H960" t="s">
        <v>167</v>
      </c>
      <c r="I960" s="1">
        <v>46074.390277777777</v>
      </c>
      <c r="J960" s="1">
        <v>46074.397222222222</v>
      </c>
      <c r="K960" s="1">
        <v>46074.456944444442</v>
      </c>
      <c r="L960" s="1">
        <v>46074.469444444447</v>
      </c>
      <c r="M960" s="1">
        <v>46074.500694444447</v>
      </c>
      <c r="N960" s="1">
        <v>46074.526388888888</v>
      </c>
      <c r="O960">
        <v>2</v>
      </c>
      <c r="P960" t="s">
        <v>37</v>
      </c>
      <c r="Q960" t="s">
        <v>32</v>
      </c>
      <c r="R960" t="s">
        <v>278</v>
      </c>
      <c r="S960" t="s">
        <v>34</v>
      </c>
      <c r="T960">
        <v>5000</v>
      </c>
      <c r="U960" t="s">
        <v>35</v>
      </c>
      <c r="V960" t="s">
        <v>36</v>
      </c>
      <c r="W960">
        <v>1</v>
      </c>
      <c r="X960" t="s">
        <v>37</v>
      </c>
      <c r="Y960">
        <v>5</v>
      </c>
      <c r="Z960" t="s">
        <v>86</v>
      </c>
    </row>
    <row r="961" spans="1:26" hidden="1" x14ac:dyDescent="0.2">
      <c r="A961" t="s">
        <v>2050</v>
      </c>
      <c r="B961" t="s">
        <v>2051</v>
      </c>
      <c r="C961" s="1">
        <v>46108</v>
      </c>
      <c r="D961" t="s">
        <v>105</v>
      </c>
      <c r="E961">
        <v>7</v>
      </c>
      <c r="F961">
        <v>8.6999999999999993</v>
      </c>
      <c r="G961" t="s">
        <v>57</v>
      </c>
      <c r="H961" t="s">
        <v>30</v>
      </c>
      <c r="I961" s="1">
        <v>46108.270833333336</v>
      </c>
      <c r="J961" s="1">
        <v>46108.279861111114</v>
      </c>
      <c r="K961" s="1">
        <v>46108.294444444444</v>
      </c>
      <c r="L961" s="1">
        <v>46108.306944444441</v>
      </c>
      <c r="M961" s="1">
        <v>46108.318749999999</v>
      </c>
      <c r="N961" s="1">
        <v>46108.337500000001</v>
      </c>
      <c r="O961">
        <v>4</v>
      </c>
      <c r="P961" t="s">
        <v>31</v>
      </c>
      <c r="Q961" t="s">
        <v>32</v>
      </c>
      <c r="R961" t="s">
        <v>33</v>
      </c>
      <c r="S961" t="s">
        <v>34</v>
      </c>
      <c r="T961">
        <v>5000</v>
      </c>
      <c r="U961" t="s">
        <v>35</v>
      </c>
      <c r="V961" t="s">
        <v>36</v>
      </c>
      <c r="W961">
        <v>1</v>
      </c>
      <c r="X961" t="s">
        <v>37</v>
      </c>
      <c r="Y961">
        <v>4</v>
      </c>
      <c r="Z961" t="s">
        <v>86</v>
      </c>
    </row>
    <row r="962" spans="1:26" hidden="1" x14ac:dyDescent="0.2">
      <c r="A962" t="s">
        <v>2052</v>
      </c>
      <c r="B962" t="s">
        <v>2053</v>
      </c>
      <c r="C962" s="1">
        <v>46094</v>
      </c>
      <c r="D962" t="s">
        <v>41</v>
      </c>
      <c r="E962">
        <v>27</v>
      </c>
      <c r="F962">
        <v>4.9000000000000004</v>
      </c>
      <c r="G962" t="s">
        <v>50</v>
      </c>
      <c r="H962" t="s">
        <v>65</v>
      </c>
      <c r="I962" s="1">
        <v>46094.39166666667</v>
      </c>
      <c r="J962" s="1">
        <v>46094.412499999999</v>
      </c>
      <c r="K962" s="1">
        <v>46094.45416666667</v>
      </c>
      <c r="L962" s="1">
        <v>46094.461111111108</v>
      </c>
      <c r="M962" s="1">
        <v>46094.480555555558</v>
      </c>
      <c r="N962" s="1">
        <v>46094.511805555558</v>
      </c>
      <c r="O962">
        <v>1</v>
      </c>
      <c r="P962" t="s">
        <v>37</v>
      </c>
      <c r="Q962" t="s">
        <v>96</v>
      </c>
      <c r="R962" t="s">
        <v>97</v>
      </c>
      <c r="S962" t="s">
        <v>98</v>
      </c>
      <c r="T962">
        <v>3000</v>
      </c>
      <c r="U962" t="s">
        <v>91</v>
      </c>
      <c r="V962" t="s">
        <v>36</v>
      </c>
      <c r="W962">
        <v>1</v>
      </c>
      <c r="X962" t="s">
        <v>37</v>
      </c>
      <c r="Y962">
        <v>4</v>
      </c>
      <c r="Z962" t="s">
        <v>215</v>
      </c>
    </row>
    <row r="963" spans="1:26" hidden="1" x14ac:dyDescent="0.2">
      <c r="A963" t="s">
        <v>2054</v>
      </c>
      <c r="B963" t="s">
        <v>2055</v>
      </c>
      <c r="C963" s="1">
        <v>46072</v>
      </c>
      <c r="D963" t="s">
        <v>75</v>
      </c>
      <c r="E963">
        <v>21</v>
      </c>
      <c r="F963">
        <v>11.5</v>
      </c>
      <c r="G963" t="s">
        <v>50</v>
      </c>
      <c r="H963" t="s">
        <v>51</v>
      </c>
      <c r="I963" s="1">
        <v>46072.297222222223</v>
      </c>
      <c r="J963" s="1">
        <v>46072.310416666667</v>
      </c>
      <c r="K963" s="1">
        <v>46072.362500000003</v>
      </c>
      <c r="L963" s="1">
        <v>46072.37222222222</v>
      </c>
      <c r="M963" s="1">
        <v>46072.385416666664</v>
      </c>
      <c r="N963" s="1">
        <v>46072.39166666667</v>
      </c>
      <c r="O963">
        <v>4</v>
      </c>
      <c r="P963" t="s">
        <v>31</v>
      </c>
      <c r="Q963" t="s">
        <v>82</v>
      </c>
      <c r="R963" t="s">
        <v>211</v>
      </c>
      <c r="S963" t="s">
        <v>84</v>
      </c>
      <c r="T963">
        <v>4000</v>
      </c>
      <c r="U963" t="s">
        <v>35</v>
      </c>
      <c r="V963" t="s">
        <v>36</v>
      </c>
      <c r="W963">
        <v>1</v>
      </c>
      <c r="X963" t="s">
        <v>37</v>
      </c>
      <c r="Y963">
        <v>3</v>
      </c>
      <c r="Z963" t="s">
        <v>86</v>
      </c>
    </row>
    <row r="964" spans="1:26" hidden="1" x14ac:dyDescent="0.2">
      <c r="A964" t="s">
        <v>2056</v>
      </c>
      <c r="B964" t="s">
        <v>2057</v>
      </c>
      <c r="C964" s="1">
        <v>46097</v>
      </c>
      <c r="D964" t="s">
        <v>137</v>
      </c>
      <c r="E964">
        <v>31</v>
      </c>
      <c r="F964">
        <v>6.2</v>
      </c>
      <c r="G964" t="s">
        <v>81</v>
      </c>
      <c r="H964" t="s">
        <v>95</v>
      </c>
      <c r="I964" s="1">
        <v>46097.25</v>
      </c>
      <c r="J964" s="1">
        <v>46097.26458333333</v>
      </c>
      <c r="K964" s="1">
        <v>46097.322222222225</v>
      </c>
      <c r="L964" s="1">
        <v>46097.330555555556</v>
      </c>
      <c r="M964" s="1">
        <v>46097.349305555559</v>
      </c>
      <c r="N964" s="1">
        <v>46097.376388888886</v>
      </c>
      <c r="O964">
        <v>4</v>
      </c>
      <c r="P964" t="s">
        <v>37</v>
      </c>
      <c r="Q964" t="s">
        <v>82</v>
      </c>
      <c r="R964" t="s">
        <v>239</v>
      </c>
      <c r="S964" t="s">
        <v>84</v>
      </c>
      <c r="T964">
        <v>4000</v>
      </c>
      <c r="U964" t="s">
        <v>35</v>
      </c>
      <c r="V964" t="s">
        <v>36</v>
      </c>
      <c r="W964">
        <v>1</v>
      </c>
      <c r="X964" t="s">
        <v>37</v>
      </c>
      <c r="Y964">
        <v>5</v>
      </c>
      <c r="Z964" t="s">
        <v>296</v>
      </c>
    </row>
    <row r="965" spans="1:26" hidden="1" x14ac:dyDescent="0.2">
      <c r="A965" t="s">
        <v>2058</v>
      </c>
      <c r="B965" t="s">
        <v>2059</v>
      </c>
      <c r="C965" s="1">
        <v>46073</v>
      </c>
      <c r="D965" t="s">
        <v>186</v>
      </c>
      <c r="E965">
        <v>38</v>
      </c>
      <c r="F965">
        <v>7.6</v>
      </c>
      <c r="G965" t="s">
        <v>81</v>
      </c>
      <c r="H965" t="s">
        <v>51</v>
      </c>
      <c r="I965" s="1">
        <v>46073.324999999997</v>
      </c>
      <c r="J965" s="1">
        <v>46073.328472222223</v>
      </c>
      <c r="K965" s="1">
        <v>46073.390277777777</v>
      </c>
      <c r="L965" s="1">
        <v>46073.395138888889</v>
      </c>
      <c r="M965" s="1">
        <v>46073.405555555553</v>
      </c>
      <c r="N965" s="1">
        <v>46073.422222222223</v>
      </c>
      <c r="O965">
        <v>1</v>
      </c>
      <c r="P965" t="s">
        <v>238</v>
      </c>
      <c r="Q965" t="s">
        <v>82</v>
      </c>
      <c r="R965" t="s">
        <v>239</v>
      </c>
      <c r="S965" t="s">
        <v>84</v>
      </c>
      <c r="T965">
        <v>4000</v>
      </c>
      <c r="U965" t="s">
        <v>35</v>
      </c>
      <c r="V965" t="s">
        <v>36</v>
      </c>
      <c r="W965">
        <v>1</v>
      </c>
      <c r="X965" t="s">
        <v>37</v>
      </c>
      <c r="Y965">
        <v>5</v>
      </c>
      <c r="Z965" t="s">
        <v>99</v>
      </c>
    </row>
    <row r="966" spans="1:26" hidden="1" x14ac:dyDescent="0.2">
      <c r="A966" t="s">
        <v>2060</v>
      </c>
      <c r="B966" t="s">
        <v>2061</v>
      </c>
      <c r="C966" s="1">
        <v>46099</v>
      </c>
      <c r="D966" t="s">
        <v>105</v>
      </c>
      <c r="E966">
        <v>18</v>
      </c>
      <c r="F966">
        <v>9.6999999999999993</v>
      </c>
      <c r="G966" t="s">
        <v>29</v>
      </c>
      <c r="H966" t="s">
        <v>95</v>
      </c>
      <c r="I966" s="1">
        <v>46099.287499999999</v>
      </c>
      <c r="J966" s="1">
        <v>46099.301388888889</v>
      </c>
      <c r="K966" s="1">
        <v>46099.344444444447</v>
      </c>
      <c r="L966" s="1">
        <v>46099.347916666666</v>
      </c>
      <c r="M966" s="1">
        <v>46099.369444444441</v>
      </c>
      <c r="N966" s="1">
        <v>46099.380555555559</v>
      </c>
      <c r="O966">
        <v>2</v>
      </c>
      <c r="P966" t="s">
        <v>129</v>
      </c>
      <c r="Q966" t="s">
        <v>82</v>
      </c>
      <c r="R966" t="s">
        <v>239</v>
      </c>
      <c r="S966" t="s">
        <v>84</v>
      </c>
      <c r="T966">
        <v>4000</v>
      </c>
      <c r="U966" t="s">
        <v>35</v>
      </c>
      <c r="V966" t="s">
        <v>36</v>
      </c>
      <c r="W966">
        <v>1</v>
      </c>
      <c r="X966" t="s">
        <v>37</v>
      </c>
      <c r="Y966">
        <v>4</v>
      </c>
      <c r="Z966" t="s">
        <v>61</v>
      </c>
    </row>
    <row r="967" spans="1:26" hidden="1" x14ac:dyDescent="0.2">
      <c r="A967" t="s">
        <v>2062</v>
      </c>
      <c r="B967" t="s">
        <v>2063</v>
      </c>
      <c r="C967" s="1">
        <v>46044</v>
      </c>
      <c r="D967" t="s">
        <v>242</v>
      </c>
      <c r="E967">
        <v>36</v>
      </c>
      <c r="F967">
        <v>5.2</v>
      </c>
      <c r="G967" t="s">
        <v>29</v>
      </c>
      <c r="H967" t="s">
        <v>65</v>
      </c>
      <c r="I967" s="1">
        <v>46044.26666666667</v>
      </c>
      <c r="J967" s="1">
        <v>46044.279166666667</v>
      </c>
      <c r="K967" s="1">
        <v>46044.313888888886</v>
      </c>
      <c r="L967" s="1">
        <v>46044.318055555559</v>
      </c>
      <c r="M967" s="1">
        <v>46044.333333333336</v>
      </c>
      <c r="N967" s="1">
        <v>46044.349305555559</v>
      </c>
      <c r="O967">
        <v>3</v>
      </c>
      <c r="P967" t="s">
        <v>31</v>
      </c>
      <c r="Q967" t="s">
        <v>96</v>
      </c>
      <c r="R967" t="s">
        <v>214</v>
      </c>
      <c r="S967" t="s">
        <v>98</v>
      </c>
      <c r="T967">
        <v>3000</v>
      </c>
      <c r="U967" t="s">
        <v>35</v>
      </c>
      <c r="V967" t="s">
        <v>59</v>
      </c>
      <c r="W967">
        <v>4</v>
      </c>
      <c r="X967" t="s">
        <v>60</v>
      </c>
      <c r="Y967">
        <v>4</v>
      </c>
      <c r="Z967" t="s">
        <v>86</v>
      </c>
    </row>
    <row r="968" spans="1:26" hidden="1" x14ac:dyDescent="0.2">
      <c r="A968" t="s">
        <v>2064</v>
      </c>
      <c r="B968" t="s">
        <v>2065</v>
      </c>
      <c r="C968" s="1">
        <v>46089</v>
      </c>
      <c r="D968" t="s">
        <v>123</v>
      </c>
      <c r="E968">
        <v>39</v>
      </c>
      <c r="F968">
        <v>8.6</v>
      </c>
      <c r="G968" t="s">
        <v>81</v>
      </c>
      <c r="H968" t="s">
        <v>30</v>
      </c>
      <c r="I968" s="1">
        <v>46089.256944444445</v>
      </c>
      <c r="J968" s="1">
        <v>46089.272222222222</v>
      </c>
      <c r="K968" s="1">
        <v>46089.32708333333</v>
      </c>
      <c r="L968" s="1">
        <v>46089.330555555556</v>
      </c>
      <c r="M968" s="1">
        <v>46089.354861111111</v>
      </c>
      <c r="N968" s="1">
        <v>46089.378472222219</v>
      </c>
      <c r="O968">
        <v>7</v>
      </c>
      <c r="P968" t="s">
        <v>37</v>
      </c>
      <c r="Q968" t="s">
        <v>96</v>
      </c>
      <c r="R968" t="s">
        <v>130</v>
      </c>
      <c r="S968" t="s">
        <v>98</v>
      </c>
      <c r="T968">
        <v>3000</v>
      </c>
      <c r="U968" t="s">
        <v>35</v>
      </c>
      <c r="V968" t="s">
        <v>36</v>
      </c>
      <c r="W968">
        <v>1</v>
      </c>
      <c r="X968" t="s">
        <v>37</v>
      </c>
      <c r="Y968">
        <v>3</v>
      </c>
      <c r="Z968" t="s">
        <v>131</v>
      </c>
    </row>
    <row r="969" spans="1:26" hidden="1" x14ac:dyDescent="0.2">
      <c r="A969" t="s">
        <v>2066</v>
      </c>
      <c r="B969" t="s">
        <v>2067</v>
      </c>
      <c r="C969" s="1">
        <v>46051</v>
      </c>
      <c r="D969" t="s">
        <v>64</v>
      </c>
      <c r="E969">
        <v>16</v>
      </c>
      <c r="F969">
        <v>11.4</v>
      </c>
      <c r="G969" t="s">
        <v>50</v>
      </c>
      <c r="H969" t="s">
        <v>167</v>
      </c>
      <c r="I969" s="1">
        <v>46051.34652777778</v>
      </c>
      <c r="J969" s="1">
        <v>46051.359027777777</v>
      </c>
      <c r="K969" s="1">
        <v>46051.420138888891</v>
      </c>
      <c r="L969" s="1">
        <v>46051.428472222222</v>
      </c>
      <c r="M969" s="1">
        <v>46051.46597222222</v>
      </c>
      <c r="N969" s="1">
        <v>46051.495138888888</v>
      </c>
      <c r="O969">
        <v>4</v>
      </c>
      <c r="P969" t="s">
        <v>37</v>
      </c>
      <c r="Q969" t="s">
        <v>96</v>
      </c>
      <c r="R969" t="s">
        <v>130</v>
      </c>
      <c r="S969" t="s">
        <v>98</v>
      </c>
      <c r="T969">
        <v>3000</v>
      </c>
      <c r="U969" t="s">
        <v>35</v>
      </c>
      <c r="V969" t="s">
        <v>36</v>
      </c>
      <c r="W969">
        <v>1</v>
      </c>
      <c r="X969" t="s">
        <v>37</v>
      </c>
      <c r="Y969">
        <v>4</v>
      </c>
      <c r="Z969" t="s">
        <v>215</v>
      </c>
    </row>
    <row r="970" spans="1:26" hidden="1" x14ac:dyDescent="0.2">
      <c r="A970" t="s">
        <v>2068</v>
      </c>
      <c r="B970" t="s">
        <v>2069</v>
      </c>
      <c r="C970" s="1">
        <v>46111</v>
      </c>
      <c r="D970" t="s">
        <v>145</v>
      </c>
      <c r="E970">
        <v>26</v>
      </c>
      <c r="F970">
        <v>8.6999999999999993</v>
      </c>
      <c r="G970" t="s">
        <v>76</v>
      </c>
      <c r="H970" t="s">
        <v>42</v>
      </c>
      <c r="I970" s="1">
        <v>46111.366666666669</v>
      </c>
      <c r="J970" s="1">
        <v>46111.370833333334</v>
      </c>
      <c r="K970" s="1">
        <v>46111.387499999997</v>
      </c>
      <c r="L970" s="1">
        <v>46111.393055555556</v>
      </c>
      <c r="M970" s="1">
        <v>46111.427083333336</v>
      </c>
      <c r="N970" s="1">
        <v>46111.436111111114</v>
      </c>
      <c r="O970">
        <v>6</v>
      </c>
      <c r="P970" t="s">
        <v>37</v>
      </c>
      <c r="Q970" t="s">
        <v>32</v>
      </c>
      <c r="R970" t="s">
        <v>66</v>
      </c>
      <c r="S970" t="s">
        <v>34</v>
      </c>
      <c r="T970">
        <v>5000</v>
      </c>
      <c r="U970" t="s">
        <v>35</v>
      </c>
      <c r="V970" t="s">
        <v>59</v>
      </c>
      <c r="W970">
        <v>4</v>
      </c>
      <c r="X970" t="s">
        <v>353</v>
      </c>
      <c r="Y970">
        <v>3</v>
      </c>
      <c r="Z970" t="s">
        <v>86</v>
      </c>
    </row>
    <row r="971" spans="1:26" hidden="1" x14ac:dyDescent="0.2">
      <c r="A971" t="s">
        <v>2070</v>
      </c>
      <c r="B971" t="s">
        <v>2071</v>
      </c>
      <c r="C971" s="1">
        <v>46111</v>
      </c>
      <c r="D971" t="s">
        <v>110</v>
      </c>
      <c r="E971">
        <v>9</v>
      </c>
      <c r="F971">
        <v>7.8</v>
      </c>
      <c r="G971" t="s">
        <v>50</v>
      </c>
      <c r="H971" t="s">
        <v>30</v>
      </c>
      <c r="I971" s="1">
        <v>46111.379166666666</v>
      </c>
      <c r="J971" s="1">
        <v>46111.383333333331</v>
      </c>
      <c r="K971" s="1">
        <v>46111.410416666666</v>
      </c>
      <c r="L971" s="1">
        <v>46111.422222222223</v>
      </c>
      <c r="M971" s="1">
        <v>46111.438194444447</v>
      </c>
      <c r="N971" s="1">
        <v>46111.459722222222</v>
      </c>
      <c r="O971">
        <v>3</v>
      </c>
      <c r="P971" t="s">
        <v>52</v>
      </c>
      <c r="Q971" t="s">
        <v>96</v>
      </c>
      <c r="R971" t="s">
        <v>90</v>
      </c>
      <c r="S971" t="s">
        <v>98</v>
      </c>
      <c r="T971">
        <v>3000</v>
      </c>
      <c r="U971" t="s">
        <v>35</v>
      </c>
      <c r="V971" t="s">
        <v>36</v>
      </c>
      <c r="W971">
        <v>1</v>
      </c>
      <c r="X971" t="s">
        <v>37</v>
      </c>
      <c r="Y971">
        <v>4</v>
      </c>
      <c r="Z971" t="s">
        <v>99</v>
      </c>
    </row>
    <row r="972" spans="1:26" hidden="1" x14ac:dyDescent="0.2">
      <c r="A972" t="s">
        <v>2072</v>
      </c>
      <c r="B972" t="s">
        <v>2073</v>
      </c>
      <c r="C972" s="1">
        <v>46099</v>
      </c>
      <c r="D972" t="s">
        <v>110</v>
      </c>
      <c r="E972">
        <v>5</v>
      </c>
      <c r="F972">
        <v>4.4000000000000004</v>
      </c>
      <c r="G972" t="s">
        <v>81</v>
      </c>
      <c r="H972" t="s">
        <v>30</v>
      </c>
      <c r="I972" s="1">
        <v>46099.365277777775</v>
      </c>
      <c r="J972" s="1">
        <v>46099.381249999999</v>
      </c>
      <c r="K972" s="1">
        <v>46099.414583333331</v>
      </c>
      <c r="L972" s="1">
        <v>46099.42083333333</v>
      </c>
      <c r="M972" s="1">
        <v>46099.440972222219</v>
      </c>
      <c r="N972" s="1">
        <v>46099.467361111114</v>
      </c>
      <c r="O972">
        <v>5</v>
      </c>
      <c r="P972" t="s">
        <v>238</v>
      </c>
      <c r="Q972" t="s">
        <v>43</v>
      </c>
      <c r="R972" t="s">
        <v>200</v>
      </c>
      <c r="S972" t="s">
        <v>45</v>
      </c>
      <c r="T972">
        <v>2500</v>
      </c>
      <c r="U972" t="s">
        <v>35</v>
      </c>
      <c r="V972" t="s">
        <v>36</v>
      </c>
      <c r="W972">
        <v>1</v>
      </c>
      <c r="X972" t="s">
        <v>37</v>
      </c>
      <c r="Y972">
        <v>4</v>
      </c>
      <c r="Z972" t="s">
        <v>46</v>
      </c>
    </row>
    <row r="973" spans="1:26" hidden="1" x14ac:dyDescent="0.2">
      <c r="A973" t="s">
        <v>2074</v>
      </c>
      <c r="B973" t="s">
        <v>2075</v>
      </c>
      <c r="C973" s="1">
        <v>46094</v>
      </c>
      <c r="D973" t="s">
        <v>80</v>
      </c>
      <c r="E973">
        <v>36</v>
      </c>
      <c r="F973">
        <v>7.3</v>
      </c>
      <c r="G973" t="s">
        <v>76</v>
      </c>
      <c r="H973" t="s">
        <v>42</v>
      </c>
      <c r="I973" s="1">
        <v>46094.32708333333</v>
      </c>
      <c r="J973" s="1">
        <v>46094.336111111108</v>
      </c>
      <c r="K973" s="1">
        <v>46094.356944444444</v>
      </c>
      <c r="L973" s="1">
        <v>46094.36041666667</v>
      </c>
      <c r="M973" s="1">
        <v>46094.402083333334</v>
      </c>
      <c r="N973" s="1">
        <v>46094.418749999997</v>
      </c>
      <c r="O973">
        <v>3</v>
      </c>
      <c r="P973" t="s">
        <v>37</v>
      </c>
      <c r="Q973" t="s">
        <v>43</v>
      </c>
      <c r="R973" t="s">
        <v>200</v>
      </c>
      <c r="S973" t="s">
        <v>45</v>
      </c>
      <c r="T973">
        <v>2500</v>
      </c>
      <c r="U973" t="s">
        <v>35</v>
      </c>
      <c r="V973" t="s">
        <v>36</v>
      </c>
      <c r="W973">
        <v>1</v>
      </c>
      <c r="X973" t="s">
        <v>37</v>
      </c>
      <c r="Y973">
        <v>4</v>
      </c>
      <c r="Z973" t="s">
        <v>86</v>
      </c>
    </row>
    <row r="974" spans="1:26" hidden="1" x14ac:dyDescent="0.2">
      <c r="A974" t="s">
        <v>2076</v>
      </c>
      <c r="B974" t="s">
        <v>2077</v>
      </c>
      <c r="C974" s="1">
        <v>46096</v>
      </c>
      <c r="D974" t="s">
        <v>225</v>
      </c>
      <c r="E974">
        <v>19</v>
      </c>
      <c r="F974">
        <v>5.5</v>
      </c>
      <c r="G974" t="s">
        <v>81</v>
      </c>
      <c r="H974" t="s">
        <v>42</v>
      </c>
      <c r="I974" s="1">
        <v>46096.357638888891</v>
      </c>
      <c r="J974" s="1">
        <v>46096.361111111109</v>
      </c>
      <c r="K974" s="1">
        <v>46096.405555555553</v>
      </c>
      <c r="L974" s="1">
        <v>46096.411805555559</v>
      </c>
      <c r="M974" s="1">
        <v>46096.429166666669</v>
      </c>
      <c r="N974" s="1">
        <v>46096.448611111111</v>
      </c>
      <c r="O974">
        <v>3</v>
      </c>
      <c r="P974" t="s">
        <v>37</v>
      </c>
      <c r="Q974" t="s">
        <v>96</v>
      </c>
      <c r="R974" t="s">
        <v>214</v>
      </c>
      <c r="S974" t="s">
        <v>98</v>
      </c>
      <c r="T974">
        <v>3000</v>
      </c>
      <c r="U974" t="s">
        <v>35</v>
      </c>
      <c r="V974" t="s">
        <v>36</v>
      </c>
      <c r="W974">
        <v>1</v>
      </c>
      <c r="X974" t="s">
        <v>37</v>
      </c>
      <c r="Y974">
        <v>5</v>
      </c>
      <c r="Z974" t="s">
        <v>296</v>
      </c>
    </row>
    <row r="975" spans="1:26" hidden="1" x14ac:dyDescent="0.2">
      <c r="A975" t="s">
        <v>2078</v>
      </c>
      <c r="B975" t="s">
        <v>2079</v>
      </c>
      <c r="C975" s="1">
        <v>46066</v>
      </c>
      <c r="D975" t="s">
        <v>114</v>
      </c>
      <c r="E975">
        <v>11</v>
      </c>
      <c r="F975">
        <v>7.2</v>
      </c>
      <c r="G975" t="s">
        <v>76</v>
      </c>
      <c r="H975" t="s">
        <v>65</v>
      </c>
      <c r="I975" s="1">
        <v>46066.357638888891</v>
      </c>
      <c r="J975" s="1">
        <v>46066.368750000001</v>
      </c>
      <c r="K975" s="1">
        <v>46066.395833333336</v>
      </c>
      <c r="L975" s="1">
        <v>46066.400000000001</v>
      </c>
      <c r="M975" s="1">
        <v>46066.406944444447</v>
      </c>
      <c r="N975" s="1">
        <v>46066.429166666669</v>
      </c>
      <c r="O975">
        <v>2</v>
      </c>
      <c r="P975" t="s">
        <v>37</v>
      </c>
      <c r="Q975" t="s">
        <v>96</v>
      </c>
      <c r="R975" t="s">
        <v>90</v>
      </c>
      <c r="S975" t="s">
        <v>98</v>
      </c>
      <c r="T975">
        <v>3000</v>
      </c>
      <c r="U975" t="s">
        <v>35</v>
      </c>
      <c r="V975" t="s">
        <v>36</v>
      </c>
      <c r="W975">
        <v>1</v>
      </c>
      <c r="X975" t="s">
        <v>37</v>
      </c>
      <c r="Y975">
        <v>3</v>
      </c>
      <c r="Z975" t="s">
        <v>61</v>
      </c>
    </row>
    <row r="976" spans="1:26" hidden="1" x14ac:dyDescent="0.2">
      <c r="A976" t="s">
        <v>2080</v>
      </c>
      <c r="B976" t="s">
        <v>2081</v>
      </c>
      <c r="C976" s="1">
        <v>46077</v>
      </c>
      <c r="D976" t="s">
        <v>145</v>
      </c>
      <c r="E976">
        <v>24</v>
      </c>
      <c r="F976">
        <v>7.2</v>
      </c>
      <c r="G976" t="s">
        <v>76</v>
      </c>
      <c r="H976" t="s">
        <v>65</v>
      </c>
      <c r="I976" s="1">
        <v>46077.261805555558</v>
      </c>
      <c r="J976" s="1">
        <v>46077.273611111108</v>
      </c>
      <c r="K976" s="1">
        <v>46077.282638888886</v>
      </c>
      <c r="L976" s="1">
        <v>46077.288194444445</v>
      </c>
      <c r="M976" s="1">
        <v>46077.298611111109</v>
      </c>
      <c r="N976" s="1">
        <v>46077.30972222222</v>
      </c>
      <c r="O976">
        <v>3</v>
      </c>
      <c r="P976" t="s">
        <v>37</v>
      </c>
      <c r="Q976" t="s">
        <v>43</v>
      </c>
      <c r="R976" t="s">
        <v>200</v>
      </c>
      <c r="S976" t="s">
        <v>45</v>
      </c>
      <c r="T976">
        <v>2500</v>
      </c>
      <c r="U976" t="s">
        <v>35</v>
      </c>
      <c r="V976" t="s">
        <v>36</v>
      </c>
      <c r="W976">
        <v>1</v>
      </c>
      <c r="X976" t="s">
        <v>37</v>
      </c>
      <c r="Y976">
        <v>5</v>
      </c>
      <c r="Z976" t="s">
        <v>131</v>
      </c>
    </row>
    <row r="977" spans="1:26" hidden="1" x14ac:dyDescent="0.2">
      <c r="A977" t="s">
        <v>2082</v>
      </c>
      <c r="B977" t="s">
        <v>2083</v>
      </c>
      <c r="C977" s="1">
        <v>46091</v>
      </c>
      <c r="D977" t="s">
        <v>154</v>
      </c>
      <c r="E977">
        <v>8</v>
      </c>
      <c r="F977">
        <v>4</v>
      </c>
      <c r="G977" t="s">
        <v>81</v>
      </c>
      <c r="H977" t="s">
        <v>51</v>
      </c>
      <c r="I977" s="1">
        <v>46091.268750000003</v>
      </c>
      <c r="J977" s="1">
        <v>46091.282638888886</v>
      </c>
      <c r="K977" s="1">
        <v>46091.341666666667</v>
      </c>
      <c r="L977" s="1">
        <v>46091.353472222225</v>
      </c>
      <c r="M977" s="1">
        <v>46091.381249999999</v>
      </c>
      <c r="N977" s="1">
        <v>46091.40625</v>
      </c>
      <c r="O977">
        <v>5</v>
      </c>
      <c r="P977" t="s">
        <v>238</v>
      </c>
      <c r="Q977" t="s">
        <v>69</v>
      </c>
      <c r="R977" t="s">
        <v>70</v>
      </c>
      <c r="S977" t="s">
        <v>71</v>
      </c>
      <c r="T977">
        <v>2000</v>
      </c>
      <c r="U977" t="s">
        <v>35</v>
      </c>
      <c r="V977" t="s">
        <v>36</v>
      </c>
      <c r="W977">
        <v>1</v>
      </c>
      <c r="X977" t="s">
        <v>37</v>
      </c>
      <c r="Y977">
        <v>5</v>
      </c>
      <c r="Z977" t="s">
        <v>72</v>
      </c>
    </row>
    <row r="978" spans="1:26" hidden="1" x14ac:dyDescent="0.2">
      <c r="A978" t="s">
        <v>2084</v>
      </c>
      <c r="B978" t="s">
        <v>2085</v>
      </c>
      <c r="C978" s="1">
        <v>46057</v>
      </c>
      <c r="D978" t="s">
        <v>225</v>
      </c>
      <c r="E978">
        <v>31</v>
      </c>
      <c r="F978">
        <v>10.3</v>
      </c>
      <c r="G978" t="s">
        <v>57</v>
      </c>
      <c r="H978" t="s">
        <v>30</v>
      </c>
      <c r="I978" s="1">
        <v>46057.393750000003</v>
      </c>
      <c r="J978" s="1">
        <v>46057.40625</v>
      </c>
      <c r="K978" s="1">
        <v>46057.419444444444</v>
      </c>
      <c r="L978" s="1">
        <v>46057.425694444442</v>
      </c>
      <c r="M978" s="1">
        <v>46057.464583333334</v>
      </c>
      <c r="N978" s="1">
        <v>46057.472916666666</v>
      </c>
      <c r="O978">
        <v>2</v>
      </c>
      <c r="P978" t="s">
        <v>31</v>
      </c>
      <c r="Q978" t="s">
        <v>82</v>
      </c>
      <c r="R978" t="s">
        <v>211</v>
      </c>
      <c r="S978" t="s">
        <v>84</v>
      </c>
      <c r="T978">
        <v>4000</v>
      </c>
      <c r="U978" t="s">
        <v>35</v>
      </c>
      <c r="V978" t="s">
        <v>36</v>
      </c>
      <c r="W978">
        <v>1</v>
      </c>
      <c r="X978" t="s">
        <v>37</v>
      </c>
      <c r="Y978">
        <v>5</v>
      </c>
      <c r="Z978" t="s">
        <v>99</v>
      </c>
    </row>
    <row r="979" spans="1:26" hidden="1" x14ac:dyDescent="0.2">
      <c r="A979" t="s">
        <v>2086</v>
      </c>
      <c r="B979" t="s">
        <v>2087</v>
      </c>
      <c r="C979" s="1">
        <v>46078</v>
      </c>
      <c r="D979" t="s">
        <v>242</v>
      </c>
      <c r="E979">
        <v>39</v>
      </c>
      <c r="F979">
        <v>4.4000000000000004</v>
      </c>
      <c r="G979" t="s">
        <v>81</v>
      </c>
      <c r="H979" t="s">
        <v>167</v>
      </c>
      <c r="I979" s="1">
        <v>46078.395138888889</v>
      </c>
      <c r="J979" s="1">
        <v>46078.412499999999</v>
      </c>
      <c r="K979" s="1">
        <v>46078.434027777781</v>
      </c>
      <c r="L979" s="1">
        <v>46078.445138888892</v>
      </c>
      <c r="M979" s="1">
        <v>46078.463194444441</v>
      </c>
      <c r="N979" s="1">
        <v>46078.488888888889</v>
      </c>
      <c r="O979">
        <v>2</v>
      </c>
      <c r="P979" t="s">
        <v>37</v>
      </c>
      <c r="Q979" t="s">
        <v>69</v>
      </c>
      <c r="R979" t="s">
        <v>70</v>
      </c>
      <c r="S979" t="s">
        <v>71</v>
      </c>
      <c r="T979">
        <v>2000</v>
      </c>
      <c r="U979" t="s">
        <v>35</v>
      </c>
      <c r="V979" t="s">
        <v>36</v>
      </c>
      <c r="W979">
        <v>1</v>
      </c>
      <c r="X979" t="s">
        <v>37</v>
      </c>
      <c r="Y979">
        <v>5</v>
      </c>
      <c r="Z979" t="s">
        <v>131</v>
      </c>
    </row>
    <row r="980" spans="1:26" hidden="1" x14ac:dyDescent="0.2">
      <c r="A980" t="s">
        <v>2088</v>
      </c>
      <c r="B980" t="s">
        <v>2089</v>
      </c>
      <c r="C980" s="1">
        <v>46055</v>
      </c>
      <c r="D980" t="s">
        <v>242</v>
      </c>
      <c r="E980">
        <v>7</v>
      </c>
      <c r="F980">
        <v>9.4</v>
      </c>
      <c r="G980" t="s">
        <v>50</v>
      </c>
      <c r="H980" t="s">
        <v>167</v>
      </c>
      <c r="I980" s="1">
        <v>46055.304166666669</v>
      </c>
      <c r="J980" s="1">
        <v>46055.321527777778</v>
      </c>
      <c r="K980" s="1">
        <v>46055.361111111109</v>
      </c>
      <c r="L980" s="1">
        <v>46055.370833333334</v>
      </c>
      <c r="M980" s="1">
        <v>46055.40625</v>
      </c>
      <c r="N980" s="1">
        <v>46055.429861111108</v>
      </c>
      <c r="O980">
        <v>3</v>
      </c>
      <c r="P980" t="s">
        <v>37</v>
      </c>
      <c r="Q980" t="s">
        <v>96</v>
      </c>
      <c r="R980" t="s">
        <v>90</v>
      </c>
      <c r="S980" t="s">
        <v>98</v>
      </c>
      <c r="T980">
        <v>3000</v>
      </c>
      <c r="U980" t="s">
        <v>35</v>
      </c>
      <c r="V980" t="s">
        <v>59</v>
      </c>
      <c r="W980">
        <v>1</v>
      </c>
      <c r="X980" t="s">
        <v>116</v>
      </c>
      <c r="Y980">
        <v>3</v>
      </c>
      <c r="Z980" t="s">
        <v>54</v>
      </c>
    </row>
    <row r="981" spans="1:26" hidden="1" x14ac:dyDescent="0.2">
      <c r="A981" t="s">
        <v>2090</v>
      </c>
      <c r="B981" t="s">
        <v>2091</v>
      </c>
      <c r="C981" s="1">
        <v>46080</v>
      </c>
      <c r="D981" t="s">
        <v>149</v>
      </c>
      <c r="E981">
        <v>10</v>
      </c>
      <c r="F981">
        <v>7.6</v>
      </c>
      <c r="G981" t="s">
        <v>50</v>
      </c>
      <c r="H981" t="s">
        <v>42</v>
      </c>
      <c r="I981" s="1">
        <v>46080.286111111112</v>
      </c>
      <c r="J981" s="1">
        <v>46080.294444444444</v>
      </c>
      <c r="K981" s="1">
        <v>46080.32708333333</v>
      </c>
      <c r="L981" s="1">
        <v>46080.334027777775</v>
      </c>
      <c r="M981" s="1">
        <v>46080.362500000003</v>
      </c>
      <c r="N981" s="1">
        <v>46080.372916666667</v>
      </c>
      <c r="O981">
        <v>1</v>
      </c>
      <c r="P981" t="s">
        <v>31</v>
      </c>
      <c r="Q981" t="s">
        <v>69</v>
      </c>
      <c r="R981" t="s">
        <v>70</v>
      </c>
      <c r="S981" t="s">
        <v>71</v>
      </c>
      <c r="T981">
        <v>2000</v>
      </c>
      <c r="U981" t="s">
        <v>35</v>
      </c>
      <c r="V981" t="s">
        <v>36</v>
      </c>
      <c r="W981">
        <v>1</v>
      </c>
      <c r="X981" t="s">
        <v>37</v>
      </c>
      <c r="Y981">
        <v>5</v>
      </c>
      <c r="Z981" t="s">
        <v>86</v>
      </c>
    </row>
    <row r="982" spans="1:26" hidden="1" x14ac:dyDescent="0.2">
      <c r="A982" t="s">
        <v>2092</v>
      </c>
      <c r="B982" t="s">
        <v>1109</v>
      </c>
      <c r="C982" s="1">
        <v>46068</v>
      </c>
      <c r="D982" t="s">
        <v>114</v>
      </c>
      <c r="E982">
        <v>9</v>
      </c>
      <c r="F982">
        <v>8.9</v>
      </c>
      <c r="G982" t="s">
        <v>50</v>
      </c>
      <c r="H982" t="s">
        <v>95</v>
      </c>
      <c r="I982" s="1">
        <v>46068.396527777775</v>
      </c>
      <c r="J982" s="1">
        <v>46068.400694444441</v>
      </c>
      <c r="K982" s="1">
        <v>46068.429861111108</v>
      </c>
      <c r="L982" s="1">
        <v>46068.44027777778</v>
      </c>
      <c r="M982" s="1">
        <v>46068.478472222225</v>
      </c>
      <c r="N982" s="1">
        <v>46068.509722222225</v>
      </c>
      <c r="O982">
        <v>2</v>
      </c>
      <c r="P982" t="s">
        <v>31</v>
      </c>
      <c r="Q982" t="s">
        <v>32</v>
      </c>
      <c r="R982" t="s">
        <v>107</v>
      </c>
      <c r="S982" t="s">
        <v>34</v>
      </c>
      <c r="T982">
        <v>5000</v>
      </c>
      <c r="U982" t="s">
        <v>91</v>
      </c>
      <c r="V982" t="s">
        <v>59</v>
      </c>
      <c r="W982">
        <v>3</v>
      </c>
      <c r="X982" t="s">
        <v>60</v>
      </c>
      <c r="Y982">
        <v>4</v>
      </c>
      <c r="Z982" t="s">
        <v>46</v>
      </c>
    </row>
    <row r="983" spans="1:26" hidden="1" x14ac:dyDescent="0.2">
      <c r="A983" t="s">
        <v>2093</v>
      </c>
      <c r="B983" t="s">
        <v>2094</v>
      </c>
      <c r="C983" s="1">
        <v>46057</v>
      </c>
      <c r="D983" t="s">
        <v>80</v>
      </c>
      <c r="E983">
        <v>19</v>
      </c>
      <c r="F983">
        <v>11</v>
      </c>
      <c r="G983" t="s">
        <v>29</v>
      </c>
      <c r="H983" t="s">
        <v>51</v>
      </c>
      <c r="I983" s="1">
        <v>46057.402083333334</v>
      </c>
      <c r="J983" s="1">
        <v>46057.42083333333</v>
      </c>
      <c r="K983" s="1">
        <v>46057.436805555553</v>
      </c>
      <c r="L983" s="1">
        <v>46057.441666666666</v>
      </c>
      <c r="M983" s="1">
        <v>46057.479861111111</v>
      </c>
      <c r="N983" s="1">
        <v>46057.500694444447</v>
      </c>
      <c r="O983">
        <v>4</v>
      </c>
      <c r="P983" t="s">
        <v>37</v>
      </c>
      <c r="Q983" t="s">
        <v>82</v>
      </c>
      <c r="R983" t="s">
        <v>33</v>
      </c>
      <c r="S983" t="s">
        <v>84</v>
      </c>
      <c r="T983">
        <v>4000</v>
      </c>
      <c r="U983" t="s">
        <v>35</v>
      </c>
      <c r="V983" t="s">
        <v>59</v>
      </c>
      <c r="W983">
        <v>4</v>
      </c>
      <c r="X983" t="s">
        <v>353</v>
      </c>
      <c r="Y983">
        <v>5</v>
      </c>
      <c r="Z983" t="s">
        <v>161</v>
      </c>
    </row>
    <row r="984" spans="1:26" hidden="1" x14ac:dyDescent="0.2">
      <c r="A984" t="s">
        <v>2095</v>
      </c>
      <c r="B984" t="s">
        <v>2096</v>
      </c>
      <c r="C984" s="1">
        <v>46055</v>
      </c>
      <c r="D984" t="s">
        <v>171</v>
      </c>
      <c r="E984">
        <v>21</v>
      </c>
      <c r="F984">
        <v>7.4</v>
      </c>
      <c r="G984" t="s">
        <v>81</v>
      </c>
      <c r="H984" t="s">
        <v>95</v>
      </c>
      <c r="I984" s="1">
        <v>46055.395138888889</v>
      </c>
      <c r="J984" s="1">
        <v>46055.410416666666</v>
      </c>
      <c r="K984" s="1">
        <v>46055.449305555558</v>
      </c>
      <c r="L984" s="1">
        <v>46055.45416666667</v>
      </c>
      <c r="M984" s="1">
        <v>46055.481944444444</v>
      </c>
      <c r="N984" s="1">
        <v>46055.511805555558</v>
      </c>
      <c r="O984">
        <v>5</v>
      </c>
      <c r="P984" t="s">
        <v>52</v>
      </c>
      <c r="Q984" t="s">
        <v>96</v>
      </c>
      <c r="R984" t="s">
        <v>214</v>
      </c>
      <c r="S984" t="s">
        <v>98</v>
      </c>
      <c r="T984">
        <v>3000</v>
      </c>
      <c r="U984" t="s">
        <v>35</v>
      </c>
      <c r="V984" t="s">
        <v>36</v>
      </c>
      <c r="W984">
        <v>1</v>
      </c>
      <c r="X984" t="s">
        <v>37</v>
      </c>
      <c r="Y984">
        <v>5</v>
      </c>
      <c r="Z984" t="s">
        <v>134</v>
      </c>
    </row>
    <row r="985" spans="1:26" hidden="1" x14ac:dyDescent="0.2">
      <c r="A985" t="s">
        <v>2097</v>
      </c>
      <c r="B985" t="s">
        <v>2098</v>
      </c>
      <c r="C985" s="1">
        <v>46064</v>
      </c>
      <c r="D985" t="s">
        <v>41</v>
      </c>
      <c r="E985">
        <v>14</v>
      </c>
      <c r="F985">
        <v>8.3000000000000007</v>
      </c>
      <c r="G985" t="s">
        <v>81</v>
      </c>
      <c r="H985" t="s">
        <v>65</v>
      </c>
      <c r="I985" s="1">
        <v>46064.367361111108</v>
      </c>
      <c r="J985" s="1">
        <v>46064.376388888886</v>
      </c>
      <c r="K985" s="1">
        <v>46064.430555555555</v>
      </c>
      <c r="L985" s="1">
        <v>46064.442361111112</v>
      </c>
      <c r="M985" s="1">
        <v>46064.476388888892</v>
      </c>
      <c r="N985" s="1">
        <v>46064.504861111112</v>
      </c>
      <c r="O985">
        <v>5</v>
      </c>
      <c r="P985" t="s">
        <v>37</v>
      </c>
      <c r="Q985" t="s">
        <v>69</v>
      </c>
      <c r="R985" t="s">
        <v>111</v>
      </c>
      <c r="S985" t="s">
        <v>71</v>
      </c>
      <c r="T985">
        <v>2000</v>
      </c>
      <c r="U985" t="s">
        <v>35</v>
      </c>
      <c r="V985" t="s">
        <v>36</v>
      </c>
      <c r="W985">
        <v>1</v>
      </c>
      <c r="X985" t="s">
        <v>37</v>
      </c>
      <c r="Y985">
        <v>3</v>
      </c>
      <c r="Z985" t="s">
        <v>86</v>
      </c>
    </row>
    <row r="986" spans="1:26" hidden="1" x14ac:dyDescent="0.2">
      <c r="A986" t="s">
        <v>2099</v>
      </c>
      <c r="B986" t="s">
        <v>2100</v>
      </c>
      <c r="C986" s="1">
        <v>46030</v>
      </c>
      <c r="D986" t="s">
        <v>149</v>
      </c>
      <c r="E986">
        <v>13</v>
      </c>
      <c r="F986">
        <v>10.7</v>
      </c>
      <c r="G986" t="s">
        <v>29</v>
      </c>
      <c r="H986" t="s">
        <v>167</v>
      </c>
      <c r="I986" s="1">
        <v>46030.398611111108</v>
      </c>
      <c r="J986" s="1">
        <v>46030.411805555559</v>
      </c>
      <c r="K986" s="1">
        <v>46030.430555555555</v>
      </c>
      <c r="L986" s="1">
        <v>46030.439583333333</v>
      </c>
      <c r="M986" s="1">
        <v>46030.463194444441</v>
      </c>
      <c r="N986" s="1">
        <v>46030.476388888892</v>
      </c>
      <c r="O986">
        <v>1</v>
      </c>
      <c r="P986" t="s">
        <v>37</v>
      </c>
      <c r="Q986" t="s">
        <v>96</v>
      </c>
      <c r="R986" t="s">
        <v>97</v>
      </c>
      <c r="S986" t="s">
        <v>98</v>
      </c>
      <c r="T986">
        <v>3000</v>
      </c>
      <c r="U986" t="s">
        <v>35</v>
      </c>
      <c r="V986" t="s">
        <v>59</v>
      </c>
      <c r="W986">
        <v>4</v>
      </c>
      <c r="X986" t="s">
        <v>60</v>
      </c>
      <c r="Y986">
        <v>3</v>
      </c>
      <c r="Z986" t="s">
        <v>161</v>
      </c>
    </row>
    <row r="987" spans="1:26" hidden="1" x14ac:dyDescent="0.2">
      <c r="A987" t="s">
        <v>2101</v>
      </c>
      <c r="B987" t="s">
        <v>2102</v>
      </c>
      <c r="C987" s="1">
        <v>46049</v>
      </c>
      <c r="D987" t="s">
        <v>64</v>
      </c>
      <c r="E987">
        <v>33</v>
      </c>
      <c r="F987">
        <v>5.3</v>
      </c>
      <c r="G987" t="s">
        <v>57</v>
      </c>
      <c r="H987" t="s">
        <v>95</v>
      </c>
      <c r="I987" s="1">
        <v>46049.350694444445</v>
      </c>
      <c r="J987" s="1">
        <v>46049.371527777781</v>
      </c>
      <c r="K987" s="1">
        <v>46049.387499999997</v>
      </c>
      <c r="L987" s="1">
        <v>46049.393750000003</v>
      </c>
      <c r="M987" s="1">
        <v>46049.405555555553</v>
      </c>
      <c r="N987" s="1">
        <v>46049.433333333334</v>
      </c>
      <c r="O987">
        <v>4</v>
      </c>
      <c r="P987" t="s">
        <v>106</v>
      </c>
      <c r="Q987" t="s">
        <v>69</v>
      </c>
      <c r="R987" t="s">
        <v>146</v>
      </c>
      <c r="S987" t="s">
        <v>71</v>
      </c>
      <c r="T987">
        <v>2000</v>
      </c>
      <c r="U987" t="s">
        <v>91</v>
      </c>
      <c r="V987" t="s">
        <v>36</v>
      </c>
      <c r="W987">
        <v>1</v>
      </c>
      <c r="X987" t="s">
        <v>37</v>
      </c>
      <c r="Y987">
        <v>5</v>
      </c>
      <c r="Z987" t="s">
        <v>131</v>
      </c>
    </row>
    <row r="988" spans="1:26" x14ac:dyDescent="0.2">
      <c r="A988" t="s">
        <v>2103</v>
      </c>
      <c r="B988" t="s">
        <v>2104</v>
      </c>
      <c r="C988" s="1">
        <v>46029</v>
      </c>
      <c r="D988" t="s">
        <v>114</v>
      </c>
      <c r="E988">
        <v>15</v>
      </c>
      <c r="F988">
        <v>5.2</v>
      </c>
      <c r="G988" t="s">
        <v>29</v>
      </c>
      <c r="H988" t="s">
        <v>42</v>
      </c>
      <c r="I988" s="1">
        <v>46029.270138888889</v>
      </c>
      <c r="J988" s="1">
        <v>46029.273611111108</v>
      </c>
      <c r="K988" s="1">
        <v>46029.296527777777</v>
      </c>
      <c r="L988" s="1">
        <v>46029.304861111108</v>
      </c>
      <c r="M988" s="1">
        <v>46029.319444444445</v>
      </c>
      <c r="N988" s="1">
        <v>46029.322916666664</v>
      </c>
      <c r="O988">
        <v>1</v>
      </c>
      <c r="P988" t="s">
        <v>31</v>
      </c>
      <c r="Q988" t="s">
        <v>69</v>
      </c>
      <c r="R988" t="s">
        <v>146</v>
      </c>
      <c r="S988" t="s">
        <v>71</v>
      </c>
      <c r="T988">
        <v>2000</v>
      </c>
      <c r="U988" t="s">
        <v>35</v>
      </c>
      <c r="V988" t="s">
        <v>36</v>
      </c>
      <c r="W988">
        <v>1</v>
      </c>
      <c r="X988" t="s">
        <v>37</v>
      </c>
      <c r="Y988">
        <v>2</v>
      </c>
      <c r="Z988" t="s">
        <v>86</v>
      </c>
    </row>
    <row r="989" spans="1:26" hidden="1" x14ac:dyDescent="0.2">
      <c r="A989" t="s">
        <v>2105</v>
      </c>
      <c r="B989" t="s">
        <v>2106</v>
      </c>
      <c r="C989" s="1">
        <v>46088</v>
      </c>
      <c r="D989" t="s">
        <v>64</v>
      </c>
      <c r="E989">
        <v>29</v>
      </c>
      <c r="F989">
        <v>5</v>
      </c>
      <c r="G989" t="s">
        <v>81</v>
      </c>
      <c r="H989" t="s">
        <v>51</v>
      </c>
      <c r="I989" s="1">
        <v>46088.395138888889</v>
      </c>
      <c r="J989" s="1">
        <v>46088.404861111114</v>
      </c>
      <c r="K989" s="1">
        <v>46088.428472222222</v>
      </c>
      <c r="L989" s="1">
        <v>46088.439583333333</v>
      </c>
      <c r="M989" s="1">
        <v>46088.463194444441</v>
      </c>
      <c r="N989" s="1">
        <v>46088.470138888886</v>
      </c>
      <c r="O989">
        <v>3</v>
      </c>
      <c r="P989" t="s">
        <v>52</v>
      </c>
      <c r="Q989" t="s">
        <v>69</v>
      </c>
      <c r="R989" t="s">
        <v>70</v>
      </c>
      <c r="S989" t="s">
        <v>71</v>
      </c>
      <c r="T989">
        <v>2000</v>
      </c>
      <c r="U989" t="s">
        <v>35</v>
      </c>
      <c r="V989" t="s">
        <v>36</v>
      </c>
      <c r="W989">
        <v>1</v>
      </c>
      <c r="X989" t="s">
        <v>37</v>
      </c>
      <c r="Y989">
        <v>5</v>
      </c>
      <c r="Z989" t="s">
        <v>134</v>
      </c>
    </row>
    <row r="990" spans="1:26" hidden="1" x14ac:dyDescent="0.2">
      <c r="A990" t="s">
        <v>2107</v>
      </c>
      <c r="B990" t="s">
        <v>2108</v>
      </c>
      <c r="C990" s="1">
        <v>46105</v>
      </c>
      <c r="D990" t="s">
        <v>89</v>
      </c>
      <c r="E990">
        <v>35</v>
      </c>
      <c r="F990">
        <v>6.2</v>
      </c>
      <c r="G990" t="s">
        <v>81</v>
      </c>
      <c r="H990" t="s">
        <v>30</v>
      </c>
      <c r="I990" s="1">
        <v>46105.274305555555</v>
      </c>
      <c r="J990" s="1">
        <v>46105.281944444447</v>
      </c>
      <c r="K990" s="1">
        <v>46105.316666666666</v>
      </c>
      <c r="L990" s="1">
        <v>46105.326388888891</v>
      </c>
      <c r="M990" s="1">
        <v>46105.351388888892</v>
      </c>
      <c r="N990" s="1">
        <v>46105.380555555559</v>
      </c>
      <c r="O990">
        <v>3</v>
      </c>
      <c r="P990" t="s">
        <v>37</v>
      </c>
      <c r="Q990" t="s">
        <v>69</v>
      </c>
      <c r="R990" t="s">
        <v>111</v>
      </c>
      <c r="S990" t="s">
        <v>71</v>
      </c>
      <c r="T990">
        <v>2000</v>
      </c>
      <c r="U990" t="s">
        <v>35</v>
      </c>
      <c r="V990" t="s">
        <v>36</v>
      </c>
      <c r="W990">
        <v>1</v>
      </c>
      <c r="X990" t="s">
        <v>37</v>
      </c>
      <c r="Y990">
        <v>3</v>
      </c>
      <c r="Z990" t="s">
        <v>61</v>
      </c>
    </row>
    <row r="991" spans="1:26" hidden="1" x14ac:dyDescent="0.2">
      <c r="A991" t="s">
        <v>2109</v>
      </c>
      <c r="B991" t="s">
        <v>2110</v>
      </c>
      <c r="C991" s="1">
        <v>46081</v>
      </c>
      <c r="D991" t="s">
        <v>64</v>
      </c>
      <c r="E991">
        <v>5</v>
      </c>
      <c r="F991">
        <v>7</v>
      </c>
      <c r="G991" t="s">
        <v>76</v>
      </c>
      <c r="H991" t="s">
        <v>167</v>
      </c>
      <c r="I991" s="1">
        <v>46081.381944444445</v>
      </c>
      <c r="J991" s="1">
        <v>46081.397916666669</v>
      </c>
      <c r="K991" s="1">
        <v>46081.438194444447</v>
      </c>
      <c r="L991" s="1">
        <v>46081.451388888891</v>
      </c>
      <c r="M991" s="1">
        <v>46081.461111111108</v>
      </c>
      <c r="N991" s="1">
        <v>46081.479166666664</v>
      </c>
      <c r="O991">
        <v>1</v>
      </c>
      <c r="P991" t="s">
        <v>37</v>
      </c>
      <c r="Q991" t="s">
        <v>43</v>
      </c>
      <c r="R991" t="s">
        <v>158</v>
      </c>
      <c r="S991" t="s">
        <v>45</v>
      </c>
      <c r="T991">
        <v>2500</v>
      </c>
      <c r="U991" t="s">
        <v>35</v>
      </c>
      <c r="V991" t="s">
        <v>36</v>
      </c>
      <c r="W991">
        <v>1</v>
      </c>
      <c r="X991" t="s">
        <v>37</v>
      </c>
      <c r="Y991">
        <v>5</v>
      </c>
      <c r="Z991" t="s">
        <v>168</v>
      </c>
    </row>
    <row r="992" spans="1:26" hidden="1" x14ac:dyDescent="0.2">
      <c r="A992" t="s">
        <v>2111</v>
      </c>
      <c r="B992" t="s">
        <v>2112</v>
      </c>
      <c r="C992" s="1">
        <v>46057</v>
      </c>
      <c r="D992" t="s">
        <v>89</v>
      </c>
      <c r="E992">
        <v>30</v>
      </c>
      <c r="F992">
        <v>11.3</v>
      </c>
      <c r="G992" t="s">
        <v>76</v>
      </c>
      <c r="H992" t="s">
        <v>42</v>
      </c>
      <c r="I992" s="1">
        <v>46057.265277777777</v>
      </c>
      <c r="J992" s="1">
        <v>46057.28402777778</v>
      </c>
      <c r="K992" s="1">
        <v>46057.298611111109</v>
      </c>
      <c r="L992" s="1">
        <v>46057.306944444441</v>
      </c>
      <c r="M992" s="1">
        <v>46057.326388888891</v>
      </c>
      <c r="N992" s="1">
        <v>46057.329861111109</v>
      </c>
      <c r="O992">
        <v>7</v>
      </c>
      <c r="P992" t="s">
        <v>37</v>
      </c>
      <c r="Q992" t="s">
        <v>32</v>
      </c>
      <c r="R992" t="s">
        <v>107</v>
      </c>
      <c r="S992" t="s">
        <v>34</v>
      </c>
      <c r="T992">
        <v>5000</v>
      </c>
      <c r="U992" t="s">
        <v>35</v>
      </c>
      <c r="V992" t="s">
        <v>36</v>
      </c>
      <c r="W992">
        <v>1</v>
      </c>
      <c r="X992" t="s">
        <v>37</v>
      </c>
      <c r="Y992">
        <v>5</v>
      </c>
      <c r="Z992" t="s">
        <v>86</v>
      </c>
    </row>
    <row r="993" spans="1:26" hidden="1" x14ac:dyDescent="0.2">
      <c r="A993" t="s">
        <v>2113</v>
      </c>
      <c r="B993" t="s">
        <v>2114</v>
      </c>
      <c r="C993" s="1">
        <v>46057</v>
      </c>
      <c r="D993" t="s">
        <v>137</v>
      </c>
      <c r="E993">
        <v>7</v>
      </c>
      <c r="F993">
        <v>8.1999999999999993</v>
      </c>
      <c r="G993" t="s">
        <v>29</v>
      </c>
      <c r="H993" t="s">
        <v>167</v>
      </c>
      <c r="I993" s="1">
        <v>46057.386805555558</v>
      </c>
      <c r="J993" s="1">
        <v>46057.402083333334</v>
      </c>
      <c r="K993" s="1">
        <v>46057.425694444442</v>
      </c>
      <c r="L993" s="1">
        <v>46057.438194444447</v>
      </c>
      <c r="M993" s="1">
        <v>46057.463194444441</v>
      </c>
      <c r="N993" s="1">
        <v>46057.490972222222</v>
      </c>
      <c r="O993">
        <v>2</v>
      </c>
      <c r="P993" t="s">
        <v>37</v>
      </c>
      <c r="Q993" t="s">
        <v>69</v>
      </c>
      <c r="R993" t="s">
        <v>70</v>
      </c>
      <c r="S993" t="s">
        <v>71</v>
      </c>
      <c r="T993">
        <v>2000</v>
      </c>
      <c r="U993" t="s">
        <v>35</v>
      </c>
      <c r="V993" t="s">
        <v>36</v>
      </c>
      <c r="W993">
        <v>1</v>
      </c>
      <c r="X993" t="s">
        <v>37</v>
      </c>
      <c r="Y993">
        <v>4</v>
      </c>
      <c r="Z993" t="s">
        <v>215</v>
      </c>
    </row>
    <row r="994" spans="1:26" hidden="1" x14ac:dyDescent="0.2">
      <c r="A994" t="s">
        <v>2115</v>
      </c>
      <c r="B994" t="s">
        <v>2116</v>
      </c>
      <c r="C994" s="1">
        <v>46043</v>
      </c>
      <c r="D994" t="s">
        <v>220</v>
      </c>
      <c r="E994">
        <v>5</v>
      </c>
      <c r="F994">
        <v>8.1999999999999993</v>
      </c>
      <c r="G994" t="s">
        <v>81</v>
      </c>
      <c r="H994" t="s">
        <v>157</v>
      </c>
      <c r="I994" s="1">
        <v>46043.348611111112</v>
      </c>
      <c r="J994" s="1">
        <v>46043.363888888889</v>
      </c>
      <c r="K994" s="1">
        <v>46043.416666666664</v>
      </c>
      <c r="L994" s="1">
        <v>46043.422222222223</v>
      </c>
      <c r="M994" s="1">
        <v>46043.45</v>
      </c>
      <c r="N994" s="1">
        <v>46043.476388888892</v>
      </c>
      <c r="O994">
        <v>6</v>
      </c>
      <c r="P994" t="s">
        <v>37</v>
      </c>
      <c r="Q994" t="s">
        <v>69</v>
      </c>
      <c r="R994" t="s">
        <v>70</v>
      </c>
      <c r="S994" t="s">
        <v>71</v>
      </c>
      <c r="T994">
        <v>2000</v>
      </c>
      <c r="U994" t="s">
        <v>35</v>
      </c>
      <c r="V994" t="s">
        <v>36</v>
      </c>
      <c r="W994">
        <v>1</v>
      </c>
      <c r="X994" t="s">
        <v>37</v>
      </c>
      <c r="Y994">
        <v>4</v>
      </c>
      <c r="Z994" t="s">
        <v>99</v>
      </c>
    </row>
    <row r="995" spans="1:26" hidden="1" x14ac:dyDescent="0.2">
      <c r="A995" t="s">
        <v>2117</v>
      </c>
      <c r="B995" t="s">
        <v>2118</v>
      </c>
      <c r="C995" s="1">
        <v>46077</v>
      </c>
      <c r="D995" t="s">
        <v>126</v>
      </c>
      <c r="E995">
        <v>9</v>
      </c>
      <c r="F995">
        <v>8.6</v>
      </c>
      <c r="G995" t="s">
        <v>50</v>
      </c>
      <c r="H995" t="s">
        <v>51</v>
      </c>
      <c r="I995" s="1">
        <v>46077.372916666667</v>
      </c>
      <c r="J995" s="1">
        <v>46077.38958333333</v>
      </c>
      <c r="K995" s="1">
        <v>46077.417361111111</v>
      </c>
      <c r="L995" s="1">
        <v>46077.423611111109</v>
      </c>
      <c r="M995" s="1">
        <v>46077.431250000001</v>
      </c>
      <c r="N995" s="1">
        <v>46077.438194444447</v>
      </c>
      <c r="O995">
        <v>2</v>
      </c>
      <c r="P995" t="s">
        <v>37</v>
      </c>
      <c r="Q995" t="s">
        <v>96</v>
      </c>
      <c r="R995" t="s">
        <v>97</v>
      </c>
      <c r="S995" t="s">
        <v>98</v>
      </c>
      <c r="T995">
        <v>3000</v>
      </c>
      <c r="U995" t="s">
        <v>35</v>
      </c>
      <c r="V995" t="s">
        <v>59</v>
      </c>
      <c r="W995">
        <v>4</v>
      </c>
      <c r="X995" t="s">
        <v>60</v>
      </c>
      <c r="Y995">
        <v>4</v>
      </c>
      <c r="Z995" t="s">
        <v>131</v>
      </c>
    </row>
    <row r="996" spans="1:26" hidden="1" x14ac:dyDescent="0.2">
      <c r="A996" t="s">
        <v>2119</v>
      </c>
      <c r="B996" t="s">
        <v>2120</v>
      </c>
      <c r="C996" s="1">
        <v>46071</v>
      </c>
      <c r="D996" t="s">
        <v>178</v>
      </c>
      <c r="E996">
        <v>40</v>
      </c>
      <c r="F996">
        <v>10.8</v>
      </c>
      <c r="G996" t="s">
        <v>81</v>
      </c>
      <c r="H996" t="s">
        <v>167</v>
      </c>
      <c r="I996" s="1">
        <v>46071.415972222225</v>
      </c>
      <c r="J996" s="1">
        <v>46071.422222222223</v>
      </c>
      <c r="K996" s="1">
        <v>46071.435416666667</v>
      </c>
      <c r="L996" s="1">
        <v>46071.448611111111</v>
      </c>
      <c r="M996" s="1">
        <v>46071.47152777778</v>
      </c>
      <c r="N996" s="1">
        <v>46071.489583333336</v>
      </c>
      <c r="O996">
        <v>5</v>
      </c>
      <c r="P996" t="s">
        <v>37</v>
      </c>
      <c r="Q996" t="s">
        <v>96</v>
      </c>
      <c r="R996" t="s">
        <v>90</v>
      </c>
      <c r="S996" t="s">
        <v>98</v>
      </c>
      <c r="T996">
        <v>3000</v>
      </c>
      <c r="U996" t="s">
        <v>91</v>
      </c>
      <c r="V996" t="s">
        <v>36</v>
      </c>
      <c r="W996">
        <v>1</v>
      </c>
      <c r="X996" t="s">
        <v>37</v>
      </c>
      <c r="Y996">
        <v>4</v>
      </c>
      <c r="Z996" t="s">
        <v>38</v>
      </c>
    </row>
    <row r="997" spans="1:26" hidden="1" x14ac:dyDescent="0.2">
      <c r="A997" t="s">
        <v>2121</v>
      </c>
      <c r="B997" t="s">
        <v>2122</v>
      </c>
      <c r="C997" s="1">
        <v>46108</v>
      </c>
      <c r="D997" t="s">
        <v>233</v>
      </c>
      <c r="E997">
        <v>23</v>
      </c>
      <c r="F997">
        <v>7.1</v>
      </c>
      <c r="G997" t="s">
        <v>57</v>
      </c>
      <c r="H997" t="s">
        <v>42</v>
      </c>
      <c r="I997" s="1">
        <v>46108.263194444444</v>
      </c>
      <c r="J997" s="1">
        <v>46108.268750000003</v>
      </c>
      <c r="K997" s="1">
        <v>46108.323611111111</v>
      </c>
      <c r="L997" s="1">
        <v>46108.329861111109</v>
      </c>
      <c r="M997" s="1">
        <v>46108.348611111112</v>
      </c>
      <c r="N997" s="1">
        <v>46108.355555555558</v>
      </c>
      <c r="O997">
        <v>5</v>
      </c>
      <c r="P997" t="s">
        <v>37</v>
      </c>
      <c r="Q997" t="s">
        <v>82</v>
      </c>
      <c r="R997" t="s">
        <v>214</v>
      </c>
      <c r="S997" t="s">
        <v>84</v>
      </c>
      <c r="T997">
        <v>4000</v>
      </c>
      <c r="U997" t="s">
        <v>35</v>
      </c>
      <c r="V997" t="s">
        <v>36</v>
      </c>
      <c r="W997">
        <v>1</v>
      </c>
      <c r="X997" t="s">
        <v>37</v>
      </c>
      <c r="Y997">
        <v>3</v>
      </c>
      <c r="Z997" t="s">
        <v>296</v>
      </c>
    </row>
    <row r="998" spans="1:26" hidden="1" x14ac:dyDescent="0.2">
      <c r="A998" t="s">
        <v>2123</v>
      </c>
      <c r="B998" t="s">
        <v>2124</v>
      </c>
      <c r="C998" s="1">
        <v>46100</v>
      </c>
      <c r="D998" t="s">
        <v>186</v>
      </c>
      <c r="E998">
        <v>9</v>
      </c>
      <c r="F998">
        <v>7.6</v>
      </c>
      <c r="G998" t="s">
        <v>76</v>
      </c>
      <c r="H998" t="s">
        <v>30</v>
      </c>
      <c r="I998" s="1">
        <v>46100.379861111112</v>
      </c>
      <c r="J998" s="1">
        <v>46100.390972222223</v>
      </c>
      <c r="K998" s="1">
        <v>46100.421527777777</v>
      </c>
      <c r="L998" s="1">
        <v>46100.427777777775</v>
      </c>
      <c r="M998" s="1">
        <v>46100.438888888886</v>
      </c>
      <c r="N998" s="1">
        <v>46100.466666666667</v>
      </c>
      <c r="O998">
        <v>3</v>
      </c>
      <c r="P998" t="s">
        <v>37</v>
      </c>
      <c r="Q998" t="s">
        <v>96</v>
      </c>
      <c r="R998" t="s">
        <v>130</v>
      </c>
      <c r="S998" t="s">
        <v>98</v>
      </c>
      <c r="T998">
        <v>3000</v>
      </c>
      <c r="U998" t="s">
        <v>35</v>
      </c>
      <c r="V998" t="s">
        <v>59</v>
      </c>
      <c r="W998">
        <v>1</v>
      </c>
      <c r="X998" t="s">
        <v>353</v>
      </c>
      <c r="Y998">
        <v>4</v>
      </c>
      <c r="Z998" t="s">
        <v>131</v>
      </c>
    </row>
    <row r="999" spans="1:26" hidden="1" x14ac:dyDescent="0.2">
      <c r="A999" t="s">
        <v>2125</v>
      </c>
      <c r="B999" t="s">
        <v>2126</v>
      </c>
      <c r="C999" s="1">
        <v>46023</v>
      </c>
      <c r="D999" t="s">
        <v>230</v>
      </c>
      <c r="E999">
        <v>13</v>
      </c>
      <c r="F999">
        <v>10.8</v>
      </c>
      <c r="G999" t="s">
        <v>76</v>
      </c>
      <c r="H999" t="s">
        <v>157</v>
      </c>
      <c r="I999" s="1">
        <v>46023.397222222222</v>
      </c>
      <c r="J999" s="1">
        <v>46023.400694444441</v>
      </c>
      <c r="K999" s="1">
        <v>46023.458333333336</v>
      </c>
      <c r="L999" s="1">
        <v>46023.461805555555</v>
      </c>
      <c r="M999" s="1">
        <v>46023.500694444447</v>
      </c>
      <c r="N999" s="1">
        <v>46023.506249999999</v>
      </c>
      <c r="O999">
        <v>1</v>
      </c>
      <c r="P999" t="s">
        <v>37</v>
      </c>
      <c r="Q999" t="s">
        <v>69</v>
      </c>
      <c r="R999" t="s">
        <v>146</v>
      </c>
      <c r="S999" t="s">
        <v>71</v>
      </c>
      <c r="T999">
        <v>2000</v>
      </c>
      <c r="U999" t="s">
        <v>35</v>
      </c>
      <c r="V999" t="s">
        <v>36</v>
      </c>
      <c r="W999">
        <v>1</v>
      </c>
      <c r="X999" t="s">
        <v>37</v>
      </c>
      <c r="Y999">
        <v>4</v>
      </c>
      <c r="Z999" t="s">
        <v>161</v>
      </c>
    </row>
    <row r="1000" spans="1:26" hidden="1" x14ac:dyDescent="0.2">
      <c r="A1000" t="s">
        <v>2127</v>
      </c>
      <c r="B1000" t="s">
        <v>2128</v>
      </c>
      <c r="C1000" s="1">
        <v>46081</v>
      </c>
      <c r="D1000" t="s">
        <v>126</v>
      </c>
      <c r="E1000">
        <v>13</v>
      </c>
      <c r="F1000">
        <v>6.2</v>
      </c>
      <c r="G1000" t="s">
        <v>50</v>
      </c>
      <c r="H1000" t="s">
        <v>95</v>
      </c>
      <c r="I1000" s="1">
        <v>46081.338888888888</v>
      </c>
      <c r="J1000" s="1">
        <v>46081.345833333333</v>
      </c>
      <c r="K1000" s="1">
        <v>46081.402083333334</v>
      </c>
      <c r="L1000" s="1">
        <v>46081.412499999999</v>
      </c>
      <c r="M1000" s="1">
        <v>46081.451388888891</v>
      </c>
      <c r="N1000" s="1">
        <v>46081.466666666667</v>
      </c>
      <c r="O1000">
        <v>1</v>
      </c>
      <c r="P1000" t="s">
        <v>115</v>
      </c>
      <c r="Q1000" t="s">
        <v>82</v>
      </c>
      <c r="R1000" t="s">
        <v>239</v>
      </c>
      <c r="S1000" t="s">
        <v>84</v>
      </c>
      <c r="T1000">
        <v>4000</v>
      </c>
      <c r="U1000" t="s">
        <v>35</v>
      </c>
      <c r="V1000" t="s">
        <v>59</v>
      </c>
      <c r="W1000">
        <v>2</v>
      </c>
      <c r="X1000" t="s">
        <v>85</v>
      </c>
      <c r="Y1000">
        <v>5</v>
      </c>
      <c r="Z1000" t="s">
        <v>38</v>
      </c>
    </row>
    <row r="1001" spans="1:26" hidden="1" x14ac:dyDescent="0.2">
      <c r="A1001" t="s">
        <v>2129</v>
      </c>
      <c r="B1001" t="s">
        <v>2130</v>
      </c>
      <c r="C1001" s="1">
        <v>46053</v>
      </c>
      <c r="D1001" t="s">
        <v>89</v>
      </c>
      <c r="E1001">
        <v>9</v>
      </c>
      <c r="F1001">
        <v>7.1</v>
      </c>
      <c r="G1001" t="s">
        <v>81</v>
      </c>
      <c r="H1001" t="s">
        <v>42</v>
      </c>
      <c r="I1001" s="1">
        <v>46053.386805555558</v>
      </c>
      <c r="J1001" s="1">
        <v>46053.397916666669</v>
      </c>
      <c r="K1001" s="1">
        <v>46053.404861111114</v>
      </c>
      <c r="L1001" s="1">
        <v>46053.418749999997</v>
      </c>
      <c r="M1001" s="1">
        <v>46053.428472222222</v>
      </c>
      <c r="N1001" s="1">
        <v>46053.434027777781</v>
      </c>
      <c r="O1001">
        <v>7</v>
      </c>
      <c r="P1001" t="s">
        <v>37</v>
      </c>
      <c r="Q1001" t="s">
        <v>82</v>
      </c>
      <c r="R1001" t="s">
        <v>214</v>
      </c>
      <c r="S1001" t="s">
        <v>84</v>
      </c>
      <c r="T1001">
        <v>4000</v>
      </c>
      <c r="U1001" t="s">
        <v>35</v>
      </c>
      <c r="V1001" t="s">
        <v>36</v>
      </c>
      <c r="W1001">
        <v>1</v>
      </c>
      <c r="X1001" t="s">
        <v>37</v>
      </c>
      <c r="Y1001">
        <v>5</v>
      </c>
      <c r="Z1001" t="s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A5FB2-FF8C-491F-BB6A-9095F5C985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ساره سعود محمد الناجم</cp:lastModifiedBy>
  <dcterms:created xsi:type="dcterms:W3CDTF">2026-04-30T18:40:51Z</dcterms:created>
  <dcterms:modified xsi:type="dcterms:W3CDTF">2026-05-07T13:25:45Z</dcterms:modified>
</cp:coreProperties>
</file>